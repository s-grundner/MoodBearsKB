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2.xml" ContentType="application/vnd.openxmlformats-officedocument.spreadsheetml.comments+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Notizblatt" sheetId="1" state="visible" r:id="rId3"/>
    <sheet name="Eingabe" sheetId="2" state="visible" r:id="rId4"/>
    <sheet name="Stückliste (1)" sheetId="3" state="visible" r:id="rId5"/>
    <sheet name="Stückliste (2)" sheetId="4" state="visible" r:id="rId6"/>
    <sheet name="Stückliste (3)" sheetId="5" state="visible" r:id="rId7"/>
    <sheet name="Stückliste (4)" sheetId="6" state="visible" r:id="rId8"/>
    <sheet name="Stückliste (5)" sheetId="7" state="visible" r:id="rId9"/>
    <sheet name="Materialkalkulation (1)" sheetId="8" state="visible" r:id="rId10"/>
    <sheet name="Materialkalkulation (2)" sheetId="9" state="visible" r:id="rId11"/>
    <sheet name="Materialkalkulation (3)" sheetId="10" state="visible" r:id="rId12"/>
  </sheets>
  <definedNames>
    <definedName function="false" hidden="false" localSheetId="1" name="_xlnm.Print_Area" vbProcedure="false">Eingabe!$A$1:$O$130</definedName>
    <definedName function="false" hidden="false" localSheetId="0" name="_xlnm.Print_Area" vbProcedure="false">Notizblatt!$A$1:$K$114</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Exchange (Server)</author>
    <author>Robert Poettinger</author>
    <author>Strasser</author>
    <author>Thomas Attwenger</author>
  </authors>
  <commentList>
    <comment ref="B2" authorId="1">
      <text>
        <r>
          <rPr>
            <sz val="10"/>
            <rFont val="Arial"/>
            <family val="2"/>
          </rPr>
          <t xml:space="preserve">Thomas Attwenger:
</t>
        </r>
        <r>
          <rPr>
            <sz val="9"/>
            <color rgb="FF000000"/>
            <rFont val="Segoe UI"/>
            <family val="2"/>
            <charset val="1"/>
          </rPr>
          <t xml:space="preserve">Die Stückzahl ist bei den Posittionen unbedingt einzutragen. Bei einem Teil einer Einkaufseinheit ist die tatsächliche Teilstückanzahl einzutragen (0,075 STK bei einer 3pol. Stiftleiste mit Grundausmaß 40 STK im Einkauf).
Bei "</t>
        </r>
        <r>
          <rPr>
            <b val="true"/>
            <sz val="9"/>
            <color rgb="FF000000"/>
            <rFont val="Segoe UI"/>
            <family val="2"/>
            <charset val="1"/>
          </rPr>
          <t xml:space="preserve">FF</t>
        </r>
        <r>
          <rPr>
            <sz val="9"/>
            <color rgb="FF000000"/>
            <rFont val="Segoe UI"/>
            <family val="2"/>
            <charset val="1"/>
          </rPr>
          <t xml:space="preserve">" Im Einheitenfeld ist dieses Feld leer zu lassen - </t>
        </r>
        <r>
          <rPr>
            <b val="true"/>
            <sz val="9"/>
            <color rgb="FF000000"/>
            <rFont val="Segoe UI"/>
            <family val="2"/>
            <charset val="1"/>
          </rPr>
          <t xml:space="preserve">keine</t>
        </r>
        <r>
          <rPr>
            <sz val="9"/>
            <color rgb="FF000000"/>
            <rFont val="Segoe UI"/>
            <family val="2"/>
            <charset val="1"/>
          </rPr>
          <t xml:space="preserve"> "</t>
        </r>
        <r>
          <rPr>
            <b val="true"/>
            <sz val="9"/>
            <color rgb="FF000000"/>
            <rFont val="Segoe UI"/>
            <family val="2"/>
            <charset val="1"/>
          </rPr>
          <t xml:space="preserve">0</t>
        </r>
        <r>
          <rPr>
            <sz val="9"/>
            <color rgb="FF000000"/>
            <rFont val="Segoe UI"/>
            <family val="2"/>
            <charset val="1"/>
          </rPr>
          <t xml:space="preserve">" eintragen!!
Bei "</t>
        </r>
        <r>
          <rPr>
            <b val="true"/>
            <sz val="9"/>
            <color rgb="FF000000"/>
            <rFont val="Segoe UI"/>
            <family val="2"/>
            <charset val="1"/>
          </rPr>
          <t xml:space="preserve">*</t>
        </r>
        <r>
          <rPr>
            <sz val="9"/>
            <color rgb="FF000000"/>
            <rFont val="Segoe UI"/>
            <family val="2"/>
            <charset val="1"/>
          </rPr>
          <t xml:space="preserve">" vor dem Text  im Bezeichnungsfeld (Bauteil wird bei der Grundbestückung nicht bestückt) </t>
        </r>
        <r>
          <rPr>
            <b val="true"/>
            <sz val="9"/>
            <color rgb="FF000000"/>
            <rFont val="Segoe UI"/>
            <family val="2"/>
            <charset val="1"/>
          </rPr>
          <t xml:space="preserve">muss </t>
        </r>
        <r>
          <rPr>
            <sz val="9"/>
            <color rgb="FF000000"/>
            <rFont val="Segoe UI"/>
            <family val="2"/>
            <charset val="1"/>
          </rPr>
          <t xml:space="preserve">eine "</t>
        </r>
        <r>
          <rPr>
            <b val="true"/>
            <sz val="9"/>
            <color rgb="FF000000"/>
            <rFont val="Segoe UI"/>
            <family val="2"/>
            <charset val="1"/>
          </rPr>
          <t xml:space="preserve">0</t>
        </r>
        <r>
          <rPr>
            <sz val="9"/>
            <color rgb="FF000000"/>
            <rFont val="Segoe UI"/>
            <family val="2"/>
            <charset val="1"/>
          </rPr>
          <t xml:space="preserve">" eingetragen werden.</t>
        </r>
      </text>
    </comment>
    <comment ref="C2" authorId="0">
      <text>
        <r>
          <rPr>
            <sz val="10"/>
            <rFont val="Arial"/>
            <family val="2"/>
          </rPr>
          <t xml:space="preserve">Thomas Attwenger:
</t>
        </r>
        <r>
          <rPr>
            <sz val="8"/>
            <color rgb="FF000000"/>
            <rFont val="Tahoma"/>
            <family val="2"/>
            <charset val="1"/>
          </rPr>
          <t xml:space="preserve">ISO-Einheit 
</t>
        </r>
      </text>
    </comment>
    <comment ref="D2" authorId="3">
      <text>
        <r>
          <rPr>
            <sz val="10"/>
            <rFont val="Arial"/>
            <family val="2"/>
          </rPr>
          <t xml:space="preserve">Thomas Attwenger:
</t>
        </r>
        <r>
          <rPr>
            <sz val="8"/>
            <color rgb="FF000000"/>
            <rFont val="Tahoma"/>
            <family val="2"/>
            <charset val="1"/>
          </rPr>
          <t xml:space="preserve">Hier ist die Benennung des Bauteils unter Angabe der wichtigsten Kenndaten einzugeben. 
(Bsp. WID 47R 0,6W 1%)
Beachte dazu die Liste der Kurzbezeichnungen im FTKL-Leitfaden und die richtige Sortierung der Einträge.
</t>
        </r>
      </text>
    </comment>
    <comment ref="E2" authorId="3">
      <text>
        <r>
          <rPr>
            <sz val="10"/>
            <rFont val="Arial"/>
            <family val="2"/>
          </rPr>
          <t xml:space="preserve">Thomas Attwenger:
</t>
        </r>
        <r>
          <rPr>
            <sz val="8"/>
            <color rgb="FF000000"/>
            <rFont val="Tahoma"/>
            <family val="2"/>
            <charset val="1"/>
          </rPr>
          <t xml:space="preserve">...verweist auf den Stromlaufplan. 
Es muss sichergestellt sein, dass Stückliste und Stromlaufplan zusammenpassen!</t>
        </r>
      </text>
    </comment>
    <comment ref="F2" authorId="3">
      <text>
        <r>
          <rPr>
            <sz val="10"/>
            <rFont val="Arial"/>
            <family val="2"/>
          </rPr>
          <t xml:space="preserve">Thomas Attwenger:
</t>
        </r>
        <r>
          <rPr>
            <sz val="8"/>
            <color rgb="FF000000"/>
            <rFont val="Tahoma"/>
            <family val="2"/>
            <charset val="1"/>
          </rPr>
          <t xml:space="preserve">Der Lieferant muss immer in der 1.Zeile eingetragen werden, in den folgenden Zeilen nur dann, wenn er sich ändert.</t>
        </r>
      </text>
    </comment>
    <comment ref="G2" authorId="3">
      <text>
        <r>
          <rPr>
            <sz val="10"/>
            <rFont val="Arial"/>
            <family val="2"/>
          </rPr>
          <t xml:space="preserve">Thomas Attwenger:
</t>
        </r>
        <r>
          <rPr>
            <sz val="8"/>
            <color rgb="FF000000"/>
            <rFont val="Tahoma"/>
            <family val="2"/>
            <charset val="1"/>
          </rPr>
          <t xml:space="preserve">...aus Internetseite oder Katalog des Lieferanten</t>
        </r>
      </text>
    </comment>
    <comment ref="H2" authorId="3">
      <text>
        <r>
          <rPr>
            <sz val="10"/>
            <rFont val="Arial"/>
            <family val="2"/>
          </rPr>
          <t xml:space="preserve">Thomas Attwenger:
</t>
        </r>
        <r>
          <rPr>
            <sz val="8"/>
            <color rgb="FF000000"/>
            <rFont val="Tahoma"/>
            <family val="2"/>
            <charset val="1"/>
          </rPr>
          <t xml:space="preserve">Marking Code aus dem Datenblatt des Bauteile-herstellers evt. auch aus Marking-Code-Tabelle.</t>
        </r>
      </text>
    </comment>
    <comment ref="I2" authorId="3">
      <text>
        <r>
          <rPr>
            <sz val="10"/>
            <rFont val="Arial"/>
            <family val="2"/>
          </rPr>
          <t xml:space="preserve">Thomas Attwenger:
</t>
        </r>
        <r>
          <rPr>
            <sz val="8"/>
            <color rgb="FF000000"/>
            <rFont val="Tahoma"/>
            <family val="2"/>
            <charset val="1"/>
          </rPr>
          <t xml:space="preserve">Preisangabe in € (EUR) pro Einheit (STK, LFM, M² …)</t>
        </r>
      </text>
    </comment>
    <comment ref="J2" authorId="3">
      <text>
        <r>
          <rPr>
            <sz val="10"/>
            <rFont val="Arial"/>
            <family val="2"/>
          </rPr>
          <t xml:space="preserve">Thomas Attwenger:
</t>
        </r>
        <r>
          <rPr>
            <sz val="8"/>
            <color rgb="FF000000"/>
            <rFont val="Tahoma"/>
            <family val="2"/>
            <charset val="1"/>
          </rPr>
          <t xml:space="preserve">...Verpackungseinheit
(wieviele Bauteile sind in einer VE enthalten)</t>
        </r>
      </text>
    </comment>
    <comment ref="K2" authorId="2">
      <text>
        <r>
          <rPr>
            <sz val="10"/>
            <rFont val="Arial"/>
            <family val="2"/>
          </rPr>
          <t xml:space="preserve">Thomas Attwenger:
</t>
        </r>
        <r>
          <rPr>
            <sz val="9"/>
            <color rgb="FF000000"/>
            <rFont val="Tahoma"/>
            <family val="2"/>
            <charset val="1"/>
          </rPr>
          <t xml:space="preserve">Bauteilformen und -größen lt. HWE-Leitfaden.
(z.Bsp.: SOT23-3, 
SMD 0805, SMD 1206
THT TO92, …)
</t>
        </r>
      </text>
    </comment>
  </commentList>
</comments>
</file>

<file path=xl/comments2.xml><?xml version="1.0" encoding="utf-8"?>
<comments xmlns="http://schemas.openxmlformats.org/spreadsheetml/2006/main" xmlns:xdr="http://schemas.openxmlformats.org/drawingml/2006/spreadsheetDrawing">
  <authors>
    <author>Exchange (Server)</author>
    <author>Robert Poettinger</author>
    <author>Strasser</author>
    <author>Thomas Attwenger</author>
  </authors>
  <commentList>
    <comment ref="B7" authorId="1">
      <text>
        <r>
          <rPr>
            <sz val="10"/>
            <rFont val="Arial"/>
            <family val="2"/>
          </rPr>
          <t xml:space="preserve">Thomas Attwenger:
</t>
        </r>
        <r>
          <rPr>
            <sz val="9"/>
            <color rgb="FF000000"/>
            <rFont val="Segoe UI"/>
            <family val="2"/>
            <charset val="1"/>
          </rPr>
          <t xml:space="preserve">Die Stückzahl ist bei den Posittionen unbedingt einzutragen. Bei einem Teil einer Einkaufseinheit ist die tatsächliche Teilstückanzahl einzutragen (0,075 STK bei einer 3pol. Stiftleiste mit Grundausmaß 40 STK im Einkauf).
Bei "</t>
        </r>
        <r>
          <rPr>
            <b val="true"/>
            <sz val="9"/>
            <color rgb="FF000000"/>
            <rFont val="Segoe UI"/>
            <family val="2"/>
            <charset val="1"/>
          </rPr>
          <t xml:space="preserve">FF</t>
        </r>
        <r>
          <rPr>
            <sz val="9"/>
            <color rgb="FF000000"/>
            <rFont val="Segoe UI"/>
            <family val="2"/>
            <charset val="1"/>
          </rPr>
          <t xml:space="preserve">" Im Einheitenfeld ist dieses Feld leer zu lassen - </t>
        </r>
        <r>
          <rPr>
            <b val="true"/>
            <sz val="9"/>
            <color rgb="FF000000"/>
            <rFont val="Segoe UI"/>
            <family val="2"/>
            <charset val="1"/>
          </rPr>
          <t xml:space="preserve">keine</t>
        </r>
        <r>
          <rPr>
            <sz val="9"/>
            <color rgb="FF000000"/>
            <rFont val="Segoe UI"/>
            <family val="2"/>
            <charset val="1"/>
          </rPr>
          <t xml:space="preserve"> "</t>
        </r>
        <r>
          <rPr>
            <b val="true"/>
            <sz val="9"/>
            <color rgb="FF000000"/>
            <rFont val="Segoe UI"/>
            <family val="2"/>
            <charset val="1"/>
          </rPr>
          <t xml:space="preserve">0</t>
        </r>
        <r>
          <rPr>
            <sz val="9"/>
            <color rgb="FF000000"/>
            <rFont val="Segoe UI"/>
            <family val="2"/>
            <charset val="1"/>
          </rPr>
          <t xml:space="preserve">" eintragen!!
Bei "</t>
        </r>
        <r>
          <rPr>
            <b val="true"/>
            <sz val="9"/>
            <color rgb="FF000000"/>
            <rFont val="Segoe UI"/>
            <family val="2"/>
            <charset val="1"/>
          </rPr>
          <t xml:space="preserve">*</t>
        </r>
        <r>
          <rPr>
            <sz val="9"/>
            <color rgb="FF000000"/>
            <rFont val="Segoe UI"/>
            <family val="2"/>
            <charset val="1"/>
          </rPr>
          <t xml:space="preserve">" vor dem Text  im Bezeichnungsfeld (Bauteil wird bei der Grundbestückung nicht bestückt) </t>
        </r>
        <r>
          <rPr>
            <b val="true"/>
            <sz val="9"/>
            <color rgb="FF000000"/>
            <rFont val="Segoe UI"/>
            <family val="2"/>
            <charset val="1"/>
          </rPr>
          <t xml:space="preserve">muss </t>
        </r>
        <r>
          <rPr>
            <sz val="9"/>
            <color rgb="FF000000"/>
            <rFont val="Segoe UI"/>
            <family val="2"/>
            <charset val="1"/>
          </rPr>
          <t xml:space="preserve">eine "</t>
        </r>
        <r>
          <rPr>
            <b val="true"/>
            <sz val="9"/>
            <color rgb="FF000000"/>
            <rFont val="Segoe UI"/>
            <family val="2"/>
            <charset val="1"/>
          </rPr>
          <t xml:space="preserve">0</t>
        </r>
        <r>
          <rPr>
            <sz val="9"/>
            <color rgb="FF000000"/>
            <rFont val="Segoe UI"/>
            <family val="2"/>
            <charset val="1"/>
          </rPr>
          <t xml:space="preserve">" eingetragen werden.</t>
        </r>
      </text>
    </comment>
    <comment ref="C7" authorId="0">
      <text>
        <r>
          <rPr>
            <sz val="10"/>
            <rFont val="Arial"/>
            <family val="2"/>
          </rPr>
          <t xml:space="preserve">Thomas Attwenger:
</t>
        </r>
        <r>
          <rPr>
            <sz val="8"/>
            <color rgb="FF000000"/>
            <rFont val="Tahoma"/>
            <family val="2"/>
            <charset val="1"/>
          </rPr>
          <t xml:space="preserve">ISO-Einheit 
</t>
        </r>
      </text>
    </comment>
    <comment ref="D7" authorId="3">
      <text>
        <r>
          <rPr>
            <sz val="10"/>
            <rFont val="Arial"/>
            <family val="2"/>
          </rPr>
          <t xml:space="preserve">Thomas Attwenger:
</t>
        </r>
        <r>
          <rPr>
            <sz val="8"/>
            <color rgb="FF000000"/>
            <rFont val="Tahoma"/>
            <family val="2"/>
            <charset val="1"/>
          </rPr>
          <t xml:space="preserve">Hier ist die Benennung des Bauteils unter Angabe der wichtigsten Kenndaten einzugeben. 
(Bsp. WID 47R 0,6W 1%)
Beachte dazu die Liste der Kurzbezeichnungen im FTKL-Leitfaden und die richtige Sortierung der Einträge.
</t>
        </r>
      </text>
    </comment>
    <comment ref="E7" authorId="3">
      <text>
        <r>
          <rPr>
            <sz val="10"/>
            <rFont val="Arial"/>
            <family val="2"/>
          </rPr>
          <t xml:space="preserve">Thomas Attwenger:
</t>
        </r>
        <r>
          <rPr>
            <sz val="8"/>
            <color rgb="FF000000"/>
            <rFont val="Tahoma"/>
            <family val="2"/>
            <charset val="1"/>
          </rPr>
          <t xml:space="preserve">...verweist auf den Stromlaufplan. 
Es muss sichergestellt sein, dass Stückliste und Stromlaufplan zusammenpassen!</t>
        </r>
      </text>
    </comment>
    <comment ref="F7" authorId="3">
      <text>
        <r>
          <rPr>
            <sz val="10"/>
            <rFont val="Arial"/>
            <family val="2"/>
          </rPr>
          <t xml:space="preserve">Thomas Attwenger:
</t>
        </r>
        <r>
          <rPr>
            <sz val="8"/>
            <color rgb="FF000000"/>
            <rFont val="Tahoma"/>
            <family val="2"/>
            <charset val="1"/>
          </rPr>
          <t xml:space="preserve">Der Lieferant muss immer in der 1.Zeile eingetragen werden, in den folgenden Zeilen nur dann, wenn er sich ändert.</t>
        </r>
      </text>
    </comment>
    <comment ref="G7" authorId="3">
      <text>
        <r>
          <rPr>
            <sz val="10"/>
            <rFont val="Arial"/>
            <family val="2"/>
          </rPr>
          <t xml:space="preserve">Thomas Attwenger:
</t>
        </r>
        <r>
          <rPr>
            <sz val="8"/>
            <color rgb="FF000000"/>
            <rFont val="Tahoma"/>
            <family val="2"/>
            <charset val="1"/>
          </rPr>
          <t xml:space="preserve">...aus Internetseite oder Katalog des Lieferanten</t>
        </r>
      </text>
    </comment>
    <comment ref="H7" authorId="3">
      <text>
        <r>
          <rPr>
            <sz val="10"/>
            <rFont val="Arial"/>
            <family val="2"/>
          </rPr>
          <t xml:space="preserve">Thomas Attwenger:
</t>
        </r>
        <r>
          <rPr>
            <sz val="8"/>
            <color rgb="FF000000"/>
            <rFont val="Tahoma"/>
            <family val="2"/>
            <charset val="1"/>
          </rPr>
          <t xml:space="preserve">Marking Code aus dem Datenblatt des Bauteile-herstellers evt. auch aus Marking-Code-Tabelle.</t>
        </r>
      </text>
    </comment>
    <comment ref="I5" authorId="1">
      <text>
        <r>
          <rPr>
            <sz val="10"/>
            <rFont val="Arial"/>
            <family val="2"/>
          </rPr>
          <t xml:space="preserve">Thomas Attwenger:
</t>
        </r>
        <r>
          <rPr>
            <sz val="9"/>
            <color rgb="FF000000"/>
            <rFont val="Segoe UI"/>
            <family val="2"/>
            <charset val="1"/>
          </rPr>
          <t xml:space="preserve">Die Eingabe des Entwicklerkurzzeichens oder des Freigabeberechtigten (Werkstättenleiter) ist unbedingt erforderlich.</t>
        </r>
      </text>
    </comment>
    <comment ref="I7" authorId="3">
      <text>
        <r>
          <rPr>
            <sz val="10"/>
            <rFont val="Arial"/>
            <family val="2"/>
          </rPr>
          <t xml:space="preserve">Thomas Attwenger:
</t>
        </r>
        <r>
          <rPr>
            <sz val="8"/>
            <color rgb="FF000000"/>
            <rFont val="Tahoma"/>
            <family val="2"/>
            <charset val="1"/>
          </rPr>
          <t xml:space="preserve">Preisangabe in € (EUR) pro Einheit (STK, LFM, M² …)</t>
        </r>
      </text>
    </comment>
    <comment ref="J7" authorId="3">
      <text>
        <r>
          <rPr>
            <sz val="10"/>
            <rFont val="Arial"/>
            <family val="2"/>
          </rPr>
          <t xml:space="preserve">Thomas Attwenger:
</t>
        </r>
        <r>
          <rPr>
            <sz val="8"/>
            <color rgb="FF000000"/>
            <rFont val="Tahoma"/>
            <family val="2"/>
            <charset val="1"/>
          </rPr>
          <t xml:space="preserve">...Verpackungseinheit
(wieviele Bauteile sind in einer VE enthalten)</t>
        </r>
      </text>
    </comment>
    <comment ref="K7" authorId="2">
      <text>
        <r>
          <rPr>
            <sz val="10"/>
            <rFont val="Arial"/>
            <family val="2"/>
          </rPr>
          <t xml:space="preserve">Thomas Attwenger:
</t>
        </r>
        <r>
          <rPr>
            <sz val="9"/>
            <color rgb="FF000000"/>
            <rFont val="Tahoma"/>
            <family val="2"/>
            <charset val="1"/>
          </rPr>
          <t xml:space="preserve">Bauteilformen und -größen lt. HWE-Leitfaden.
(z.Bsp.: SOT23-3, 
SMD 0805, SMD 1206
THT TO92, …)
</t>
        </r>
      </text>
    </comment>
    <comment ref="L3" authorId="1">
      <text>
        <r>
          <rPr>
            <sz val="10"/>
            <rFont val="Arial"/>
            <family val="2"/>
          </rPr>
          <t xml:space="preserve">Thomas Attwenger:
</t>
        </r>
        <r>
          <rPr>
            <sz val="9"/>
            <color rgb="FF000000"/>
            <rFont val="Segoe UI"/>
            <family val="2"/>
            <charset val="1"/>
          </rPr>
          <t xml:space="preserve">Versionsnummer ohne fürhrendes "V"!</t>
        </r>
      </text>
    </comment>
    <comment ref="L4" authorId="1">
      <text>
        <r>
          <rPr>
            <sz val="10"/>
            <rFont val="Arial"/>
            <family val="2"/>
          </rPr>
          <t xml:space="preserve">Thomas Attwenger:
</t>
        </r>
        <r>
          <rPr>
            <sz val="9"/>
            <color rgb="FF000000"/>
            <rFont val="Segoe UI"/>
            <family val="2"/>
            <charset val="1"/>
          </rPr>
          <t xml:space="preserve">Revisionsnummer ohne fürhrendes "R"</t>
        </r>
        <r>
          <rPr>
            <b val="true"/>
            <sz val="9"/>
            <color rgb="FF000000"/>
            <rFont val="Segoe UI"/>
            <family val="2"/>
            <charset val="1"/>
          </rPr>
          <t xml:space="preserve">!</t>
        </r>
      </text>
    </comment>
    <comment ref="L6" authorId="1">
      <text>
        <r>
          <rPr>
            <sz val="10"/>
            <rFont val="Arial"/>
            <family val="2"/>
          </rPr>
          <t xml:space="preserve">Thomas Attwenger:
</t>
        </r>
        <r>
          <rPr>
            <sz val="9"/>
            <color rgb="FF000000"/>
            <rFont val="Segoe UI"/>
            <family val="2"/>
            <charset val="1"/>
          </rPr>
          <t xml:space="preserve">Hier muss immer vor dem Ausdruck auf "</t>
        </r>
        <r>
          <rPr>
            <b val="true"/>
            <sz val="9"/>
            <color rgb="FF000000"/>
            <rFont val="Segoe UI"/>
            <family val="2"/>
            <charset val="1"/>
          </rPr>
          <t xml:space="preserve">ohne</t>
        </r>
        <r>
          <rPr>
            <sz val="9"/>
            <color rgb="FF000000"/>
            <rFont val="Segoe UI"/>
            <family val="2"/>
            <charset val="1"/>
          </rPr>
          <t xml:space="preserve">" umgeschaltet werden. 
Bei "</t>
        </r>
        <r>
          <rPr>
            <b val="true"/>
            <sz val="9"/>
            <color rgb="FF000000"/>
            <rFont val="Segoe UI"/>
            <family val="2"/>
            <charset val="1"/>
          </rPr>
          <t xml:space="preserve">mit</t>
        </r>
        <r>
          <rPr>
            <sz val="9"/>
            <color rgb="FF000000"/>
            <rFont val="Segoe UI"/>
            <family val="2"/>
            <charset val="1"/>
          </rPr>
          <t xml:space="preserve">" wird der tatsächliche Preis für eine Einheit bei Einzelkauf der Bauteile angezeigt!</t>
        </r>
      </text>
    </comment>
    <comment ref="L7" authorId="0">
      <text>
        <r>
          <rPr>
            <sz val="10"/>
            <rFont val="Arial"/>
            <family val="2"/>
          </rPr>
          <t xml:space="preserve">Thomas Attwenger:
</t>
        </r>
        <r>
          <rPr>
            <sz val="8"/>
            <color rgb="FF000000"/>
            <rFont val="Tahoma"/>
            <family val="2"/>
            <charset val="1"/>
          </rPr>
          <t xml:space="preserve">Preisvorschau pro Sstück für [x] Bestelleinheiten.
</t>
        </r>
      </text>
    </comment>
  </commentList>
</comments>
</file>

<file path=xl/sharedStrings.xml><?xml version="1.0" encoding="utf-8"?>
<sst xmlns="http://schemas.openxmlformats.org/spreadsheetml/2006/main" count="342" uniqueCount="112">
  <si>
    <t xml:space="preserve">Stückliste Notizblatt </t>
  </si>
  <si>
    <t xml:space="preserve">Lfd. 
Nr.</t>
  </si>
  <si>
    <t xml:space="preserve">Stück-
zahl</t>
  </si>
  <si>
    <t xml:space="preserve">Ein-
heit</t>
  </si>
  <si>
    <t xml:space="preserve">Benennung</t>
  </si>
  <si>
    <t xml:space="preserve">Referenzkennzeichen</t>
  </si>
  <si>
    <t xml:space="preserve">Lieferant</t>
  </si>
  <si>
    <t xml:space="preserve">Bestellnummer</t>
  </si>
  <si>
    <t xml:space="preserve">MCd</t>
  </si>
  <si>
    <t xml:space="preserve">Preis/EH</t>
  </si>
  <si>
    <t xml:space="preserve">VE</t>
  </si>
  <si>
    <t xml:space="preserve">Bemerkung</t>
  </si>
  <si>
    <t xml:space="preserve">STK</t>
  </si>
  <si>
    <t xml:space="preserve">Choc V1 Switches</t>
  </si>
  <si>
    <t xml:space="preserve">SWL1-20, SWR1-20</t>
  </si>
  <si>
    <t xml:space="preserve">keeb.supply</t>
  </si>
  <si>
    <t xml:space="preserve">Ambients Silent Linear Twilight</t>
  </si>
  <si>
    <t xml:space="preserve">Kailh-Choc 1350 Hot Swap Sockets</t>
  </si>
  <si>
    <t xml:space="preserve">Choc Kailh hotswap sockets</t>
  </si>
  <si>
    <t xml:space="preserve">1N4148</t>
  </si>
  <si>
    <t xml:space="preserve">DL1-20, DR1-20</t>
  </si>
  <si>
    <t xml:space="preserve">s-grundner</t>
  </si>
  <si>
    <t xml:space="preserve">1N 4148</t>
  </si>
  <si>
    <t xml:space="preserve">THT version</t>
  </si>
  <si>
    <t xml:space="preserve">Reset Button</t>
  </si>
  <si>
    <t xml:space="preserve">RSW1,2</t>
  </si>
  <si>
    <t xml:space="preserve">SKHLLCA010</t>
  </si>
  <si>
    <t xml:space="preserve">Alps</t>
  </si>
  <si>
    <t xml:space="preserve">PCB</t>
  </si>
  <si>
    <t xml:space="preserve">l-langegger</t>
  </si>
  <si>
    <t xml:space="preserve">PCB-Way via Sammelbestellung</t>
  </si>
  <si>
    <t xml:space="preserve">LiPo Akku 3.7V</t>
  </si>
  <si>
    <t xml:space="preserve">reichelt.de</t>
  </si>
  <si>
    <t xml:space="preserve">AKKU 30851</t>
  </si>
  <si>
    <t xml:space="preserve">140mAh, L=24.4mm, B=13.1mm, H=6.1mm</t>
  </si>
  <si>
    <t xml:space="preserve">Seeed Studio XIAO nRF52840</t>
  </si>
  <si>
    <t xml:space="preserve">U1,2</t>
  </si>
  <si>
    <t xml:space="preserve">XIAO NRF52840</t>
  </si>
  <si>
    <t xml:space="preserve">SPST Power Switch</t>
  </si>
  <si>
    <t xml:space="preserve">PSW1,2</t>
  </si>
  <si>
    <t xml:space="preserve">MSK-12C02</t>
  </si>
  <si>
    <t xml:space="preserve">Switch Mini 7 Pin 2 Slide Positions</t>
  </si>
  <si>
    <t xml:space="preserve">Gummi Füße</t>
  </si>
  <si>
    <t xml:space="preserve">amazon.de</t>
  </si>
  <si>
    <t xml:space="preserve">Round Silicone Rubber Feet</t>
  </si>
  <si>
    <t xml:space="preserve">Brass Standoffs</t>
  </si>
  <si>
    <t xml:space="preserve">Shipping Reichelt</t>
  </si>
  <si>
    <t xml:space="preserve">Shipping JLC</t>
  </si>
  <si>
    <t xml:space="preserve">Nach dieser Linie dürfen keine Daten mehr eingegeben werden</t>
  </si>
  <si>
    <t xml:space="preserve">Jahrgang:</t>
  </si>
  <si>
    <t xml:space="preserve">Toleranz:</t>
  </si>
  <si>
    <t xml:space="preserve">Dokumentart:</t>
  </si>
  <si>
    <t xml:space="preserve">Stückliste</t>
  </si>
  <si>
    <t xml:space="preserve">Sachnummer, Dateiname:</t>
  </si>
  <si>
    <t xml:space="preserve">Katalognummer:</t>
  </si>
  <si>
    <t xml:space="preserve">Werkstoff:</t>
  </si>
  <si>
    <t xml:space="preserve">FR4</t>
  </si>
  <si>
    <t xml:space="preserve">Datum:</t>
  </si>
  <si>
    <t xml:space="preserve">Stückliste:</t>
  </si>
  <si>
    <t xml:space="preserve">Vorname Nachname:</t>
  </si>
  <si>
    <t xml:space="preserve">Simon Grundner</t>
  </si>
  <si>
    <t xml:space="preserve">Geprüft  :</t>
  </si>
  <si>
    <t xml:space="preserve">Version:</t>
  </si>
  <si>
    <t xml:space="preserve">1.0</t>
  </si>
  <si>
    <t xml:space="preserve">Materialkalkulation:</t>
  </si>
  <si>
    <t xml:space="preserve">Kurzzeichen:</t>
  </si>
  <si>
    <t xml:space="preserve">GruS</t>
  </si>
  <si>
    <t xml:space="preserve">Betreuer:</t>
  </si>
  <si>
    <t xml:space="preserve">Revision:</t>
  </si>
  <si>
    <t xml:space="preserve">1</t>
  </si>
  <si>
    <t xml:space="preserve">Einheiten zur Bestellung:</t>
  </si>
  <si>
    <t xml:space="preserve">Benennung (Projekt) / Version:</t>
  </si>
  <si>
    <t xml:space="preserve">TOTEM - Bluetooth</t>
  </si>
  <si>
    <t xml:space="preserve">Freigabe.</t>
  </si>
  <si>
    <t xml:space="preserve">Dokumentenstatus:</t>
  </si>
  <si>
    <t xml:space="preserve">Fertigung</t>
  </si>
  <si>
    <t xml:space="preserve">Ausbildungsrichtung:</t>
  </si>
  <si>
    <t xml:space="preserve">Benennung (Projekt) Zeile 2:</t>
  </si>
  <si>
    <t xml:space="preserve">40 Key Split Ergomech KB</t>
  </si>
  <si>
    <t xml:space="preserve">Sprache:</t>
  </si>
  <si>
    <t xml:space="preserve">DE</t>
  </si>
  <si>
    <t xml:space="preserve">Maßstab:</t>
  </si>
  <si>
    <t xml:space="preserve">ohne</t>
  </si>
  <si>
    <t xml:space="preserve">Technische Informatik</t>
  </si>
  <si>
    <t xml:space="preserve"> Sachnummer, Dateiname:</t>
  </si>
  <si>
    <t xml:space="preserve"> Name:</t>
  </si>
  <si>
    <t xml:space="preserve"> Toleranz:</t>
  </si>
  <si>
    <t xml:space="preserve"> Werkstoff:</t>
  </si>
  <si>
    <t xml:space="preserve"> ID-Nr.:</t>
  </si>
  <si>
    <t xml:space="preserve"> Gez.:</t>
  </si>
  <si>
    <t xml:space="preserve">Geprüft:</t>
  </si>
  <si>
    <t xml:space="preserve"> Betreuer:</t>
  </si>
  <si>
    <t xml:space="preserve"> Dokumentart:</t>
  </si>
  <si>
    <t xml:space="preserve"> Freigabe:</t>
  </si>
  <si>
    <t xml:space="preserve"> Benennung:</t>
  </si>
  <si>
    <t xml:space="preserve"> Version:</t>
  </si>
  <si>
    <t xml:space="preserve"> Revision:</t>
  </si>
  <si>
    <t xml:space="preserve"> Dokumentenstatus:</t>
  </si>
  <si>
    <t xml:space="preserve">HTBLuVA Salzburg</t>
  </si>
  <si>
    <t xml:space="preserve"> Maßstab:</t>
  </si>
  <si>
    <t xml:space="preserve"> Spr.:</t>
  </si>
  <si>
    <t xml:space="preserve"> Datum:</t>
  </si>
  <si>
    <t xml:space="preserve"> Blatt:</t>
  </si>
  <si>
    <t xml:space="preserve"> Blätter:</t>
  </si>
  <si>
    <t xml:space="preserve">Preis</t>
  </si>
  <si>
    <t xml:space="preserve">Einzel</t>
  </si>
  <si>
    <t xml:space="preserve">Gesamt</t>
  </si>
  <si>
    <t xml:space="preserve">Übertrag:</t>
  </si>
  <si>
    <t xml:space="preserve">Materialpreis</t>
  </si>
  <si>
    <t xml:space="preserve">Materialgemeinkosten (10%)</t>
  </si>
  <si>
    <t xml:space="preserve">Materialverkaufspreis</t>
  </si>
  <si>
    <t xml:space="preserve">Materialkalkulation</t>
  </si>
</sst>
</file>

<file path=xl/styles.xml><?xml version="1.0" encoding="utf-8"?>
<styleSheet xmlns="http://schemas.openxmlformats.org/spreadsheetml/2006/main">
  <numFmts count="11">
    <numFmt numFmtId="164" formatCode="General"/>
    <numFmt numFmtId="165" formatCode="#,##0.00\ [$€-407];[RED]\-#,##0.00\ [$€-407]"/>
    <numFmt numFmtId="166" formatCode="[$-407]General"/>
    <numFmt numFmtId="167" formatCode="@"/>
    <numFmt numFmtId="168" formatCode="[$-407]@"/>
    <numFmt numFmtId="169" formatCode="0.000"/>
    <numFmt numFmtId="170" formatCode="m/d/yyyy"/>
    <numFmt numFmtId="171" formatCode="_-* #,##0.00_-;\-* #,##0.00_-;_-* \-??_-;_-@_-"/>
    <numFmt numFmtId="172" formatCode="0.0000"/>
    <numFmt numFmtId="173" formatCode="#,##0.000"/>
    <numFmt numFmtId="174" formatCode="&quot;€ &quot;#,##0.000"/>
  </numFmts>
  <fonts count="32">
    <font>
      <sz val="11"/>
      <color theme="1"/>
      <name val="Arial"/>
      <family val="2"/>
      <charset val="1"/>
    </font>
    <font>
      <sz val="10"/>
      <name val="Arial"/>
      <family val="0"/>
    </font>
    <font>
      <sz val="10"/>
      <name val="Arial"/>
      <family val="0"/>
    </font>
    <font>
      <sz val="10"/>
      <name val="Arial"/>
      <family val="0"/>
    </font>
    <font>
      <b val="true"/>
      <i val="true"/>
      <sz val="16"/>
      <color theme="1"/>
      <name val="Arial"/>
      <family val="2"/>
      <charset val="1"/>
    </font>
    <font>
      <b val="true"/>
      <i val="true"/>
      <u val="single"/>
      <sz val="11"/>
      <color theme="1"/>
      <name val="Arial"/>
      <family val="2"/>
      <charset val="1"/>
    </font>
    <font>
      <sz val="11"/>
      <color rgb="FF000000"/>
      <name val="Calibri"/>
      <family val="2"/>
      <charset val="1"/>
    </font>
    <font>
      <sz val="11"/>
      <color rgb="FF000000"/>
      <name val="Arial"/>
      <family val="2"/>
      <charset val="1"/>
    </font>
    <font>
      <sz val="24"/>
      <color rgb="FF000000"/>
      <name val="Arial"/>
      <family val="2"/>
      <charset val="1"/>
    </font>
    <font>
      <sz val="10"/>
      <color theme="1"/>
      <name val="Arial"/>
      <family val="2"/>
      <charset val="1"/>
    </font>
    <font>
      <sz val="10"/>
      <color rgb="FF000000"/>
      <name val="Arial"/>
      <family val="2"/>
      <charset val="1"/>
    </font>
    <font>
      <u val="single"/>
      <sz val="10"/>
      <color theme="10"/>
      <name val="Arial"/>
      <family val="2"/>
      <charset val="1"/>
    </font>
    <font>
      <u val="single"/>
      <sz val="11"/>
      <color theme="10"/>
      <name val="Arial"/>
      <family val="2"/>
      <charset val="1"/>
    </font>
    <font>
      <sz val="10"/>
      <name val="Arial"/>
      <family val="2"/>
      <charset val="1"/>
    </font>
    <font>
      <sz val="12"/>
      <color rgb="FF000000"/>
      <name val="Arial"/>
      <family val="2"/>
      <charset val="1"/>
    </font>
    <font>
      <sz val="10"/>
      <name val="Arial"/>
      <family val="2"/>
    </font>
    <font>
      <sz val="9"/>
      <color rgb="FF000000"/>
      <name val="Segoe UI"/>
      <family val="2"/>
      <charset val="1"/>
    </font>
    <font>
      <b val="true"/>
      <sz val="9"/>
      <color rgb="FF000000"/>
      <name val="Segoe UI"/>
      <family val="2"/>
      <charset val="1"/>
    </font>
    <font>
      <sz val="8"/>
      <color rgb="FF000000"/>
      <name val="Tahoma"/>
      <family val="2"/>
      <charset val="1"/>
    </font>
    <font>
      <sz val="9"/>
      <color rgb="FF000000"/>
      <name val="Tahoma"/>
      <family val="2"/>
      <charset val="1"/>
    </font>
    <font>
      <sz val="12"/>
      <name val="Arial"/>
      <family val="2"/>
      <charset val="1"/>
    </font>
    <font>
      <b val="true"/>
      <sz val="12"/>
      <name val="Arial"/>
      <family val="2"/>
      <charset val="1"/>
    </font>
    <font>
      <sz val="10"/>
      <color rgb="FF0000FF"/>
      <name val="Arial"/>
      <family val="2"/>
      <charset val="1"/>
    </font>
    <font>
      <b val="true"/>
      <sz val="10"/>
      <color theme="1"/>
      <name val="Arial"/>
      <family val="2"/>
      <charset val="1"/>
    </font>
    <font>
      <u val="single"/>
      <sz val="10"/>
      <name val="Arial"/>
      <family val="2"/>
      <charset val="1"/>
    </font>
    <font>
      <sz val="6"/>
      <color rgb="FF000000"/>
      <name val="Arial"/>
      <family val="2"/>
      <charset val="1"/>
    </font>
    <font>
      <sz val="14"/>
      <color rgb="FF000000"/>
      <name val="Arial"/>
      <family val="2"/>
      <charset val="1"/>
    </font>
    <font>
      <sz val="12"/>
      <color theme="1"/>
      <name val="Arial"/>
      <family val="2"/>
      <charset val="1"/>
    </font>
    <font>
      <sz val="16"/>
      <color rgb="FF000000"/>
      <name val="Arial"/>
      <family val="2"/>
      <charset val="1"/>
    </font>
    <font>
      <b val="true"/>
      <sz val="14"/>
      <color rgb="FF000000"/>
      <name val="Arial"/>
      <family val="2"/>
      <charset val="1"/>
    </font>
    <font>
      <b val="true"/>
      <sz val="12"/>
      <color rgb="FF000000"/>
      <name val="Arial"/>
      <family val="2"/>
      <charset val="1"/>
    </font>
    <font>
      <b val="true"/>
      <sz val="10"/>
      <color rgb="FF000000"/>
      <name val="Arial"/>
      <family val="2"/>
      <charset val="1"/>
    </font>
  </fonts>
  <fills count="6">
    <fill>
      <patternFill patternType="none"/>
    </fill>
    <fill>
      <patternFill patternType="gray125"/>
    </fill>
    <fill>
      <patternFill patternType="solid">
        <fgColor theme="0" tint="-0.15"/>
        <bgColor rgb="FFB7DEE8"/>
      </patternFill>
    </fill>
    <fill>
      <patternFill patternType="solid">
        <fgColor theme="6"/>
        <bgColor rgb="FF969696"/>
      </patternFill>
    </fill>
    <fill>
      <patternFill patternType="solid">
        <fgColor theme="8" tint="0.5999"/>
        <bgColor rgb="FFD9D9D9"/>
      </patternFill>
    </fill>
    <fill>
      <patternFill patternType="solid">
        <fgColor theme="9" tint="0.5999"/>
        <bgColor rgb="FFD9D9D9"/>
      </patternFill>
    </fill>
  </fills>
  <borders count="46">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right/>
      <top style="thin"/>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bottom style="mediu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right style="thin"/>
      <top style="medium"/>
      <bottom style="medium"/>
      <diagonal/>
    </border>
    <border diagonalUp="false" diagonalDown="false">
      <left style="thin"/>
      <right style="thin"/>
      <top/>
      <bottom style="medium"/>
      <diagonal/>
    </border>
    <border diagonalUp="false" diagonalDown="false">
      <left style="thin"/>
      <right/>
      <top style="medium"/>
      <bottom style="medium"/>
      <diagonal/>
    </border>
    <border diagonalUp="false" diagonalDown="false">
      <left style="thin"/>
      <right style="medium"/>
      <top style="medium"/>
      <bottom style="medium"/>
      <diagonal/>
    </border>
    <border diagonalUp="false" diagonalDown="false">
      <left style="medium"/>
      <right style="thin"/>
      <top style="medium"/>
      <bottom/>
      <diagonal/>
    </border>
    <border diagonalUp="false" diagonalDown="false">
      <left/>
      <right style="thin"/>
      <top style="medium"/>
      <bottom/>
      <diagonal/>
    </border>
    <border diagonalUp="false" diagonalDown="false">
      <left style="thin"/>
      <right style="thin"/>
      <top style="medium"/>
      <bottom/>
      <diagonal/>
    </border>
    <border diagonalUp="false" diagonalDown="false">
      <left style="thin"/>
      <right/>
      <top style="medium"/>
      <bottom/>
      <diagonal/>
    </border>
    <border diagonalUp="false" diagonalDown="false">
      <left style="thin"/>
      <right style="dashed"/>
      <top style="medium"/>
      <bottom/>
      <diagonal/>
    </border>
    <border diagonalUp="false" diagonalDown="false">
      <left style="dashed"/>
      <right style="medium"/>
      <top style="medium"/>
      <bottom/>
      <diagonal/>
    </border>
    <border diagonalUp="false" diagonalDown="false">
      <left style="medium"/>
      <right style="thin"/>
      <top/>
      <bottom/>
      <diagonal/>
    </border>
    <border diagonalUp="false" diagonalDown="false">
      <left/>
      <right style="thin"/>
      <top/>
      <bottom/>
      <diagonal/>
    </border>
    <border diagonalUp="false" diagonalDown="false">
      <left style="thin"/>
      <right style="thin"/>
      <top/>
      <bottom/>
      <diagonal/>
    </border>
    <border diagonalUp="false" diagonalDown="false">
      <left style="thin"/>
      <right style="dashed"/>
      <top/>
      <bottom/>
      <diagonal/>
    </border>
    <border diagonalUp="false" diagonalDown="false">
      <left style="dashed"/>
      <right style="medium"/>
      <top/>
      <bottom/>
      <diagonal/>
    </border>
    <border diagonalUp="false" diagonalDown="false">
      <left style="medium"/>
      <right style="thin"/>
      <top/>
      <bottom style="medium"/>
      <diagonal/>
    </border>
    <border diagonalUp="false" diagonalDown="false">
      <left style="thin"/>
      <right/>
      <top/>
      <bottom style="medium"/>
      <diagonal/>
    </border>
    <border diagonalUp="false" diagonalDown="false">
      <left style="thin"/>
      <right style="dashed"/>
      <top/>
      <bottom style="medium"/>
      <diagonal/>
    </border>
    <border diagonalUp="false" diagonalDown="false">
      <left style="dashed"/>
      <right style="medium"/>
      <top/>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diagonal/>
    </border>
    <border diagonalUp="false" diagonalDown="false">
      <left style="thin"/>
      <right style="medium"/>
      <top/>
      <bottom style="medium"/>
      <diagonal/>
    </border>
    <border diagonalUp="false" diagonalDown="false">
      <left style="medium"/>
      <right style="thin"/>
      <top style="thin"/>
      <bottom style="medium"/>
      <diagonal/>
    </border>
    <border diagonalUp="false" diagonalDown="false">
      <left style="thin"/>
      <right style="medium"/>
      <top style="thin"/>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1"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2"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center" vertical="bottom" textRotation="90" wrapText="false" indent="0" shrinkToFit="false"/>
      <protection locked="true" hidden="false"/>
    </xf>
    <xf numFmtId="164" fontId="4" fillId="0" borderId="0" applyFont="true" applyBorder="true" applyAlignment="true" applyProtection="true">
      <alignment horizontal="center"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6" fontId="6" fillId="0" borderId="0" applyFont="true" applyBorder="true" applyAlignment="true" applyProtection="true">
      <alignment horizontal="general" vertical="bottom" textRotation="0" wrapText="false" indent="0" shrinkToFit="false"/>
      <protection locked="true" hidden="false"/>
    </xf>
  </cellStyleXfs>
  <cellXfs count="216">
    <xf numFmtId="164" fontId="0" fillId="0" borderId="0" xfId="0" applyFont="false" applyBorder="false" applyAlignment="false" applyProtection="false">
      <alignment horizontal="general" vertical="bottom" textRotation="0" wrapText="false" indent="0" shrinkToFit="false"/>
      <protection locked="true" hidden="false"/>
    </xf>
    <xf numFmtId="166" fontId="7" fillId="0" borderId="0" xfId="25"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6" fontId="8" fillId="0" borderId="0" xfId="25" applyFont="true" applyBorder="true" applyAlignment="true" applyProtection="true">
      <alignment horizontal="left" vertical="center" textRotation="0" wrapText="false" indent="0" shrinkToFit="false"/>
      <protection locked="true" hidden="false"/>
    </xf>
    <xf numFmtId="166" fontId="8" fillId="0" borderId="0" xfId="25" applyFont="true" applyBorder="true" applyAlignment="true" applyProtection="true">
      <alignment horizontal="right" vertical="center" textRotation="0" wrapText="false" indent="0" shrinkToFit="false"/>
      <protection locked="true" hidden="false"/>
    </xf>
    <xf numFmtId="164" fontId="9" fillId="2" borderId="1" xfId="0" applyFont="true" applyBorder="true" applyAlignment="true" applyProtection="true">
      <alignment horizontal="center" vertical="center" textRotation="0" wrapText="true" indent="0" shrinkToFit="false"/>
      <protection locked="true" hidden="false"/>
    </xf>
    <xf numFmtId="167" fontId="9" fillId="2" borderId="1" xfId="0"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9" fillId="3" borderId="0" xfId="0" applyFont="true" applyBorder="false" applyAlignment="true" applyProtection="true">
      <alignment horizontal="general" vertical="center" textRotation="0" wrapText="false" indent="0" shrinkToFit="false"/>
      <protection locked="false" hidden="false"/>
    </xf>
    <xf numFmtId="164" fontId="9" fillId="0" borderId="0" xfId="0" applyFont="true" applyBorder="false" applyAlignment="true" applyProtection="true">
      <alignment horizontal="general" vertical="center" textRotation="0" wrapText="false" indent="0" shrinkToFit="false"/>
      <protection locked="false" hidden="false"/>
    </xf>
    <xf numFmtId="168" fontId="10" fillId="0" borderId="0" xfId="25" applyFont="true" applyBorder="false" applyAlignment="true" applyProtection="true">
      <alignment horizontal="general" vertical="center" textRotation="0" wrapText="false" indent="0" shrinkToFit="false"/>
      <protection locked="false" hidden="false"/>
    </xf>
    <xf numFmtId="167" fontId="9" fillId="0" borderId="0" xfId="0" applyFont="true" applyBorder="false" applyAlignment="true" applyProtection="true">
      <alignment horizontal="general" vertical="center" textRotation="0" wrapText="false" indent="0" shrinkToFit="false"/>
      <protection locked="false" hidden="false"/>
    </xf>
    <xf numFmtId="167" fontId="11" fillId="0" borderId="0" xfId="20" applyFont="true" applyBorder="true" applyAlignment="true" applyProtection="true">
      <alignment horizontal="general" vertical="center" textRotation="0" wrapText="false" indent="0" shrinkToFit="true"/>
      <protection locked="false" hidden="false"/>
    </xf>
    <xf numFmtId="167" fontId="9" fillId="0" borderId="0" xfId="0" applyFont="true" applyBorder="false" applyAlignment="true" applyProtection="true">
      <alignment horizontal="right" vertical="center" textRotation="0" wrapText="false" indent="0" shrinkToFit="true"/>
      <protection locked="false" hidden="false"/>
    </xf>
    <xf numFmtId="167" fontId="9" fillId="0" borderId="0" xfId="0" applyFont="true" applyBorder="false" applyAlignment="true" applyProtection="true">
      <alignment horizontal="center" vertical="center" textRotation="0" wrapText="false" indent="0" shrinkToFit="true"/>
      <protection locked="false" hidden="false"/>
    </xf>
    <xf numFmtId="169" fontId="9" fillId="0" borderId="0" xfId="0" applyFont="true" applyBorder="false" applyAlignment="true" applyProtection="true">
      <alignment horizontal="general" vertical="center" textRotation="0" wrapText="false" indent="0" shrinkToFit="false"/>
      <protection locked="false" hidden="false"/>
    </xf>
    <xf numFmtId="167" fontId="11" fillId="0" borderId="0" xfId="20" applyFont="true" applyBorder="true" applyAlignment="true" applyProtection="true">
      <alignment horizontal="left" vertical="center" textRotation="0" wrapText="true" indent="0" shrinkToFit="false"/>
      <protection locked="false" hidden="false"/>
    </xf>
    <xf numFmtId="167" fontId="11" fillId="0" borderId="0" xfId="20" applyFont="true" applyBorder="true" applyAlignment="true" applyProtection="true">
      <alignment horizontal="left" vertical="center" textRotation="0" wrapText="false" indent="0" shrinkToFit="false"/>
      <protection locked="false" hidden="false"/>
    </xf>
    <xf numFmtId="167" fontId="9" fillId="0" borderId="0" xfId="0" applyFont="true" applyBorder="false" applyAlignment="true" applyProtection="true">
      <alignment horizontal="left" vertical="center" textRotation="0" wrapText="false" indent="0" shrinkToFit="false"/>
      <protection locked="false" hidden="false"/>
    </xf>
    <xf numFmtId="166" fontId="10" fillId="0" borderId="0" xfId="25" applyFont="true" applyBorder="false" applyAlignment="true" applyProtection="true">
      <alignment horizontal="general" vertical="bottom" textRotation="0" wrapText="false" indent="0" shrinkToFit="false"/>
      <protection locked="true" hidden="false"/>
    </xf>
    <xf numFmtId="166" fontId="10" fillId="0" borderId="0" xfId="25" applyFont="true" applyBorder="false" applyAlignment="true" applyProtection="true">
      <alignment horizontal="right" vertical="center"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3" fillId="0" borderId="0" xfId="20" applyFont="true" applyBorder="true" applyAlignment="true" applyProtection="true">
      <alignment horizontal="general" vertical="bottom" textRotation="0" wrapText="false" indent="0" shrinkToFit="false"/>
      <protection locked="true" hidden="false"/>
    </xf>
    <xf numFmtId="168" fontId="10" fillId="4" borderId="0" xfId="25" applyFont="true" applyBorder="false" applyAlignment="true" applyProtection="true">
      <alignment horizontal="general" vertical="center" textRotation="0" wrapText="false" indent="0" shrinkToFit="false"/>
      <protection locked="false" hidden="false"/>
    </xf>
    <xf numFmtId="167" fontId="9" fillId="4" borderId="0" xfId="0" applyFont="true" applyBorder="false" applyAlignment="true" applyProtection="true">
      <alignment horizontal="general" vertical="center" textRotation="0" wrapText="false" indent="0" shrinkToFit="false"/>
      <protection locked="false" hidden="false"/>
    </xf>
    <xf numFmtId="167" fontId="11" fillId="4" borderId="0" xfId="20" applyFont="true" applyBorder="true" applyAlignment="true" applyProtection="true">
      <alignment horizontal="general" vertical="center" textRotation="0" wrapText="false" indent="0" shrinkToFit="true"/>
      <protection locked="false" hidden="false"/>
    </xf>
    <xf numFmtId="167" fontId="9" fillId="4" borderId="0" xfId="0" applyFont="true" applyBorder="false" applyAlignment="true" applyProtection="true">
      <alignment horizontal="right" vertical="center" textRotation="0" wrapText="false" indent="0" shrinkToFit="true"/>
      <protection locked="false" hidden="false"/>
    </xf>
    <xf numFmtId="167" fontId="9" fillId="4" borderId="0" xfId="0" applyFont="true" applyBorder="false" applyAlignment="true" applyProtection="true">
      <alignment horizontal="center" vertical="center" textRotation="0" wrapText="false" indent="0" shrinkToFit="true"/>
      <protection locked="false" hidden="false"/>
    </xf>
    <xf numFmtId="169" fontId="9" fillId="4" borderId="0" xfId="0" applyFont="true" applyBorder="false" applyAlignment="true" applyProtection="true">
      <alignment horizontal="general" vertical="center" textRotation="0" wrapText="false" indent="0" shrinkToFit="false"/>
      <protection locked="false" hidden="false"/>
    </xf>
    <xf numFmtId="164" fontId="9" fillId="4" borderId="0" xfId="0" applyFont="true" applyBorder="false" applyAlignment="true" applyProtection="true">
      <alignment horizontal="general" vertical="center" textRotation="0" wrapText="false" indent="0" shrinkToFit="false"/>
      <protection locked="false" hidden="false"/>
    </xf>
    <xf numFmtId="167" fontId="9" fillId="4" borderId="0" xfId="0" applyFont="true" applyBorder="false" applyAlignment="true" applyProtection="true">
      <alignment horizontal="left" vertical="center" textRotation="0" wrapText="true" indent="0" shrinkToFit="false"/>
      <protection locked="fals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7" fontId="9" fillId="4" borderId="0" xfId="0" applyFont="true" applyBorder="false" applyAlignment="true" applyProtection="true">
      <alignment horizontal="general" vertical="center" textRotation="0" wrapText="true" indent="0" shrinkToFit="false"/>
      <protection locked="false" hidden="false"/>
    </xf>
    <xf numFmtId="167" fontId="9" fillId="4" borderId="0" xfId="0" applyFont="true" applyBorder="false" applyAlignment="true" applyProtection="true">
      <alignment horizontal="left" vertical="center" textRotation="0" wrapText="false" indent="0" shrinkToFit="false"/>
      <protection locked="false" hidden="false"/>
    </xf>
    <xf numFmtId="167" fontId="11" fillId="4" borderId="0" xfId="20" applyFont="true" applyBorder="true" applyAlignment="true" applyProtection="true">
      <alignment horizontal="left" vertical="center" textRotation="0" wrapText="false" indent="0" shrinkToFit="false"/>
      <protection locked="false" hidden="false"/>
    </xf>
    <xf numFmtId="168" fontId="10" fillId="5" borderId="0" xfId="25" applyFont="true" applyBorder="false" applyAlignment="true" applyProtection="true">
      <alignment horizontal="general" vertical="center" textRotation="0" wrapText="false" indent="0" shrinkToFit="false"/>
      <protection locked="false" hidden="false"/>
    </xf>
    <xf numFmtId="167" fontId="9" fillId="5" borderId="0" xfId="0" applyFont="true" applyBorder="false" applyAlignment="true" applyProtection="true">
      <alignment horizontal="general" vertical="center" textRotation="0" wrapText="false" indent="0" shrinkToFit="false"/>
      <protection locked="false" hidden="false"/>
    </xf>
    <xf numFmtId="167" fontId="11" fillId="5" borderId="0" xfId="20" applyFont="true" applyBorder="true" applyAlignment="true" applyProtection="true">
      <alignment horizontal="general" vertical="center" textRotation="0" wrapText="false" indent="0" shrinkToFit="true"/>
      <protection locked="false" hidden="false"/>
    </xf>
    <xf numFmtId="167" fontId="9" fillId="5" borderId="0" xfId="0" applyFont="true" applyBorder="false" applyAlignment="true" applyProtection="true">
      <alignment horizontal="right" vertical="center" textRotation="0" wrapText="false" indent="0" shrinkToFit="true"/>
      <protection locked="false" hidden="false"/>
    </xf>
    <xf numFmtId="167" fontId="9" fillId="5" borderId="0" xfId="0" applyFont="true" applyBorder="false" applyAlignment="true" applyProtection="true">
      <alignment horizontal="center" vertical="center" textRotation="0" wrapText="false" indent="0" shrinkToFit="true"/>
      <protection locked="false" hidden="false"/>
    </xf>
    <xf numFmtId="169" fontId="9" fillId="5" borderId="0" xfId="0" applyFont="true" applyBorder="false" applyAlignment="true" applyProtection="true">
      <alignment horizontal="general" vertical="center" textRotation="0" wrapText="false" indent="0" shrinkToFit="false"/>
      <protection locked="false" hidden="false"/>
    </xf>
    <xf numFmtId="164" fontId="9" fillId="5" borderId="0" xfId="0" applyFont="true" applyBorder="false" applyAlignment="true" applyProtection="true">
      <alignment horizontal="general" vertical="center" textRotation="0" wrapText="false" indent="0" shrinkToFit="false"/>
      <protection locked="false" hidden="false"/>
    </xf>
    <xf numFmtId="167" fontId="11" fillId="5" borderId="0" xfId="20" applyFont="true" applyBorder="true" applyAlignment="true" applyProtection="true">
      <alignment horizontal="left" vertical="center" textRotation="0" wrapText="false" indent="0" shrinkToFit="false"/>
      <protection locked="fals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7" fontId="9" fillId="0" borderId="0" xfId="0" applyFont="true" applyBorder="false" applyAlignment="true" applyProtection="true">
      <alignment horizontal="general" vertical="center" textRotation="0" wrapText="false" indent="0" shrinkToFit="true"/>
      <protection locked="false" hidden="false"/>
    </xf>
    <xf numFmtId="168" fontId="10" fillId="0" borderId="0" xfId="25" applyFont="true" applyBorder="false" applyAlignment="true" applyProtection="true">
      <alignment horizontal="right" vertical="center" textRotation="0" wrapText="false" indent="0" shrinkToFit="true"/>
      <protection locked="false" hidden="false"/>
    </xf>
    <xf numFmtId="166" fontId="10" fillId="0" borderId="0" xfId="25" applyFont="true" applyBorder="false" applyAlignment="true" applyProtection="true">
      <alignment horizontal="general" vertical="center" textRotation="0" wrapText="false" indent="0" shrinkToFit="false"/>
      <protection locked="false" hidden="false"/>
    </xf>
    <xf numFmtId="168" fontId="10" fillId="0" borderId="0" xfId="25" applyFont="true" applyBorder="false" applyAlignment="true" applyProtection="true">
      <alignment horizontal="general" vertical="center" textRotation="0" wrapText="false" indent="0" shrinkToFit="true"/>
      <protection locked="false" hidden="false"/>
    </xf>
    <xf numFmtId="168" fontId="10" fillId="0" borderId="0" xfId="25" applyFont="true" applyBorder="false" applyAlignment="true" applyProtection="true">
      <alignment horizontal="center" vertical="center" textRotation="0" wrapText="false" indent="0" shrinkToFit="true"/>
      <protection locked="false" hidden="false"/>
    </xf>
    <xf numFmtId="169" fontId="10" fillId="0" borderId="0" xfId="25" applyFont="true" applyBorder="false" applyAlignment="true" applyProtection="true">
      <alignment horizontal="general" vertical="center" textRotation="0" wrapText="false" indent="0" shrinkToFit="false"/>
      <protection locked="false" hidden="false"/>
    </xf>
    <xf numFmtId="166" fontId="14" fillId="0" borderId="3" xfId="25" applyFont="true" applyBorder="true" applyAlignment="true" applyProtection="true">
      <alignment horizontal="center" vertical="bottom" textRotation="0" wrapText="false" indent="0" shrinkToFit="false"/>
      <protection locked="true" hidden="false"/>
    </xf>
    <xf numFmtId="166" fontId="6" fillId="0" borderId="0" xfId="25" applyFont="true" applyBorder="false" applyAlignment="true" applyProtection="true">
      <alignment horizontal="general" vertical="bottom" textRotation="0" wrapText="false" indent="0" shrinkToFit="false"/>
      <protection locked="true" hidden="false"/>
    </xf>
    <xf numFmtId="168" fontId="6" fillId="0" borderId="0" xfId="25" applyFont="true" applyBorder="false" applyAlignment="true" applyProtection="true">
      <alignment horizontal="general" vertical="bottom" textRotation="0" wrapText="false" indent="0" shrinkToFit="false"/>
      <protection locked="true" hidden="false"/>
    </xf>
    <xf numFmtId="167" fontId="20" fillId="2" borderId="4" xfId="0" applyFont="true" applyBorder="true" applyAlignment="true" applyProtection="true">
      <alignment horizontal="left" vertical="bottom" textRotation="0" wrapText="false" indent="0" shrinkToFit="false"/>
      <protection locked="true" hidden="false"/>
    </xf>
    <xf numFmtId="164" fontId="21" fillId="0" borderId="5" xfId="0" applyFont="true" applyBorder="true" applyAlignment="true" applyProtection="true">
      <alignment horizontal="center" vertical="center" textRotation="0" wrapText="false" indent="0" shrinkToFit="false"/>
      <protection locked="false" hidden="false"/>
    </xf>
    <xf numFmtId="167" fontId="20" fillId="2" borderId="4" xfId="0" applyFont="true" applyBorder="true" applyAlignment="true" applyProtection="true">
      <alignment horizontal="left" vertical="center" textRotation="0" wrapText="false" indent="0" shrinkToFit="false"/>
      <protection locked="true" hidden="false"/>
    </xf>
    <xf numFmtId="167" fontId="21" fillId="0" borderId="6" xfId="0" applyFont="true" applyBorder="true" applyAlignment="true" applyProtection="true">
      <alignment horizontal="center" vertical="center" textRotation="0" wrapText="false" indent="0" shrinkToFit="false"/>
      <protection locked="false" hidden="false"/>
    </xf>
    <xf numFmtId="167" fontId="20" fillId="2" borderId="4" xfId="0" applyFont="true" applyBorder="true" applyAlignment="true" applyProtection="true">
      <alignment horizontal="general" vertical="center" textRotation="0" wrapText="false" indent="0" shrinkToFit="false"/>
      <protection locked="true" hidden="false"/>
    </xf>
    <xf numFmtId="167" fontId="21" fillId="0" borderId="5" xfId="0" applyFont="true" applyBorder="true" applyAlignment="true" applyProtection="true">
      <alignment horizontal="center" vertical="center" textRotation="0" wrapText="false" indent="0" shrinkToFit="false"/>
      <protection locked="false" hidden="false"/>
    </xf>
    <xf numFmtId="167" fontId="20" fillId="2" borderId="7" xfId="0" applyFont="true" applyBorder="true" applyAlignment="true" applyProtection="true">
      <alignment horizontal="center" vertical="center" textRotation="0" wrapText="false" indent="0" shrinkToFit="false"/>
      <protection locked="true" hidden="false"/>
    </xf>
    <xf numFmtId="167" fontId="20" fillId="2" borderId="8" xfId="0" applyFont="true" applyBorder="true" applyAlignment="true" applyProtection="true">
      <alignment horizontal="left" vertical="bottom" textRotation="0" wrapText="false" indent="0" shrinkToFit="false"/>
      <protection locked="true" hidden="false"/>
    </xf>
    <xf numFmtId="167" fontId="21" fillId="0" borderId="0" xfId="0" applyFont="true" applyBorder="true" applyAlignment="true" applyProtection="true">
      <alignment horizontal="center" vertical="center" textRotation="0" wrapText="false" indent="0" shrinkToFit="false"/>
      <protection locked="false" hidden="false"/>
    </xf>
    <xf numFmtId="167" fontId="20" fillId="2" borderId="8" xfId="0" applyFont="true" applyBorder="true" applyAlignment="true" applyProtection="true">
      <alignment horizontal="left" vertical="center" textRotation="0" wrapText="false" indent="0" shrinkToFit="false"/>
      <protection locked="true" hidden="false"/>
    </xf>
    <xf numFmtId="167" fontId="21" fillId="0" borderId="9" xfId="0" applyFont="true" applyBorder="true" applyAlignment="true" applyProtection="true">
      <alignment horizontal="center" vertical="center" textRotation="0" wrapText="false" indent="0" shrinkToFit="false"/>
      <protection locked="false" hidden="false"/>
    </xf>
    <xf numFmtId="167" fontId="20" fillId="2" borderId="8" xfId="0" applyFont="true" applyBorder="true" applyAlignment="true" applyProtection="true">
      <alignment horizontal="general" vertical="center" textRotation="0" wrapText="false" indent="0" shrinkToFit="false"/>
      <protection locked="true" hidden="false"/>
    </xf>
    <xf numFmtId="170" fontId="21" fillId="0" borderId="0" xfId="0" applyFont="true" applyBorder="false" applyAlignment="true" applyProtection="true">
      <alignment horizontal="center" vertical="center" textRotation="0" wrapText="false" indent="0" shrinkToFit="false"/>
      <protection locked="false" hidden="false"/>
    </xf>
    <xf numFmtId="167" fontId="20" fillId="2" borderId="8" xfId="0" applyFont="true" applyBorder="true" applyAlignment="true" applyProtection="true">
      <alignment horizontal="left" vertical="center" textRotation="0" wrapText="true" indent="0" shrinkToFit="false"/>
      <protection locked="false" hidden="false"/>
    </xf>
    <xf numFmtId="167" fontId="21" fillId="0" borderId="9" xfId="0" applyFont="true" applyBorder="true" applyAlignment="true" applyProtection="true">
      <alignment horizontal="general" vertical="center" textRotation="0" wrapText="true" indent="0" shrinkToFit="false"/>
      <protection locked="false" hidden="false"/>
    </xf>
    <xf numFmtId="164" fontId="21" fillId="0" borderId="0" xfId="0" applyFont="true" applyBorder="true" applyAlignment="true" applyProtection="true">
      <alignment horizontal="center" vertical="center" textRotation="0" wrapText="false" indent="0" shrinkToFit="false"/>
      <protection locked="false" hidden="false"/>
    </xf>
    <xf numFmtId="168" fontId="14" fillId="2" borderId="8" xfId="25" applyFont="true" applyBorder="true" applyAlignment="true" applyProtection="true">
      <alignment horizontal="general" vertical="bottom" textRotation="0" wrapText="false" indent="0" shrinkToFit="false"/>
      <protection locked="true" hidden="false"/>
    </xf>
    <xf numFmtId="167" fontId="21" fillId="0" borderId="0" xfId="0" applyFont="true" applyBorder="false" applyAlignment="true" applyProtection="true">
      <alignment horizontal="center" vertical="center" textRotation="0" wrapText="false" indent="0" shrinkToFit="false"/>
      <protection locked="false" hidden="false"/>
    </xf>
    <xf numFmtId="167" fontId="20" fillId="2" borderId="8" xfId="0" applyFont="true" applyBorder="true" applyAlignment="true" applyProtection="true">
      <alignment horizontal="left" vertical="center" textRotation="0" wrapText="true" indent="0" shrinkToFit="false"/>
      <protection locked="true" hidden="false"/>
    </xf>
    <xf numFmtId="167" fontId="20" fillId="2" borderId="8" xfId="0" applyFont="true" applyBorder="true" applyAlignment="true" applyProtection="true">
      <alignment horizontal="general" vertical="bottom" textRotation="0" wrapText="false" indent="0" shrinkToFit="false"/>
      <protection locked="true" hidden="false"/>
    </xf>
    <xf numFmtId="167" fontId="20" fillId="2" borderId="10" xfId="0" applyFont="true" applyBorder="true" applyAlignment="true" applyProtection="true">
      <alignment horizontal="center" vertical="center" textRotation="0" wrapText="true" indent="0" shrinkToFit="false"/>
      <protection locked="true" hidden="false"/>
    </xf>
    <xf numFmtId="167" fontId="20" fillId="2" borderId="11" xfId="0" applyFont="true" applyBorder="true" applyAlignment="true" applyProtection="true">
      <alignment horizontal="left" vertical="bottom" textRotation="0" wrapText="false" indent="0" shrinkToFit="false"/>
      <protection locked="true" hidden="false"/>
    </xf>
    <xf numFmtId="164" fontId="21" fillId="0" borderId="12" xfId="0" applyFont="true" applyBorder="true" applyAlignment="true" applyProtection="true">
      <alignment horizontal="center" vertical="center" textRotation="0" wrapText="false" indent="0" shrinkToFit="false"/>
      <protection locked="false" hidden="false"/>
    </xf>
    <xf numFmtId="167" fontId="20" fillId="2" borderId="11" xfId="0" applyFont="true" applyBorder="true" applyAlignment="true" applyProtection="true">
      <alignment horizontal="left" vertical="center" textRotation="0" wrapText="false" indent="0" shrinkToFit="false"/>
      <protection locked="true" hidden="false"/>
    </xf>
    <xf numFmtId="167" fontId="21" fillId="0" borderId="13" xfId="0" applyFont="true" applyBorder="true" applyAlignment="true" applyProtection="true">
      <alignment horizontal="center" vertical="center" textRotation="0" wrapText="false" indent="0" shrinkToFit="false"/>
      <protection locked="false" hidden="false"/>
    </xf>
    <xf numFmtId="167" fontId="20" fillId="2" borderId="11" xfId="0" applyFont="true" applyBorder="true" applyAlignment="true" applyProtection="true">
      <alignment horizontal="general" vertical="bottom" textRotation="0" wrapText="false" indent="0" shrinkToFit="false"/>
      <protection locked="true" hidden="false"/>
    </xf>
    <xf numFmtId="167" fontId="21" fillId="0" borderId="12" xfId="0" applyFont="true" applyBorder="true" applyAlignment="true" applyProtection="true">
      <alignment horizontal="center" vertical="center" textRotation="0" wrapText="false" indent="0" shrinkToFit="false"/>
      <protection locked="false" hidden="false"/>
    </xf>
    <xf numFmtId="167" fontId="21" fillId="0" borderId="14" xfId="0" applyFont="true" applyBorder="true" applyAlignment="true" applyProtection="true">
      <alignment horizontal="center" vertical="center" textRotation="0" wrapText="true" indent="0" shrinkToFit="false"/>
      <protection locked="false" hidden="false"/>
    </xf>
    <xf numFmtId="164" fontId="9" fillId="2" borderId="15" xfId="0" applyFont="true" applyBorder="true" applyAlignment="true" applyProtection="true">
      <alignment horizontal="center" vertical="center" textRotation="0" wrapText="true" indent="0" shrinkToFit="false"/>
      <protection locked="true" hidden="false"/>
    </xf>
    <xf numFmtId="164" fontId="9" fillId="2" borderId="16" xfId="0" applyFont="true" applyBorder="true" applyAlignment="true" applyProtection="true">
      <alignment horizontal="center" vertical="center" textRotation="0" wrapText="true" indent="0" shrinkToFit="false"/>
      <protection locked="true" hidden="false"/>
    </xf>
    <xf numFmtId="167" fontId="9" fillId="2" borderId="16" xfId="0" applyFont="true" applyBorder="true" applyAlignment="true" applyProtection="true">
      <alignment horizontal="center" vertical="center" textRotation="0" wrapText="true" indent="0" shrinkToFit="false"/>
      <protection locked="true" hidden="false"/>
    </xf>
    <xf numFmtId="167" fontId="9" fillId="2" borderId="17" xfId="0" applyFont="true" applyBorder="true" applyAlignment="true" applyProtection="true">
      <alignment horizontal="center" vertical="center" textRotation="0" wrapText="true" indent="0" shrinkToFit="false"/>
      <protection locked="true" hidden="false"/>
    </xf>
    <xf numFmtId="164" fontId="9" fillId="2" borderId="18" xfId="0" applyFont="true" applyBorder="true" applyAlignment="true" applyProtection="true">
      <alignment horizontal="center" vertical="center" textRotation="0" wrapText="true" indent="0" shrinkToFit="false"/>
      <protection locked="true" hidden="false"/>
    </xf>
    <xf numFmtId="164" fontId="9" fillId="2" borderId="19" xfId="0" applyFont="true" applyBorder="true" applyAlignment="true" applyProtection="true">
      <alignment horizontal="center" vertical="center" textRotation="0" wrapText="true" indent="0" shrinkToFit="false"/>
      <protection locked="true" hidden="false"/>
    </xf>
    <xf numFmtId="164" fontId="9" fillId="2" borderId="20" xfId="0" applyFont="true" applyBorder="true" applyAlignment="true" applyProtection="true">
      <alignment horizontal="center" vertical="center" textRotation="0" wrapText="true" indent="0" shrinkToFit="false"/>
      <protection locked="true" hidden="false"/>
    </xf>
    <xf numFmtId="164" fontId="13" fillId="0" borderId="21" xfId="0" applyFont="true" applyBorder="true" applyAlignment="true" applyProtection="true">
      <alignment horizontal="general" vertical="center" textRotation="0" wrapText="false" indent="0" shrinkToFit="false"/>
      <protection locked="false" hidden="false"/>
    </xf>
    <xf numFmtId="164" fontId="13" fillId="0" borderId="22" xfId="0" applyFont="true" applyBorder="true" applyAlignment="true" applyProtection="true">
      <alignment horizontal="general" vertical="center" textRotation="0" wrapText="false" indent="0" shrinkToFit="false"/>
      <protection locked="false" hidden="false"/>
    </xf>
    <xf numFmtId="166" fontId="13" fillId="0" borderId="23" xfId="25" applyFont="true" applyBorder="true" applyAlignment="true" applyProtection="true">
      <alignment horizontal="general" vertical="center" textRotation="0" wrapText="false" indent="0" shrinkToFit="false"/>
      <protection locked="false" hidden="false"/>
    </xf>
    <xf numFmtId="164" fontId="22" fillId="0" borderId="22" xfId="0" applyFont="true" applyBorder="true" applyAlignment="true" applyProtection="true">
      <alignment horizontal="general" vertical="center" textRotation="0" wrapText="false" indent="0" shrinkToFit="true"/>
      <protection locked="false" hidden="false"/>
    </xf>
    <xf numFmtId="164" fontId="13" fillId="0" borderId="22" xfId="0" applyFont="true" applyBorder="true" applyAlignment="true" applyProtection="true">
      <alignment horizontal="right" vertical="center" textRotation="0" wrapText="false" indent="0" shrinkToFit="true"/>
      <protection locked="false" hidden="false"/>
    </xf>
    <xf numFmtId="164" fontId="13" fillId="0" borderId="22" xfId="0" applyFont="true" applyBorder="true" applyAlignment="true" applyProtection="true">
      <alignment horizontal="center" vertical="center" textRotation="0" wrapText="false" indent="0" shrinkToFit="true"/>
      <protection locked="false" hidden="false"/>
    </xf>
    <xf numFmtId="164" fontId="13" fillId="0" borderId="5" xfId="0" applyFont="true" applyBorder="true" applyAlignment="true" applyProtection="true">
      <alignment horizontal="general" vertical="center" textRotation="0" wrapText="false" indent="0" shrinkToFit="false"/>
      <protection locked="false" hidden="false"/>
    </xf>
    <xf numFmtId="164" fontId="22" fillId="0" borderId="23" xfId="0" applyFont="true" applyBorder="true" applyAlignment="true" applyProtection="true">
      <alignment horizontal="left" vertical="center" textRotation="0" wrapText="false" indent="0" shrinkToFit="false"/>
      <protection locked="false" hidden="false"/>
    </xf>
    <xf numFmtId="172" fontId="9" fillId="2" borderId="23" xfId="15" applyFont="true" applyBorder="true" applyAlignment="true" applyProtection="true">
      <alignment horizontal="right" vertical="center" textRotation="0" wrapText="false" indent="0" shrinkToFit="false"/>
      <protection locked="true" hidden="false"/>
    </xf>
    <xf numFmtId="164" fontId="23" fillId="2" borderId="24" xfId="0" applyFont="true" applyBorder="true" applyAlignment="true" applyProtection="true">
      <alignment horizontal="right" vertical="center" textRotation="0" wrapText="false" indent="0" shrinkToFit="true"/>
      <protection locked="true" hidden="false"/>
    </xf>
    <xf numFmtId="164" fontId="23" fillId="2" borderId="25" xfId="0" applyFont="true" applyBorder="true" applyAlignment="true" applyProtection="true">
      <alignment horizontal="right" vertical="center" textRotation="0" wrapText="false" indent="0" shrinkToFit="true"/>
      <protection locked="true" hidden="false"/>
    </xf>
    <xf numFmtId="164" fontId="9" fillId="2" borderId="26" xfId="0" applyFont="true" applyBorder="true" applyAlignment="true" applyProtection="true">
      <alignment horizontal="left" vertical="center" textRotation="0" wrapText="false" indent="0" shrinkToFit="false"/>
      <protection locked="true" hidden="false"/>
    </xf>
    <xf numFmtId="164" fontId="13" fillId="0" borderId="27" xfId="0" applyFont="true" applyBorder="true" applyAlignment="true" applyProtection="true">
      <alignment horizontal="general" vertical="center" textRotation="0" wrapText="false" indent="0" shrinkToFit="false"/>
      <protection locked="false" hidden="false"/>
    </xf>
    <xf numFmtId="164" fontId="13" fillId="0" borderId="28" xfId="0" applyFont="true" applyBorder="true" applyAlignment="true" applyProtection="true">
      <alignment horizontal="general" vertical="center" textRotation="0" wrapText="false" indent="0" shrinkToFit="false"/>
      <protection locked="false" hidden="false"/>
    </xf>
    <xf numFmtId="166" fontId="13" fillId="0" borderId="29" xfId="25" applyFont="true" applyBorder="true" applyAlignment="true" applyProtection="true">
      <alignment horizontal="general" vertical="center" textRotation="0" wrapText="false" indent="0" shrinkToFit="false"/>
      <protection locked="false" hidden="false"/>
    </xf>
    <xf numFmtId="164" fontId="22" fillId="0" borderId="28" xfId="0" applyFont="true" applyBorder="true" applyAlignment="true" applyProtection="true">
      <alignment horizontal="general" vertical="center" textRotation="0" wrapText="false" indent="0" shrinkToFit="true"/>
      <protection locked="false" hidden="false"/>
    </xf>
    <xf numFmtId="164" fontId="13" fillId="0" borderId="28" xfId="0" applyFont="true" applyBorder="true" applyAlignment="true" applyProtection="true">
      <alignment horizontal="right" vertical="center" textRotation="0" wrapText="false" indent="0" shrinkToFit="true"/>
      <protection locked="false" hidden="false"/>
    </xf>
    <xf numFmtId="164" fontId="13" fillId="0" borderId="28" xfId="0" applyFont="true" applyBorder="true" applyAlignment="true" applyProtection="true">
      <alignment horizontal="center" vertical="center" textRotation="0" wrapText="false" indent="0" shrinkToFit="true"/>
      <protection locked="false" hidden="false"/>
    </xf>
    <xf numFmtId="164" fontId="13" fillId="0" borderId="0" xfId="0" applyFont="true" applyBorder="false" applyAlignment="true" applyProtection="true">
      <alignment horizontal="general" vertical="center" textRotation="0" wrapText="false" indent="0" shrinkToFit="false"/>
      <protection locked="false" hidden="false"/>
    </xf>
    <xf numFmtId="164" fontId="22" fillId="0" borderId="29" xfId="0" applyFont="true" applyBorder="true" applyAlignment="true" applyProtection="true">
      <alignment horizontal="left" vertical="center" textRotation="0" wrapText="false" indent="0" shrinkToFit="false"/>
      <protection locked="false" hidden="false"/>
    </xf>
    <xf numFmtId="172" fontId="9" fillId="2" borderId="29" xfId="0" applyFont="true" applyBorder="true" applyAlignment="true" applyProtection="true">
      <alignment horizontal="right" vertical="center" textRotation="0" wrapText="false" indent="0" shrinkToFit="false"/>
      <protection locked="true" hidden="false"/>
    </xf>
    <xf numFmtId="164" fontId="23" fillId="2" borderId="2" xfId="0" applyFont="true" applyBorder="true" applyAlignment="true" applyProtection="true">
      <alignment horizontal="right" vertical="center" textRotation="0" wrapText="false" indent="0" shrinkToFit="true"/>
      <protection locked="true" hidden="false"/>
    </xf>
    <xf numFmtId="164" fontId="23" fillId="2" borderId="30" xfId="0" applyFont="true" applyBorder="true" applyAlignment="true" applyProtection="true">
      <alignment horizontal="right" vertical="center" textRotation="0" wrapText="false" indent="0" shrinkToFit="true"/>
      <protection locked="true" hidden="false"/>
    </xf>
    <xf numFmtId="164" fontId="9" fillId="2" borderId="31" xfId="0" applyFont="true" applyBorder="true" applyAlignment="true" applyProtection="true">
      <alignment horizontal="left" vertical="center" textRotation="0" wrapText="false" indent="0" shrinkToFit="false"/>
      <protection locked="true" hidden="false"/>
    </xf>
    <xf numFmtId="164" fontId="13" fillId="0" borderId="29" xfId="0" applyFont="true" applyBorder="true" applyAlignment="true" applyProtection="true">
      <alignment horizontal="left" vertical="center" textRotation="0" wrapText="false" indent="0" shrinkToFit="false"/>
      <protection locked="false" hidden="false"/>
    </xf>
    <xf numFmtId="164" fontId="13" fillId="0" borderId="28" xfId="0" applyFont="true" applyBorder="true" applyAlignment="true" applyProtection="true">
      <alignment horizontal="general" vertical="center" textRotation="0" wrapText="false" indent="0" shrinkToFit="true"/>
      <protection locked="false" hidden="false"/>
    </xf>
    <xf numFmtId="164" fontId="24" fillId="0" borderId="29" xfId="0" applyFont="true" applyBorder="true" applyAlignment="true" applyProtection="true">
      <alignment horizontal="left" vertical="center" textRotation="0" wrapText="false" indent="0" shrinkToFit="false"/>
      <protection locked="false" hidden="false"/>
    </xf>
    <xf numFmtId="164" fontId="9" fillId="0" borderId="27" xfId="0" applyFont="true" applyBorder="true" applyAlignment="true" applyProtection="true">
      <alignment horizontal="general" vertical="center" textRotation="0" wrapText="false" indent="0" shrinkToFit="false"/>
      <protection locked="false" hidden="false"/>
    </xf>
    <xf numFmtId="164" fontId="9" fillId="0" borderId="28" xfId="0" applyFont="true" applyBorder="true" applyAlignment="true" applyProtection="true">
      <alignment horizontal="general" vertical="center" textRotation="0" wrapText="false" indent="0" shrinkToFit="false"/>
      <protection locked="false" hidden="false"/>
    </xf>
    <xf numFmtId="166" fontId="10" fillId="0" borderId="29" xfId="25" applyFont="true" applyBorder="true" applyAlignment="true" applyProtection="true">
      <alignment horizontal="general" vertical="center" textRotation="0" wrapText="false" indent="0" shrinkToFit="false"/>
      <protection locked="false" hidden="false"/>
    </xf>
    <xf numFmtId="164" fontId="9" fillId="0" borderId="28" xfId="0" applyFont="true" applyBorder="true" applyAlignment="true" applyProtection="true">
      <alignment horizontal="general" vertical="center" textRotation="0" wrapText="false" indent="0" shrinkToFit="true"/>
      <protection locked="false" hidden="false"/>
    </xf>
    <xf numFmtId="164" fontId="9" fillId="0" borderId="28" xfId="0" applyFont="true" applyBorder="true" applyAlignment="true" applyProtection="true">
      <alignment horizontal="right" vertical="center" textRotation="0" wrapText="false" indent="0" shrinkToFit="true"/>
      <protection locked="false" hidden="false"/>
    </xf>
    <xf numFmtId="164" fontId="9" fillId="0" borderId="28" xfId="0" applyFont="true" applyBorder="true" applyAlignment="true" applyProtection="true">
      <alignment horizontal="center" vertical="center" textRotation="0" wrapText="false" indent="0" shrinkToFit="true"/>
      <protection locked="false" hidden="false"/>
    </xf>
    <xf numFmtId="164" fontId="9" fillId="0" borderId="29" xfId="0" applyFont="true" applyBorder="true" applyAlignment="true" applyProtection="true">
      <alignment horizontal="left" vertical="center" textRotation="0" wrapText="false" indent="0" shrinkToFit="false"/>
      <protection locked="false" hidden="false"/>
    </xf>
    <xf numFmtId="166" fontId="10" fillId="0" borderId="29" xfId="25" applyFont="true" applyBorder="true" applyAlignment="true" applyProtection="true">
      <alignment horizontal="right" vertical="center" textRotation="0" wrapText="false" indent="0" shrinkToFit="true"/>
      <protection locked="false" hidden="false"/>
    </xf>
    <xf numFmtId="164" fontId="9" fillId="0" borderId="29" xfId="0" applyFont="true" applyBorder="true" applyAlignment="true" applyProtection="true">
      <alignment horizontal="general" vertical="center" textRotation="0" wrapText="false" indent="0" shrinkToFit="false"/>
      <protection locked="false" hidden="false"/>
    </xf>
    <xf numFmtId="164" fontId="9" fillId="0" borderId="29" xfId="0" applyFont="true" applyBorder="true" applyAlignment="true" applyProtection="true">
      <alignment horizontal="general" vertical="center" textRotation="0" wrapText="false" indent="0" shrinkToFit="true"/>
      <protection locked="false" hidden="false"/>
    </xf>
    <xf numFmtId="164" fontId="9" fillId="0" borderId="29" xfId="0" applyFont="true" applyBorder="true" applyAlignment="true" applyProtection="true">
      <alignment horizontal="center" vertical="center" textRotation="0" wrapText="false" indent="0" shrinkToFit="true"/>
      <protection locked="false" hidden="false"/>
    </xf>
    <xf numFmtId="164" fontId="9" fillId="0" borderId="2" xfId="0" applyFont="true" applyBorder="true" applyAlignment="true" applyProtection="true">
      <alignment horizontal="general" vertical="center" textRotation="0" wrapText="false" indent="0" shrinkToFit="false"/>
      <protection locked="false" hidden="false"/>
    </xf>
    <xf numFmtId="166" fontId="10" fillId="0" borderId="29" xfId="25" applyFont="true" applyBorder="true" applyAlignment="true" applyProtection="true">
      <alignment horizontal="general" vertical="center" textRotation="0" wrapText="false" indent="0" shrinkToFit="true"/>
      <protection locked="false" hidden="false"/>
    </xf>
    <xf numFmtId="166" fontId="10" fillId="0" borderId="29" xfId="25" applyFont="true" applyBorder="true" applyAlignment="true" applyProtection="true">
      <alignment horizontal="center" vertical="center" textRotation="0" wrapText="false" indent="0" shrinkToFit="true"/>
      <protection locked="false" hidden="false"/>
    </xf>
    <xf numFmtId="166" fontId="10" fillId="0" borderId="2" xfId="25" applyFont="true" applyBorder="true" applyAlignment="true" applyProtection="true">
      <alignment horizontal="general" vertical="center" textRotation="0" wrapText="false" indent="0" shrinkToFit="false"/>
      <protection locked="false" hidden="false"/>
    </xf>
    <xf numFmtId="164" fontId="9" fillId="0" borderId="32" xfId="0" applyFont="true" applyBorder="true" applyAlignment="true" applyProtection="true">
      <alignment horizontal="general" vertical="center" textRotation="0" wrapText="false" indent="0" shrinkToFit="false"/>
      <protection locked="false" hidden="false"/>
    </xf>
    <xf numFmtId="166" fontId="10" fillId="0" borderId="18" xfId="25" applyFont="true" applyBorder="true" applyAlignment="true" applyProtection="true">
      <alignment horizontal="general" vertical="center" textRotation="0" wrapText="false" indent="0" shrinkToFit="false"/>
      <protection locked="false" hidden="false"/>
    </xf>
    <xf numFmtId="166" fontId="10" fillId="0" borderId="18" xfId="25" applyFont="true" applyBorder="true" applyAlignment="true" applyProtection="true">
      <alignment horizontal="general" vertical="center" textRotation="0" wrapText="false" indent="0" shrinkToFit="true"/>
      <protection locked="false" hidden="false"/>
    </xf>
    <xf numFmtId="166" fontId="10" fillId="0" borderId="18" xfId="25" applyFont="true" applyBorder="true" applyAlignment="true" applyProtection="true">
      <alignment horizontal="right" vertical="center" textRotation="0" wrapText="false" indent="0" shrinkToFit="true"/>
      <protection locked="false" hidden="false"/>
    </xf>
    <xf numFmtId="166" fontId="10" fillId="0" borderId="18" xfId="25" applyFont="true" applyBorder="true" applyAlignment="true" applyProtection="true">
      <alignment horizontal="center" vertical="center" textRotation="0" wrapText="false" indent="0" shrinkToFit="true"/>
      <protection locked="false" hidden="false"/>
    </xf>
    <xf numFmtId="166" fontId="10" fillId="0" borderId="33" xfId="25" applyFont="true" applyBorder="true" applyAlignment="true" applyProtection="true">
      <alignment horizontal="general" vertical="center" textRotation="0" wrapText="false" indent="0" shrinkToFit="false"/>
      <protection locked="false" hidden="false"/>
    </xf>
    <xf numFmtId="164" fontId="9" fillId="0" borderId="18" xfId="0" applyFont="true" applyBorder="true" applyAlignment="true" applyProtection="true">
      <alignment horizontal="left" vertical="center" textRotation="0" wrapText="false" indent="0" shrinkToFit="false"/>
      <protection locked="false" hidden="false"/>
    </xf>
    <xf numFmtId="172" fontId="9" fillId="2" borderId="18" xfId="0" applyFont="true" applyBorder="true" applyAlignment="true" applyProtection="true">
      <alignment horizontal="right" vertical="center" textRotation="0" wrapText="false" indent="0" shrinkToFit="false"/>
      <protection locked="true" hidden="false"/>
    </xf>
    <xf numFmtId="164" fontId="23" fillId="2" borderId="33" xfId="0" applyFont="true" applyBorder="true" applyAlignment="true" applyProtection="true">
      <alignment horizontal="right" vertical="center" textRotation="0" wrapText="false" indent="0" shrinkToFit="true"/>
      <protection locked="true" hidden="false"/>
    </xf>
    <xf numFmtId="164" fontId="23" fillId="2" borderId="34" xfId="0" applyFont="true" applyBorder="true" applyAlignment="true" applyProtection="true">
      <alignment horizontal="right" vertical="center" textRotation="0" wrapText="false" indent="0" shrinkToFit="true"/>
      <protection locked="true" hidden="false"/>
    </xf>
    <xf numFmtId="164" fontId="9" fillId="2" borderId="35" xfId="0" applyFont="true" applyBorder="true" applyAlignment="true" applyProtection="true">
      <alignment horizontal="left" vertical="center" textRotation="0" wrapText="false" indent="0" shrinkToFit="false"/>
      <protection locked="true" hidden="false"/>
    </xf>
    <xf numFmtId="166" fontId="10" fillId="0" borderId="36" xfId="25" applyFont="true" applyBorder="true" applyAlignment="true" applyProtection="true">
      <alignment horizontal="center" vertical="bottom" textRotation="0" wrapText="false" indent="0" shrinkToFit="false"/>
      <protection locked="true" hidden="false"/>
    </xf>
    <xf numFmtId="166" fontId="10" fillId="0" borderId="37" xfId="25" applyFont="true" applyBorder="true" applyAlignment="true" applyProtection="true">
      <alignment horizontal="center" vertical="bottom" textRotation="0" wrapText="false" indent="0" shrinkToFit="false"/>
      <protection locked="true" hidden="false"/>
    </xf>
    <xf numFmtId="166" fontId="10" fillId="0" borderId="38" xfId="25" applyFont="true" applyBorder="true" applyAlignment="true" applyProtection="true">
      <alignment horizontal="center" vertical="bottom" textRotation="0" wrapText="false" indent="0" shrinkToFit="false"/>
      <protection locked="true" hidden="false"/>
    </xf>
    <xf numFmtId="166" fontId="10" fillId="0" borderId="32" xfId="25" applyFont="true" applyBorder="true" applyAlignment="true" applyProtection="true">
      <alignment horizontal="center" vertical="center" textRotation="0" wrapText="true" indent="0" shrinkToFit="false"/>
      <protection locked="true" hidden="false"/>
    </xf>
    <xf numFmtId="166" fontId="10" fillId="0" borderId="18" xfId="25" applyFont="true" applyBorder="true" applyAlignment="true" applyProtection="true">
      <alignment horizontal="center" vertical="center" textRotation="0" wrapText="true" indent="0" shrinkToFit="false"/>
      <protection locked="true" hidden="false"/>
    </xf>
    <xf numFmtId="166" fontId="10" fillId="0" borderId="39" xfId="25" applyFont="true" applyBorder="true" applyAlignment="true" applyProtection="true">
      <alignment horizontal="center" vertical="center" textRotation="0" wrapText="true" indent="0" shrinkToFit="false"/>
      <protection locked="true" hidden="false"/>
    </xf>
    <xf numFmtId="166" fontId="10" fillId="0" borderId="39" xfId="25" applyFont="true" applyBorder="true" applyAlignment="true" applyProtection="true">
      <alignment horizontal="center" vertical="center" textRotation="0" wrapText="false" indent="0" shrinkToFit="false"/>
      <protection locked="true" hidden="false"/>
    </xf>
    <xf numFmtId="166" fontId="10" fillId="0" borderId="40" xfId="25" applyFont="true" applyBorder="true" applyAlignment="true" applyProtection="true">
      <alignment horizontal="center" vertical="center" textRotation="0" wrapText="true" indent="0" shrinkToFit="false"/>
      <protection locked="true" hidden="false"/>
    </xf>
    <xf numFmtId="164" fontId="10" fillId="0" borderId="21" xfId="25" applyFont="true" applyBorder="true" applyAlignment="true" applyProtection="true">
      <alignment horizontal="right" vertical="top" textRotation="0" wrapText="true" indent="0" shrinkToFit="false"/>
      <protection locked="true" hidden="false"/>
    </xf>
    <xf numFmtId="164" fontId="10" fillId="0" borderId="23" xfId="25" applyFont="true" applyBorder="true" applyAlignment="true" applyProtection="true">
      <alignment horizontal="right" vertical="top" textRotation="0" wrapText="true" indent="0" shrinkToFit="false"/>
      <protection locked="true" hidden="false"/>
    </xf>
    <xf numFmtId="166" fontId="10" fillId="0" borderId="23" xfId="25" applyFont="true" applyBorder="true" applyAlignment="true" applyProtection="true">
      <alignment horizontal="center" vertical="top" textRotation="0" wrapText="true" indent="0" shrinkToFit="false"/>
      <protection locked="true" hidden="false"/>
    </xf>
    <xf numFmtId="166" fontId="10" fillId="0" borderId="23" xfId="25" applyFont="true" applyBorder="true" applyAlignment="true" applyProtection="true">
      <alignment horizontal="left" vertical="top" textRotation="0" wrapText="true" indent="0" shrinkToFit="false"/>
      <protection locked="true" hidden="false"/>
    </xf>
    <xf numFmtId="166" fontId="10" fillId="0" borderId="41" xfId="25" applyFont="true" applyBorder="true" applyAlignment="true" applyProtection="true">
      <alignment horizontal="center" vertical="top" textRotation="0" wrapText="true" indent="0" shrinkToFit="false"/>
      <protection locked="true" hidden="false"/>
    </xf>
    <xf numFmtId="166" fontId="7" fillId="0" borderId="0" xfId="25"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10" fillId="0" borderId="27" xfId="25" applyFont="true" applyBorder="true" applyAlignment="true" applyProtection="true">
      <alignment horizontal="right" vertical="top" textRotation="0" wrapText="true" indent="0" shrinkToFit="false"/>
      <protection locked="true" hidden="false"/>
    </xf>
    <xf numFmtId="164" fontId="10" fillId="0" borderId="29" xfId="25" applyFont="true" applyBorder="true" applyAlignment="true" applyProtection="true">
      <alignment horizontal="right" vertical="top" textRotation="0" wrapText="true" indent="0" shrinkToFit="false"/>
      <protection locked="true" hidden="false"/>
    </xf>
    <xf numFmtId="166" fontId="10" fillId="0" borderId="29" xfId="25" applyFont="true" applyBorder="true" applyAlignment="true" applyProtection="true">
      <alignment horizontal="center" vertical="top" textRotation="0" wrapText="true" indent="0" shrinkToFit="false"/>
      <protection locked="true" hidden="false"/>
    </xf>
    <xf numFmtId="166" fontId="10" fillId="0" borderId="29" xfId="25" applyFont="true" applyBorder="true" applyAlignment="true" applyProtection="true">
      <alignment horizontal="left" vertical="top" textRotation="0" wrapText="true" indent="0" shrinkToFit="false"/>
      <protection locked="true" hidden="false"/>
    </xf>
    <xf numFmtId="166" fontId="10" fillId="0" borderId="42" xfId="25" applyFont="true" applyBorder="true" applyAlignment="true" applyProtection="true">
      <alignment horizontal="center" vertical="top" textRotation="0" wrapText="true" indent="0" shrinkToFit="false"/>
      <protection locked="true" hidden="false"/>
    </xf>
    <xf numFmtId="164" fontId="10" fillId="0" borderId="32" xfId="25" applyFont="true" applyBorder="true" applyAlignment="true" applyProtection="true">
      <alignment horizontal="right" vertical="top" textRotation="0" wrapText="true" indent="0" shrinkToFit="false"/>
      <protection locked="true" hidden="false"/>
    </xf>
    <xf numFmtId="166" fontId="10" fillId="0" borderId="18" xfId="25" applyFont="true" applyBorder="true" applyAlignment="true" applyProtection="true">
      <alignment horizontal="right" vertical="top" textRotation="0" wrapText="true" indent="0" shrinkToFit="false"/>
      <protection locked="true" hidden="false"/>
    </xf>
    <xf numFmtId="166" fontId="10" fillId="0" borderId="18" xfId="25" applyFont="true" applyBorder="true" applyAlignment="true" applyProtection="true">
      <alignment horizontal="center" vertical="top" textRotation="0" wrapText="true" indent="0" shrinkToFit="false"/>
      <protection locked="true" hidden="false"/>
    </xf>
    <xf numFmtId="166" fontId="10" fillId="0" borderId="43" xfId="25" applyFont="true" applyBorder="true" applyAlignment="true" applyProtection="true">
      <alignment horizontal="center" vertical="top" textRotation="0" wrapText="true" indent="0" shrinkToFit="false"/>
      <protection locked="true" hidden="false"/>
    </xf>
    <xf numFmtId="166" fontId="25" fillId="0" borderId="7" xfId="25" applyFont="true" applyBorder="true" applyAlignment="true" applyProtection="true">
      <alignment horizontal="left" vertical="center" textRotation="0" wrapText="false" indent="0" shrinkToFit="false"/>
      <protection locked="true" hidden="false"/>
    </xf>
    <xf numFmtId="166" fontId="10" fillId="0" borderId="14" xfId="25" applyFont="true" applyBorder="true" applyAlignment="true" applyProtection="true">
      <alignment horizontal="center" vertical="center" textRotation="0" wrapText="false" indent="0" shrinkToFit="false"/>
      <protection locked="true" hidden="false"/>
    </xf>
    <xf numFmtId="166" fontId="26" fillId="0" borderId="14" xfId="25" applyFont="true" applyBorder="true" applyAlignment="true" applyProtection="true">
      <alignment horizontal="center" vertical="center" textRotation="0" wrapText="false" indent="0" shrinkToFit="false"/>
      <protection locked="true" hidden="false"/>
    </xf>
    <xf numFmtId="166" fontId="27" fillId="0" borderId="14" xfId="0" applyFont="true" applyBorder="true" applyAlignment="true" applyProtection="true">
      <alignment horizontal="center" vertical="center" textRotation="0" wrapText="false" indent="0" shrinkToFit="false"/>
      <protection locked="true" hidden="false"/>
    </xf>
    <xf numFmtId="164" fontId="27" fillId="0" borderId="14" xfId="0" applyFont="true" applyBorder="true" applyAlignment="true" applyProtection="true">
      <alignment horizontal="center" vertical="center"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8" fontId="25" fillId="0" borderId="7" xfId="25" applyFont="true" applyBorder="true" applyAlignment="true" applyProtection="true">
      <alignment horizontal="left" vertical="center" textRotation="0" wrapText="false" indent="0" shrinkToFit="false"/>
      <protection locked="true" hidden="false"/>
    </xf>
    <xf numFmtId="164" fontId="9" fillId="0" borderId="14" xfId="0" applyFont="true" applyBorder="true" applyAlignment="true" applyProtection="true">
      <alignment horizontal="center" vertical="center" textRotation="0" wrapText="false" indent="0" shrinkToFit="false"/>
      <protection locked="true" hidden="false"/>
    </xf>
    <xf numFmtId="166" fontId="14" fillId="0" borderId="14" xfId="25" applyFont="true" applyBorder="true" applyAlignment="true" applyProtection="true">
      <alignment horizontal="center" vertical="center" textRotation="0" wrapText="false" indent="0" shrinkToFit="false"/>
      <protection locked="true" hidden="false"/>
    </xf>
    <xf numFmtId="166" fontId="28" fillId="0" borderId="10" xfId="25" applyFont="true" applyBorder="true" applyAlignment="true" applyProtection="true">
      <alignment horizontal="center" vertical="center" textRotation="0" wrapText="false" indent="0" shrinkToFit="false"/>
      <protection locked="true" hidden="false"/>
    </xf>
    <xf numFmtId="166" fontId="29" fillId="0" borderId="10" xfId="25" applyFont="true" applyBorder="true" applyAlignment="true" applyProtection="true">
      <alignment horizontal="center" vertical="center" textRotation="0" wrapText="false" indent="0" shrinkToFit="false"/>
      <protection locked="true" hidden="false"/>
    </xf>
    <xf numFmtId="166" fontId="25" fillId="0" borderId="7" xfId="25" applyFont="true" applyBorder="true" applyAlignment="true" applyProtection="true">
      <alignment horizontal="left" vertical="bottom" textRotation="0" wrapText="false" indent="0" shrinkToFit="false"/>
      <protection locked="true" hidden="false"/>
    </xf>
    <xf numFmtId="166" fontId="25" fillId="0" borderId="6" xfId="25" applyFont="true" applyBorder="true" applyAlignment="true" applyProtection="true">
      <alignment horizontal="left" vertical="center" textRotation="0" wrapText="false" indent="0" shrinkToFit="false"/>
      <protection locked="true" hidden="false"/>
    </xf>
    <xf numFmtId="166" fontId="25" fillId="0" borderId="4" xfId="25" applyFont="true" applyBorder="true" applyAlignment="true" applyProtection="true">
      <alignment horizontal="general" vertical="center" textRotation="0" wrapText="false" indent="0" shrinkToFit="false"/>
      <protection locked="true" hidden="false"/>
    </xf>
    <xf numFmtId="166" fontId="25" fillId="0" borderId="5" xfId="25" applyFont="true" applyBorder="true" applyAlignment="true" applyProtection="true">
      <alignment horizontal="general" vertical="center" textRotation="0" wrapText="false" indent="0" shrinkToFit="false"/>
      <protection locked="true" hidden="false"/>
    </xf>
    <xf numFmtId="166" fontId="25" fillId="0" borderId="6" xfId="25" applyFont="true" applyBorder="true" applyAlignment="true" applyProtection="true">
      <alignment horizontal="general" vertical="center" textRotation="0" wrapText="false" indent="0" shrinkToFit="false"/>
      <protection locked="true" hidden="false"/>
    </xf>
    <xf numFmtId="166" fontId="30" fillId="0" borderId="14" xfId="25" applyFont="true" applyBorder="true" applyAlignment="true" applyProtection="true">
      <alignment horizontal="center" vertical="center" textRotation="0" wrapText="false" indent="0" shrinkToFit="false"/>
      <protection locked="true" hidden="false"/>
    </xf>
    <xf numFmtId="166" fontId="10" fillId="0" borderId="13" xfId="25" applyFont="true" applyBorder="true" applyAlignment="true" applyProtection="true">
      <alignment horizontal="center" vertical="center" textRotation="0" wrapText="false" indent="0" shrinkToFit="false"/>
      <protection locked="true" hidden="false"/>
    </xf>
    <xf numFmtId="170" fontId="9" fillId="0" borderId="14" xfId="0" applyFont="true" applyBorder="true" applyAlignment="true" applyProtection="true">
      <alignment horizontal="center" vertical="center" textRotation="0" wrapText="false" indent="0" shrinkToFit="false"/>
      <protection locked="true" hidden="false"/>
    </xf>
    <xf numFmtId="166" fontId="25" fillId="0" borderId="0" xfId="25" applyFont="true" applyBorder="false" applyAlignment="true" applyProtection="true">
      <alignment horizontal="right" vertical="bottom" textRotation="90" wrapText="false" indent="0" shrinkToFit="false"/>
      <protection locked="true" hidden="false"/>
    </xf>
    <xf numFmtId="166" fontId="10" fillId="0" borderId="36" xfId="25" applyFont="true" applyBorder="true" applyAlignment="true" applyProtection="true">
      <alignment horizontal="center" vertical="center" textRotation="0" wrapText="false" indent="0" shrinkToFit="false"/>
      <protection locked="true" hidden="false"/>
    </xf>
    <xf numFmtId="166" fontId="10" fillId="0" borderId="37" xfId="25" applyFont="true" applyBorder="true" applyAlignment="true" applyProtection="true">
      <alignment horizontal="center" vertical="center" textRotation="0" wrapText="false" indent="0" shrinkToFit="false"/>
      <protection locked="true" hidden="false"/>
    </xf>
    <xf numFmtId="166" fontId="10" fillId="0" borderId="38" xfId="25" applyFont="true" applyBorder="true" applyAlignment="true" applyProtection="true">
      <alignment horizontal="center" vertical="center" textRotation="0" wrapText="false" indent="0" shrinkToFit="false"/>
      <protection locked="true" hidden="false"/>
    </xf>
    <xf numFmtId="166" fontId="10" fillId="0" borderId="0" xfId="25"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6" fontId="10" fillId="0" borderId="44" xfId="25" applyFont="true" applyBorder="true" applyAlignment="true" applyProtection="true">
      <alignment horizontal="center" vertical="center" textRotation="0" wrapText="true" indent="0" shrinkToFit="false"/>
      <protection locked="true" hidden="false"/>
    </xf>
    <xf numFmtId="166" fontId="10" fillId="0" borderId="45" xfId="25" applyFont="true" applyBorder="true" applyAlignment="true" applyProtection="true">
      <alignment horizontal="center" vertical="center" textRotation="0" wrapText="false" indent="0" shrinkToFit="false"/>
      <protection locked="true" hidden="false"/>
    </xf>
    <xf numFmtId="166" fontId="10" fillId="0" borderId="18" xfId="25" applyFont="true" applyBorder="true" applyAlignment="true" applyProtection="true">
      <alignment horizontal="center" vertical="center" textRotation="0" wrapText="false" indent="0" shrinkToFit="false"/>
      <protection locked="true" hidden="false"/>
    </xf>
    <xf numFmtId="166" fontId="10" fillId="0" borderId="43" xfId="25" applyFont="true" applyBorder="true" applyAlignment="true" applyProtection="true">
      <alignment horizontal="center" vertical="center" textRotation="0" wrapText="false" indent="0" shrinkToFit="false"/>
      <protection locked="true" hidden="false"/>
    </xf>
    <xf numFmtId="166" fontId="10" fillId="0" borderId="23" xfId="25" applyFont="true" applyBorder="true" applyAlignment="true" applyProtection="true">
      <alignment horizontal="center" vertical="top" textRotation="0" wrapText="false" indent="0" shrinkToFit="false"/>
      <protection locked="true" hidden="false"/>
    </xf>
    <xf numFmtId="173" fontId="10" fillId="0" borderId="23" xfId="25" applyFont="true" applyBorder="true" applyAlignment="true" applyProtection="true">
      <alignment horizontal="right" vertical="top" textRotation="0" wrapText="true" indent="0" shrinkToFit="false"/>
      <protection locked="true" hidden="false"/>
    </xf>
    <xf numFmtId="173" fontId="10" fillId="0" borderId="41" xfId="25" applyFont="true" applyBorder="true" applyAlignment="true" applyProtection="true">
      <alignment horizontal="right" vertical="top" textRotation="0" wrapText="true" indent="0" shrinkToFit="false"/>
      <protection locked="true" hidden="false"/>
    </xf>
    <xf numFmtId="166" fontId="10" fillId="0" borderId="0" xfId="25"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6" fontId="10" fillId="0" borderId="29" xfId="25" applyFont="true" applyBorder="true" applyAlignment="true" applyProtection="true">
      <alignment horizontal="center" vertical="top" textRotation="0" wrapText="false" indent="0" shrinkToFit="false"/>
      <protection locked="true" hidden="false"/>
    </xf>
    <xf numFmtId="173" fontId="10" fillId="0" borderId="29" xfId="25" applyFont="true" applyBorder="true" applyAlignment="true" applyProtection="true">
      <alignment horizontal="right" vertical="top" textRotation="0" wrapText="true" indent="0" shrinkToFit="false"/>
      <protection locked="true" hidden="false"/>
    </xf>
    <xf numFmtId="173" fontId="10" fillId="0" borderId="42" xfId="25" applyFont="true" applyBorder="true" applyAlignment="true" applyProtection="true">
      <alignment horizontal="right" vertical="top" textRotation="0" wrapText="true" indent="0" shrinkToFit="false"/>
      <protection locked="true" hidden="false"/>
    </xf>
    <xf numFmtId="166" fontId="10" fillId="0" borderId="32" xfId="25" applyFont="true" applyBorder="true" applyAlignment="true" applyProtection="true">
      <alignment horizontal="right" vertical="top" textRotation="0" wrapText="true" indent="0" shrinkToFit="false"/>
      <protection locked="true" hidden="false"/>
    </xf>
    <xf numFmtId="166" fontId="10" fillId="0" borderId="18" xfId="25" applyFont="true" applyBorder="true" applyAlignment="true" applyProtection="true">
      <alignment horizontal="left" vertical="top" textRotation="0" wrapText="true" indent="0" shrinkToFit="false"/>
      <protection locked="true" hidden="false"/>
    </xf>
    <xf numFmtId="173" fontId="10" fillId="0" borderId="18" xfId="25" applyFont="true" applyBorder="true" applyAlignment="true" applyProtection="true">
      <alignment horizontal="right" vertical="top" textRotation="0" wrapText="true" indent="0" shrinkToFit="false"/>
      <protection locked="true" hidden="false"/>
    </xf>
    <xf numFmtId="173" fontId="10" fillId="0" borderId="43" xfId="25" applyFont="true" applyBorder="true" applyAlignment="true" applyProtection="true">
      <alignment horizontal="right" vertical="top" textRotation="0" wrapText="true" indent="0" shrinkToFit="false"/>
      <protection locked="true" hidden="false"/>
    </xf>
    <xf numFmtId="166" fontId="31" fillId="0" borderId="15" xfId="25" applyFont="true" applyBorder="true" applyAlignment="true" applyProtection="true">
      <alignment horizontal="center" vertical="bottom" textRotation="0" wrapText="true" indent="0" shrinkToFit="false"/>
      <protection locked="true" hidden="false"/>
    </xf>
    <xf numFmtId="166" fontId="31" fillId="0" borderId="24" xfId="25" applyFont="true" applyBorder="true" applyAlignment="true" applyProtection="true">
      <alignment horizontal="left" vertical="bottom" textRotation="0" wrapText="true" indent="0" shrinkToFit="false"/>
      <protection locked="true" hidden="false"/>
    </xf>
    <xf numFmtId="166" fontId="31" fillId="0" borderId="6" xfId="25" applyFont="true" applyBorder="true" applyAlignment="true" applyProtection="true">
      <alignment horizontal="right" vertical="bottom" textRotation="0" wrapText="true" indent="0" shrinkToFit="false"/>
      <protection locked="true" hidden="false"/>
    </xf>
    <xf numFmtId="166" fontId="31" fillId="0" borderId="2" xfId="25" applyFont="true" applyBorder="true" applyAlignment="true" applyProtection="true">
      <alignment horizontal="left" vertical="bottom" textRotation="0" wrapText="true" indent="0" shrinkToFit="false"/>
      <protection locked="true" hidden="false"/>
    </xf>
    <xf numFmtId="174" fontId="31" fillId="0" borderId="9" xfId="25" applyFont="true" applyBorder="true" applyAlignment="true" applyProtection="true">
      <alignment horizontal="right" vertical="bottom" textRotation="0" wrapText="true" indent="0" shrinkToFit="false"/>
      <protection locked="true" hidden="false"/>
    </xf>
    <xf numFmtId="174" fontId="31" fillId="0" borderId="13" xfId="25" applyFont="true" applyBorder="true" applyAlignment="true" applyProtection="true">
      <alignment horizontal="right" vertical="bottom" textRotation="0" wrapText="true" indent="0" shrinkToFit="false"/>
      <protection locked="true" hidden="false"/>
    </xf>
    <xf numFmtId="166" fontId="31" fillId="0" borderId="33" xfId="25" applyFont="true" applyBorder="true" applyAlignment="true" applyProtection="true">
      <alignment horizontal="left" vertical="bottom" textRotation="0" wrapText="true" indent="0" shrinkToFit="false"/>
      <protection locked="true" hidden="false"/>
    </xf>
    <xf numFmtId="164" fontId="0" fillId="0" borderId="7" xfId="0" applyFont="false" applyBorder="true" applyAlignment="true" applyProtection="true">
      <alignment horizontal="center" vertical="center" textRotation="0" wrapText="false" indent="0" shrinkToFit="false"/>
      <protection locked="true" hidden="false"/>
    </xf>
    <xf numFmtId="174" fontId="31" fillId="0" borderId="6" xfId="25" applyFont="true" applyBorder="true" applyAlignment="true" applyProtection="true">
      <alignment horizontal="right"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Heading 1 1" xfId="21"/>
    <cellStyle name="Heading 3" xfId="22"/>
    <cellStyle name="Result 4" xfId="23"/>
    <cellStyle name="Result2" xfId="24"/>
    <cellStyle name="Excel Built-in Normal" xfId="2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B7DEE8"/>
      <rgbColor rgb="FFFF99CC"/>
      <rgbColor rgb="FFCC99FF"/>
      <rgbColor rgb="FFFCD5B5"/>
      <rgbColor rgb="FF3366FF"/>
      <rgbColor rgb="FF33CCCC"/>
      <rgbColor rgb="FF9BBB59"/>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Relationship Id="rId14" Type="http://schemas.openxmlformats.org/officeDocument/2006/relationships/customXml" Target="../customXml/item1.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image" Target="../media/image1.png"/>
</Relationships>
</file>

<file path=xl/drawings/_rels/drawing8.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19080</xdr:colOff>
      <xdr:row>31</xdr:row>
      <xdr:rowOff>85680</xdr:rowOff>
    </xdr:from>
    <xdr:to>
      <xdr:col>18</xdr:col>
      <xdr:colOff>65880</xdr:colOff>
      <xdr:row>35</xdr:row>
      <xdr:rowOff>75600</xdr:rowOff>
    </xdr:to>
    <xdr:pic>
      <xdr:nvPicPr>
        <xdr:cNvPr id="0" name="Grafik 6" descr=""/>
        <xdr:cNvPicPr/>
      </xdr:nvPicPr>
      <xdr:blipFill>
        <a:blip r:embed="rId1"/>
        <a:stretch/>
      </xdr:blipFill>
      <xdr:spPr>
        <a:xfrm>
          <a:off x="310680" y="9258120"/>
          <a:ext cx="1504080" cy="5234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19080</xdr:colOff>
      <xdr:row>31</xdr:row>
      <xdr:rowOff>85680</xdr:rowOff>
    </xdr:from>
    <xdr:to>
      <xdr:col>18</xdr:col>
      <xdr:colOff>65880</xdr:colOff>
      <xdr:row>35</xdr:row>
      <xdr:rowOff>75600</xdr:rowOff>
    </xdr:to>
    <xdr:pic>
      <xdr:nvPicPr>
        <xdr:cNvPr id="1" name="Grafik 6" descr=""/>
        <xdr:cNvPicPr/>
      </xdr:nvPicPr>
      <xdr:blipFill>
        <a:blip r:embed="rId1"/>
        <a:stretch/>
      </xdr:blipFill>
      <xdr:spPr>
        <a:xfrm>
          <a:off x="310680" y="9258120"/>
          <a:ext cx="1504080" cy="52344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19080</xdr:colOff>
      <xdr:row>31</xdr:row>
      <xdr:rowOff>85680</xdr:rowOff>
    </xdr:from>
    <xdr:to>
      <xdr:col>18</xdr:col>
      <xdr:colOff>65880</xdr:colOff>
      <xdr:row>35</xdr:row>
      <xdr:rowOff>75600</xdr:rowOff>
    </xdr:to>
    <xdr:pic>
      <xdr:nvPicPr>
        <xdr:cNvPr id="2" name="Grafik 6" descr=""/>
        <xdr:cNvPicPr/>
      </xdr:nvPicPr>
      <xdr:blipFill>
        <a:blip r:embed="rId1"/>
        <a:stretch/>
      </xdr:blipFill>
      <xdr:spPr>
        <a:xfrm>
          <a:off x="310680" y="9258120"/>
          <a:ext cx="1504080" cy="52344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19080</xdr:colOff>
      <xdr:row>31</xdr:row>
      <xdr:rowOff>85680</xdr:rowOff>
    </xdr:from>
    <xdr:to>
      <xdr:col>18</xdr:col>
      <xdr:colOff>65880</xdr:colOff>
      <xdr:row>35</xdr:row>
      <xdr:rowOff>75600</xdr:rowOff>
    </xdr:to>
    <xdr:pic>
      <xdr:nvPicPr>
        <xdr:cNvPr id="3" name="Grafik 6" descr=""/>
        <xdr:cNvPicPr/>
      </xdr:nvPicPr>
      <xdr:blipFill>
        <a:blip r:embed="rId1"/>
        <a:stretch/>
      </xdr:blipFill>
      <xdr:spPr>
        <a:xfrm>
          <a:off x="310680" y="9258120"/>
          <a:ext cx="1504080" cy="52344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19080</xdr:colOff>
      <xdr:row>31</xdr:row>
      <xdr:rowOff>85680</xdr:rowOff>
    </xdr:from>
    <xdr:to>
      <xdr:col>18</xdr:col>
      <xdr:colOff>65880</xdr:colOff>
      <xdr:row>35</xdr:row>
      <xdr:rowOff>75600</xdr:rowOff>
    </xdr:to>
    <xdr:pic>
      <xdr:nvPicPr>
        <xdr:cNvPr id="4" name="Grafik 6" descr=""/>
        <xdr:cNvPicPr/>
      </xdr:nvPicPr>
      <xdr:blipFill>
        <a:blip r:embed="rId1"/>
        <a:stretch/>
      </xdr:blipFill>
      <xdr:spPr>
        <a:xfrm>
          <a:off x="310680" y="9258120"/>
          <a:ext cx="1504080" cy="52344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19080</xdr:colOff>
      <xdr:row>55</xdr:row>
      <xdr:rowOff>85680</xdr:rowOff>
    </xdr:from>
    <xdr:to>
      <xdr:col>18</xdr:col>
      <xdr:colOff>65880</xdr:colOff>
      <xdr:row>59</xdr:row>
      <xdr:rowOff>75600</xdr:rowOff>
    </xdr:to>
    <xdr:pic>
      <xdr:nvPicPr>
        <xdr:cNvPr id="5" name="Grafik 6" descr=""/>
        <xdr:cNvPicPr/>
      </xdr:nvPicPr>
      <xdr:blipFill>
        <a:blip r:embed="rId1"/>
        <a:stretch/>
      </xdr:blipFill>
      <xdr:spPr>
        <a:xfrm>
          <a:off x="310680" y="9248760"/>
          <a:ext cx="1504080" cy="52344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19080</xdr:colOff>
      <xdr:row>55</xdr:row>
      <xdr:rowOff>85680</xdr:rowOff>
    </xdr:from>
    <xdr:to>
      <xdr:col>18</xdr:col>
      <xdr:colOff>65880</xdr:colOff>
      <xdr:row>59</xdr:row>
      <xdr:rowOff>75600</xdr:rowOff>
    </xdr:to>
    <xdr:pic>
      <xdr:nvPicPr>
        <xdr:cNvPr id="6" name="Grafik 6" descr=""/>
        <xdr:cNvPicPr/>
      </xdr:nvPicPr>
      <xdr:blipFill>
        <a:blip r:embed="rId1"/>
        <a:stretch/>
      </xdr:blipFill>
      <xdr:spPr>
        <a:xfrm>
          <a:off x="310680" y="9248760"/>
          <a:ext cx="1504080" cy="52344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19080</xdr:colOff>
      <xdr:row>55</xdr:row>
      <xdr:rowOff>85680</xdr:rowOff>
    </xdr:from>
    <xdr:to>
      <xdr:col>18</xdr:col>
      <xdr:colOff>65880</xdr:colOff>
      <xdr:row>59</xdr:row>
      <xdr:rowOff>75600</xdr:rowOff>
    </xdr:to>
    <xdr:pic>
      <xdr:nvPicPr>
        <xdr:cNvPr id="7" name="Grafik 6" descr=""/>
        <xdr:cNvPicPr/>
      </xdr:nvPicPr>
      <xdr:blipFill>
        <a:blip r:embed="rId1"/>
        <a:stretch/>
      </xdr:blipFill>
      <xdr:spPr>
        <a:xfrm>
          <a:off x="310680" y="9248760"/>
          <a:ext cx="1504080" cy="5234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keeb.supply/" TargetMode="External"/><Relationship Id="rId3" Type="http://schemas.openxmlformats.org/officeDocument/2006/relationships/hyperlink" Target="https://keeb.supply/products/twilight-low-profile-switches?variant=98b7ff54-19e0-47d5-9570-212822195d1c" TargetMode="External"/><Relationship Id="rId4" Type="http://schemas.openxmlformats.org/officeDocument/2006/relationships/hyperlink" Target="https://keeb.supply/" TargetMode="External"/><Relationship Id="rId5" Type="http://schemas.openxmlformats.org/officeDocument/2006/relationships/hyperlink" Target="https://keeb.supply/products/kailh-hotswap-sockets?variant=2ac70e4a-befb-43b0-9321-8c5636b8d5d3" TargetMode="External"/><Relationship Id="rId6" Type="http://schemas.openxmlformats.org/officeDocument/2006/relationships/hyperlink" Target="https://github.com/s-grundner" TargetMode="External"/><Relationship Id="rId7" Type="http://schemas.openxmlformats.org/officeDocument/2006/relationships/hyperlink" Target="https://keeb.supply/" TargetMode="External"/><Relationship Id="rId8" Type="http://schemas.openxmlformats.org/officeDocument/2006/relationships/hyperlink" Target="https://www.reichelt.de/" TargetMode="External"/><Relationship Id="rId9" Type="http://schemas.openxmlformats.org/officeDocument/2006/relationships/hyperlink" Target="https://www.reichelt.de/" TargetMode="External"/><Relationship Id="rId10" Type="http://schemas.openxmlformats.org/officeDocument/2006/relationships/hyperlink" Target="https://keebd.com/en-de" TargetMode="External"/><Relationship Id="rId11" Type="http://schemas.openxmlformats.org/officeDocument/2006/relationships/hyperlink" Target="https://keeb.supply/products/smd-slide-switch?variant=c8e601de-b898-4b81-b8a4-a918e330e673" TargetMode="External"/><Relationship Id="rId12" Type="http://schemas.openxmlformats.org/officeDocument/2006/relationships/hyperlink" Target="https://amazon.de/" TargetMode="External"/><Relationship Id="rId13" Type="http://schemas.openxmlformats.org/officeDocument/2006/relationships/hyperlink" Target="https://www.amazon.de/dp/B076ND94QV?psc=1&amp;ref_=cm_sw_r_cp_ud_ct_W7SYHVF00B5TN0Z39RR0" TargetMode="External"/><Relationship Id="rId14"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keeb.supply/" TargetMode="External"/><Relationship Id="rId3" Type="http://schemas.openxmlformats.org/officeDocument/2006/relationships/hyperlink" Target="https://keeb.supply/products/twilight-low-profile-switches?variant=98b7ff54-19e0-47d5-9570-212822195d1c" TargetMode="External"/><Relationship Id="rId4" Type="http://schemas.openxmlformats.org/officeDocument/2006/relationships/hyperlink" Target="https://keeb.supply/" TargetMode="External"/><Relationship Id="rId5" Type="http://schemas.openxmlformats.org/officeDocument/2006/relationships/hyperlink" Target="https://keeb.supply/products/kailh-hotswap-sockets?variant=2ac70e4a-befb-43b0-9321-8c5636b8d5d3" TargetMode="External"/><Relationship Id="rId6" Type="http://schemas.openxmlformats.org/officeDocument/2006/relationships/hyperlink" Target="https://github.com/s-grundner" TargetMode="External"/><Relationship Id="rId7" Type="http://schemas.openxmlformats.org/officeDocument/2006/relationships/hyperlink" Target="https://keeb.supply/" TargetMode="External"/><Relationship Id="rId8" Type="http://schemas.openxmlformats.org/officeDocument/2006/relationships/hyperlink" Target="https://www.reichelt.de/" TargetMode="External"/><Relationship Id="rId9" Type="http://schemas.openxmlformats.org/officeDocument/2006/relationships/hyperlink" Target="https://www.reichelt.de/" TargetMode="External"/><Relationship Id="rId10" Type="http://schemas.openxmlformats.org/officeDocument/2006/relationships/hyperlink" Target="https://keebd.com/en-de" TargetMode="External"/><Relationship Id="rId11" Type="http://schemas.openxmlformats.org/officeDocument/2006/relationships/hyperlink" Target="https://keeb.supply/products/smd-slide-switch?variant=c8e601de-b898-4b81-b8a4-a918e330e673" TargetMode="External"/><Relationship Id="rId12" Type="http://schemas.openxmlformats.org/officeDocument/2006/relationships/hyperlink" Target="https://amazon.de/" TargetMode="External"/><Relationship Id="rId13" Type="http://schemas.openxmlformats.org/officeDocument/2006/relationships/hyperlink" Target="https://www.amazon.de/dp/B076ND94QV?psc=1&amp;ref_=cm_sw_r_cp_ud_ct_W7SYHVF00B5TN0Z39RR0" TargetMode="External"/><Relationship Id="rId14"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FD1048576"/>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H16" activeCellId="0" sqref="H16"/>
    </sheetView>
  </sheetViews>
  <sheetFormatPr defaultColWidth="11.00390625" defaultRowHeight="14.25" customHeight="true" zeroHeight="false" outlineLevelRow="0" outlineLevelCol="0"/>
  <cols>
    <col collapsed="false" customWidth="true" hidden="false" outlineLevel="0" max="1" min="1" style="1" width="3.5"/>
    <col collapsed="false" customWidth="true" hidden="false" outlineLevel="0" max="2" min="2" style="1" width="5.62"/>
    <col collapsed="false" customWidth="true" hidden="false" outlineLevel="0" max="3" min="3" style="1" width="5.88"/>
    <col collapsed="false" customWidth="true" hidden="false" outlineLevel="0" max="4" min="4" style="1" width="27.12"/>
    <col collapsed="false" customWidth="true" hidden="false" outlineLevel="0" max="5" min="5" style="1" width="16.62"/>
    <col collapsed="false" customWidth="true" hidden="false" outlineLevel="0" max="6" min="6" style="1" width="9.87"/>
    <col collapsed="false" customWidth="true" hidden="false" outlineLevel="0" max="7" min="7" style="1" width="14.62"/>
    <col collapsed="false" customWidth="true" hidden="false" outlineLevel="0" max="8" min="8" style="1" width="5.12"/>
    <col collapsed="false" customWidth="true" hidden="false" outlineLevel="0" max="9" min="9" style="1" width="8.38"/>
    <col collapsed="false" customWidth="true" hidden="false" outlineLevel="0" max="10" min="10" style="1" width="5.26"/>
    <col collapsed="false" customWidth="true" hidden="false" outlineLevel="0" max="11" min="11" style="1" width="30.12"/>
    <col collapsed="false" customWidth="false" hidden="false" outlineLevel="0" max="14" min="12" style="2" width="11"/>
    <col collapsed="false" customWidth="true" hidden="false" outlineLevel="0" max="15" min="15" style="2" width="20.12"/>
    <col collapsed="false" customWidth="false" hidden="false" outlineLevel="0" max="16384" min="16" style="2" width="11"/>
  </cols>
  <sheetData>
    <row r="1" customFormat="false" ht="33.75" hidden="false" customHeight="true" outlineLevel="0" collapsed="false">
      <c r="A1" s="3" t="s">
        <v>0</v>
      </c>
      <c r="B1" s="3"/>
      <c r="C1" s="3"/>
      <c r="D1" s="3"/>
      <c r="E1" s="3"/>
      <c r="F1" s="4"/>
      <c r="G1" s="4"/>
      <c r="H1" s="4"/>
      <c r="I1" s="4"/>
      <c r="J1" s="4"/>
      <c r="K1" s="4"/>
    </row>
    <row r="2" customFormat="false" ht="23.85" hidden="false" customHeight="false" outlineLevel="0" collapsed="false">
      <c r="A2" s="5" t="s">
        <v>1</v>
      </c>
      <c r="B2" s="5" t="s">
        <v>2</v>
      </c>
      <c r="C2" s="6" t="s">
        <v>3</v>
      </c>
      <c r="D2" s="6" t="s">
        <v>4</v>
      </c>
      <c r="E2" s="6" t="s">
        <v>5</v>
      </c>
      <c r="F2" s="5" t="s">
        <v>6</v>
      </c>
      <c r="G2" s="5" t="s">
        <v>7</v>
      </c>
      <c r="H2" s="6" t="s">
        <v>8</v>
      </c>
      <c r="I2" s="5" t="s">
        <v>9</v>
      </c>
      <c r="J2" s="5" t="s">
        <v>10</v>
      </c>
      <c r="K2" s="5" t="s">
        <v>11</v>
      </c>
      <c r="L2" s="7"/>
    </row>
    <row r="3" customFormat="false" ht="14.25" hidden="false" customHeight="false" outlineLevel="0" collapsed="false">
      <c r="A3" s="8" t="n">
        <v>1</v>
      </c>
      <c r="B3" s="9" t="n">
        <v>40</v>
      </c>
      <c r="C3" s="10" t="s">
        <v>12</v>
      </c>
      <c r="D3" s="11" t="s">
        <v>13</v>
      </c>
      <c r="E3" s="11" t="s">
        <v>14</v>
      </c>
      <c r="F3" s="12" t="s">
        <v>15</v>
      </c>
      <c r="G3" s="13"/>
      <c r="H3" s="14"/>
      <c r="I3" s="15" t="n">
        <f aca="false">9.5/10</f>
        <v>0.95</v>
      </c>
      <c r="J3" s="9" t="n">
        <v>10</v>
      </c>
      <c r="K3" s="16" t="s">
        <v>16</v>
      </c>
    </row>
    <row r="4" customFormat="false" ht="14.25" hidden="false" customHeight="false" outlineLevel="0" collapsed="false">
      <c r="A4" s="8" t="n">
        <v>2</v>
      </c>
      <c r="B4" s="9" t="n">
        <v>40</v>
      </c>
      <c r="C4" s="10" t="s">
        <v>12</v>
      </c>
      <c r="D4" s="11" t="s">
        <v>17</v>
      </c>
      <c r="E4" s="11" t="s">
        <v>14</v>
      </c>
      <c r="F4" s="12" t="s">
        <v>15</v>
      </c>
      <c r="G4" s="13"/>
      <c r="H4" s="14"/>
      <c r="I4" s="15" t="n">
        <f aca="false">2.2/10</f>
        <v>0.22</v>
      </c>
      <c r="J4" s="9" t="n">
        <v>10</v>
      </c>
      <c r="K4" s="17" t="s">
        <v>18</v>
      </c>
    </row>
    <row r="5" customFormat="false" ht="14.25" hidden="false" customHeight="false" outlineLevel="0" collapsed="false">
      <c r="A5" s="8" t="n">
        <v>3</v>
      </c>
      <c r="B5" s="9" t="n">
        <v>40</v>
      </c>
      <c r="C5" s="10" t="s">
        <v>12</v>
      </c>
      <c r="D5" s="11" t="s">
        <v>19</v>
      </c>
      <c r="E5" s="11" t="s">
        <v>20</v>
      </c>
      <c r="F5" s="12" t="s">
        <v>21</v>
      </c>
      <c r="G5" s="13" t="s">
        <v>22</v>
      </c>
      <c r="H5" s="14"/>
      <c r="I5" s="15" t="n">
        <v>0</v>
      </c>
      <c r="J5" s="9" t="n">
        <v>1</v>
      </c>
      <c r="K5" s="18" t="s">
        <v>23</v>
      </c>
    </row>
    <row r="6" customFormat="false" ht="14.25" hidden="false" customHeight="false" outlineLevel="0" collapsed="false">
      <c r="A6" s="8" t="n">
        <v>4</v>
      </c>
      <c r="B6" s="19" t="n">
        <v>2</v>
      </c>
      <c r="C6" s="19" t="s">
        <v>12</v>
      </c>
      <c r="D6" s="19" t="s">
        <v>24</v>
      </c>
      <c r="E6" s="19" t="s">
        <v>25</v>
      </c>
      <c r="F6" s="12" t="s">
        <v>15</v>
      </c>
      <c r="G6" s="20" t="s">
        <v>26</v>
      </c>
      <c r="H6" s="19"/>
      <c r="I6" s="19" t="n">
        <v>0.6</v>
      </c>
      <c r="J6" s="19" t="n">
        <v>1</v>
      </c>
      <c r="K6" s="21" t="s">
        <v>27</v>
      </c>
    </row>
    <row r="7" customFormat="false" ht="14.25" hidden="false" customHeight="false" outlineLevel="0" collapsed="false">
      <c r="A7" s="9" t="n">
        <v>5</v>
      </c>
      <c r="B7" s="9" t="n">
        <v>1</v>
      </c>
      <c r="C7" s="10" t="s">
        <v>12</v>
      </c>
      <c r="D7" s="21" t="s">
        <v>28</v>
      </c>
      <c r="E7" s="21"/>
      <c r="F7" s="22" t="s">
        <v>29</v>
      </c>
      <c r="G7" s="21"/>
      <c r="H7" s="21"/>
      <c r="I7" s="21" t="n">
        <v>0</v>
      </c>
      <c r="J7" s="9" t="n">
        <v>5</v>
      </c>
      <c r="K7" s="21" t="s">
        <v>30</v>
      </c>
    </row>
    <row r="8" s="31" customFormat="true" ht="23.85" hidden="false" customHeight="false" outlineLevel="0" collapsed="false">
      <c r="A8" s="8" t="n">
        <v>6</v>
      </c>
      <c r="B8" s="9" t="n">
        <v>2</v>
      </c>
      <c r="C8" s="23" t="s">
        <v>12</v>
      </c>
      <c r="D8" s="24" t="s">
        <v>31</v>
      </c>
      <c r="E8" s="24"/>
      <c r="F8" s="25" t="s">
        <v>32</v>
      </c>
      <c r="G8" s="26" t="s">
        <v>33</v>
      </c>
      <c r="H8" s="27"/>
      <c r="I8" s="28" t="n">
        <v>5.3</v>
      </c>
      <c r="J8" s="29" t="n">
        <v>1</v>
      </c>
      <c r="K8" s="30" t="s">
        <v>34</v>
      </c>
    </row>
    <row r="9" s="31" customFormat="true" ht="14.25" hidden="false" customHeight="false" outlineLevel="0" collapsed="false">
      <c r="A9" s="8" t="n">
        <v>7</v>
      </c>
      <c r="B9" s="9" t="n">
        <v>3</v>
      </c>
      <c r="C9" s="23" t="s">
        <v>12</v>
      </c>
      <c r="D9" s="32" t="s">
        <v>35</v>
      </c>
      <c r="E9" s="24" t="s">
        <v>36</v>
      </c>
      <c r="F9" s="25" t="s">
        <v>32</v>
      </c>
      <c r="G9" s="26" t="s">
        <v>37</v>
      </c>
      <c r="H9" s="27"/>
      <c r="I9" s="28" t="n">
        <v>12.8</v>
      </c>
      <c r="J9" s="29" t="n">
        <v>1</v>
      </c>
      <c r="K9" s="33"/>
    </row>
    <row r="10" s="31" customFormat="true" ht="14.25" hidden="false" customHeight="false" outlineLevel="0" collapsed="false">
      <c r="A10" s="8" t="n">
        <v>8</v>
      </c>
      <c r="B10" s="9" t="n">
        <v>2</v>
      </c>
      <c r="C10" s="23" t="s">
        <v>12</v>
      </c>
      <c r="D10" s="24" t="s">
        <v>38</v>
      </c>
      <c r="E10" s="24" t="s">
        <v>39</v>
      </c>
      <c r="F10" s="25" t="s">
        <v>15</v>
      </c>
      <c r="G10" s="26" t="s">
        <v>40</v>
      </c>
      <c r="H10" s="27"/>
      <c r="I10" s="28" t="n">
        <v>0.8</v>
      </c>
      <c r="J10" s="29" t="n">
        <v>1</v>
      </c>
      <c r="K10" s="34" t="s">
        <v>41</v>
      </c>
    </row>
    <row r="11" s="43" customFormat="true" ht="14.25" hidden="false" customHeight="false" outlineLevel="0" collapsed="false">
      <c r="A11" s="9" t="n">
        <v>9</v>
      </c>
      <c r="B11" s="9" t="n">
        <v>4</v>
      </c>
      <c r="C11" s="35" t="s">
        <v>12</v>
      </c>
      <c r="D11" s="36" t="s">
        <v>42</v>
      </c>
      <c r="E11" s="36"/>
      <c r="F11" s="37" t="s">
        <v>43</v>
      </c>
      <c r="G11" s="38"/>
      <c r="H11" s="39"/>
      <c r="I11" s="40" t="n">
        <f aca="false">3.99/100</f>
        <v>0.0399</v>
      </c>
      <c r="J11" s="41" t="n">
        <v>100</v>
      </c>
      <c r="K11" s="42" t="s">
        <v>44</v>
      </c>
    </row>
    <row r="12" customFormat="false" ht="14.25" hidden="false" customHeight="false" outlineLevel="0" collapsed="false">
      <c r="A12" s="9" t="n">
        <v>10</v>
      </c>
      <c r="B12" s="9" t="n">
        <v>4</v>
      </c>
      <c r="C12" s="10" t="s">
        <v>12</v>
      </c>
      <c r="D12" s="21" t="s">
        <v>45</v>
      </c>
      <c r="E12" s="21"/>
      <c r="F12" s="12"/>
      <c r="G12" s="21"/>
      <c r="H12" s="21"/>
      <c r="I12" s="21"/>
      <c r="J12" s="9"/>
      <c r="K12" s="44"/>
      <c r="Q12" s="0"/>
      <c r="R12" s="0"/>
      <c r="S12" s="0"/>
      <c r="T12" s="0"/>
      <c r="U12" s="0"/>
      <c r="V12" s="0"/>
      <c r="W12" s="0"/>
      <c r="X12" s="0"/>
      <c r="Y12" s="0"/>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c r="EJ12" s="0"/>
      <c r="EK12" s="0"/>
      <c r="EL12" s="0"/>
      <c r="EM12" s="0"/>
      <c r="EN12" s="0"/>
      <c r="EO12" s="0"/>
      <c r="EP12" s="0"/>
      <c r="EQ12" s="0"/>
      <c r="ER12" s="0"/>
      <c r="ES12" s="0"/>
      <c r="ET12" s="0"/>
      <c r="EU12" s="0"/>
      <c r="EV12" s="0"/>
      <c r="EW12" s="0"/>
      <c r="EX12" s="0"/>
      <c r="EY12" s="0"/>
      <c r="EZ12" s="0"/>
      <c r="FA12" s="0"/>
      <c r="FB12" s="0"/>
      <c r="FC12" s="0"/>
      <c r="FD12" s="0"/>
      <c r="FE12" s="0"/>
      <c r="FF12" s="0"/>
      <c r="FG12" s="0"/>
      <c r="FH12" s="0"/>
      <c r="FI12" s="0"/>
      <c r="FJ12" s="0"/>
      <c r="FK12" s="0"/>
      <c r="FL12" s="0"/>
      <c r="FM12" s="0"/>
      <c r="FN12" s="0"/>
      <c r="FO12" s="0"/>
      <c r="FP12" s="0"/>
      <c r="FQ12" s="0"/>
      <c r="FR12" s="0"/>
      <c r="FS12" s="0"/>
      <c r="FT12" s="0"/>
      <c r="FU12" s="0"/>
      <c r="FV12" s="0"/>
      <c r="FW12" s="0"/>
      <c r="FX12" s="0"/>
      <c r="FY12" s="0"/>
      <c r="FZ12" s="0"/>
      <c r="GA12" s="0"/>
      <c r="GB12" s="0"/>
      <c r="GC12" s="0"/>
      <c r="GD12" s="0"/>
      <c r="GE12" s="0"/>
      <c r="GF12" s="0"/>
      <c r="GG12" s="0"/>
      <c r="GH12" s="0"/>
      <c r="GI12" s="0"/>
      <c r="GJ12" s="0"/>
      <c r="GK12" s="0"/>
      <c r="GL12" s="0"/>
      <c r="GM12" s="0"/>
      <c r="GN12" s="0"/>
      <c r="GO12" s="0"/>
      <c r="GP12" s="0"/>
      <c r="GQ12" s="0"/>
      <c r="GR12" s="0"/>
      <c r="GS12" s="0"/>
      <c r="GT12" s="0"/>
      <c r="GU12" s="0"/>
      <c r="GV12" s="0"/>
      <c r="GW12" s="0"/>
      <c r="GX12" s="0"/>
      <c r="GY12" s="0"/>
      <c r="GZ12" s="0"/>
      <c r="HA12" s="0"/>
      <c r="HB12" s="0"/>
      <c r="HC12" s="0"/>
      <c r="HD12" s="0"/>
      <c r="HE12" s="0"/>
      <c r="HF12" s="0"/>
      <c r="HG12" s="0"/>
      <c r="HH12" s="0"/>
      <c r="HI12" s="0"/>
      <c r="HJ12" s="0"/>
      <c r="HK12" s="0"/>
      <c r="HL12" s="0"/>
      <c r="HM12" s="0"/>
      <c r="HN12" s="0"/>
      <c r="HO12" s="0"/>
      <c r="HP12" s="0"/>
      <c r="HQ12" s="0"/>
      <c r="HR12" s="0"/>
      <c r="HS12" s="0"/>
      <c r="HT12" s="0"/>
      <c r="HU12" s="0"/>
      <c r="HV12" s="0"/>
      <c r="HW12" s="0"/>
      <c r="HX12" s="0"/>
      <c r="HY12" s="0"/>
      <c r="HZ12" s="0"/>
      <c r="IA12" s="0"/>
      <c r="IB12" s="0"/>
      <c r="IC12" s="0"/>
      <c r="ID12" s="0"/>
      <c r="IE12" s="0"/>
      <c r="IF12" s="0"/>
      <c r="IG12" s="0"/>
      <c r="IH12" s="0"/>
      <c r="II12" s="0"/>
      <c r="IJ12" s="0"/>
      <c r="IK12" s="0"/>
      <c r="IL12" s="0"/>
      <c r="IM12" s="0"/>
      <c r="IN12" s="0"/>
      <c r="IO12" s="0"/>
      <c r="IP12" s="0"/>
      <c r="IQ12" s="0"/>
      <c r="IR12" s="0"/>
      <c r="IS12" s="0"/>
      <c r="IT12" s="0"/>
      <c r="IU12" s="0"/>
      <c r="IV12" s="0"/>
      <c r="IW12" s="0"/>
      <c r="IX12" s="0"/>
      <c r="IY12" s="0"/>
      <c r="IZ12" s="0"/>
      <c r="JA12" s="0"/>
      <c r="JB12" s="0"/>
      <c r="JC12" s="0"/>
      <c r="JD12" s="0"/>
      <c r="JE12" s="0"/>
      <c r="JF12" s="0"/>
      <c r="JG12" s="0"/>
      <c r="JH12" s="0"/>
      <c r="JI12" s="0"/>
      <c r="JJ12" s="0"/>
      <c r="JK12" s="0"/>
      <c r="JL12" s="0"/>
      <c r="JM12" s="0"/>
      <c r="JN12" s="0"/>
      <c r="JO12" s="0"/>
      <c r="JP12" s="0"/>
      <c r="JQ12" s="0"/>
      <c r="JR12" s="0"/>
      <c r="JS12" s="0"/>
      <c r="JT12" s="0"/>
      <c r="JU12" s="0"/>
      <c r="JV12" s="0"/>
      <c r="JW12" s="0"/>
      <c r="JX12" s="0"/>
      <c r="JY12" s="0"/>
      <c r="JZ12" s="0"/>
      <c r="KA12" s="0"/>
      <c r="KB12" s="0"/>
      <c r="KC12" s="0"/>
      <c r="KD12" s="0"/>
      <c r="KE12" s="0"/>
      <c r="KF12" s="0"/>
      <c r="KG12" s="0"/>
      <c r="KH12" s="0"/>
      <c r="KI12" s="0"/>
      <c r="KJ12" s="0"/>
      <c r="KK12" s="0"/>
      <c r="KL12" s="0"/>
      <c r="KM12" s="0"/>
      <c r="KN12" s="0"/>
      <c r="KO12" s="0"/>
      <c r="KP12" s="0"/>
      <c r="KQ12" s="0"/>
      <c r="KR12" s="0"/>
      <c r="KS12" s="0"/>
      <c r="KT12" s="0"/>
      <c r="KU12" s="0"/>
      <c r="KV12" s="0"/>
      <c r="KW12" s="0"/>
      <c r="KX12" s="0"/>
      <c r="KY12" s="0"/>
      <c r="KZ12" s="0"/>
      <c r="LA12" s="0"/>
      <c r="LB12" s="0"/>
      <c r="LC12" s="0"/>
      <c r="LD12" s="0"/>
      <c r="LE12" s="0"/>
      <c r="LF12" s="0"/>
      <c r="LG12" s="0"/>
      <c r="LH12" s="0"/>
      <c r="LI12" s="0"/>
      <c r="LJ12" s="0"/>
      <c r="LK12" s="0"/>
      <c r="LL12" s="0"/>
      <c r="LM12" s="0"/>
      <c r="LN12" s="0"/>
      <c r="LO12" s="0"/>
      <c r="LP12" s="0"/>
      <c r="LQ12" s="0"/>
      <c r="LR12" s="0"/>
      <c r="LS12" s="0"/>
      <c r="LT12" s="0"/>
      <c r="LU12" s="0"/>
      <c r="LV12" s="0"/>
      <c r="LW12" s="0"/>
      <c r="LX12" s="0"/>
      <c r="LY12" s="0"/>
      <c r="LZ12" s="0"/>
      <c r="MA12" s="0"/>
      <c r="MB12" s="0"/>
      <c r="MC12" s="0"/>
      <c r="MD12" s="0"/>
      <c r="ME12" s="0"/>
      <c r="MF12" s="0"/>
      <c r="MG12" s="0"/>
      <c r="MH12" s="0"/>
      <c r="MI12" s="0"/>
      <c r="MJ12" s="0"/>
      <c r="MK12" s="0"/>
      <c r="ML12" s="0"/>
      <c r="MM12" s="0"/>
      <c r="MN12" s="0"/>
      <c r="MO12" s="0"/>
      <c r="MP12" s="0"/>
      <c r="MQ12" s="0"/>
      <c r="MR12" s="0"/>
      <c r="MS12" s="0"/>
      <c r="MT12" s="0"/>
      <c r="MU12" s="0"/>
      <c r="MV12" s="0"/>
      <c r="MW12" s="0"/>
      <c r="MX12" s="0"/>
      <c r="MY12" s="0"/>
      <c r="MZ12" s="0"/>
      <c r="NA12" s="0"/>
      <c r="NB12" s="0"/>
      <c r="NC12" s="0"/>
      <c r="ND12" s="0"/>
      <c r="NE12" s="0"/>
      <c r="NF12" s="0"/>
      <c r="NG12" s="0"/>
      <c r="NH12" s="0"/>
      <c r="NI12" s="0"/>
      <c r="NJ12" s="0"/>
      <c r="NK12" s="0"/>
      <c r="NL12" s="0"/>
      <c r="NM12" s="0"/>
      <c r="NN12" s="0"/>
      <c r="NO12" s="0"/>
      <c r="NP12" s="0"/>
      <c r="NQ12" s="0"/>
      <c r="NR12" s="0"/>
      <c r="NS12" s="0"/>
      <c r="NT12" s="0"/>
      <c r="NU12" s="0"/>
      <c r="NV12" s="0"/>
      <c r="NW12" s="0"/>
      <c r="NX12" s="0"/>
      <c r="NY12" s="0"/>
      <c r="NZ12" s="0"/>
      <c r="OA12" s="0"/>
      <c r="OB12" s="0"/>
      <c r="OC12" s="0"/>
      <c r="OD12" s="0"/>
      <c r="OE12" s="0"/>
      <c r="OF12" s="0"/>
      <c r="OG12" s="0"/>
      <c r="OH12" s="0"/>
      <c r="OI12" s="0"/>
      <c r="OJ12" s="0"/>
      <c r="OK12" s="0"/>
      <c r="OL12" s="0"/>
      <c r="OM12" s="0"/>
      <c r="ON12" s="0"/>
      <c r="OO12" s="0"/>
      <c r="OP12" s="0"/>
      <c r="OQ12" s="0"/>
      <c r="OR12" s="0"/>
      <c r="OS12" s="0"/>
      <c r="OT12" s="0"/>
      <c r="OU12" s="0"/>
      <c r="OV12" s="0"/>
      <c r="OW12" s="0"/>
      <c r="OX12" s="0"/>
      <c r="OY12" s="0"/>
      <c r="OZ12" s="0"/>
      <c r="PA12" s="0"/>
      <c r="PB12" s="0"/>
      <c r="PC12" s="0"/>
      <c r="PD12" s="0"/>
      <c r="PE12" s="0"/>
      <c r="PF12" s="0"/>
      <c r="PG12" s="0"/>
      <c r="PH12" s="0"/>
      <c r="PI12" s="0"/>
      <c r="PJ12" s="0"/>
      <c r="PK12" s="0"/>
      <c r="PL12" s="0"/>
      <c r="PM12" s="0"/>
      <c r="PN12" s="0"/>
      <c r="PO12" s="0"/>
      <c r="PP12" s="0"/>
      <c r="PQ12" s="0"/>
      <c r="PR12" s="0"/>
      <c r="PS12" s="0"/>
      <c r="PT12" s="0"/>
      <c r="PU12" s="0"/>
      <c r="PV12" s="0"/>
      <c r="PW12" s="0"/>
      <c r="PX12" s="0"/>
      <c r="PY12" s="0"/>
      <c r="PZ12" s="0"/>
      <c r="QA12" s="0"/>
      <c r="QB12" s="0"/>
      <c r="QC12" s="0"/>
      <c r="QD12" s="0"/>
      <c r="QE12" s="0"/>
      <c r="QF12" s="0"/>
      <c r="QG12" s="0"/>
      <c r="QH12" s="0"/>
      <c r="QI12" s="0"/>
      <c r="QJ12" s="0"/>
      <c r="QK12" s="0"/>
      <c r="QL12" s="0"/>
      <c r="QM12" s="0"/>
      <c r="QN12" s="0"/>
      <c r="QO12" s="0"/>
      <c r="QP12" s="0"/>
      <c r="QQ12" s="0"/>
      <c r="QR12" s="0"/>
      <c r="QS12" s="0"/>
      <c r="QT12" s="0"/>
      <c r="QU12" s="0"/>
      <c r="QV12" s="0"/>
      <c r="QW12" s="0"/>
      <c r="QX12" s="0"/>
      <c r="QY12" s="0"/>
      <c r="QZ12" s="0"/>
      <c r="RA12" s="0"/>
      <c r="RB12" s="0"/>
      <c r="RC12" s="0"/>
      <c r="RD12" s="0"/>
      <c r="RE12" s="0"/>
      <c r="RF12" s="0"/>
      <c r="RG12" s="0"/>
      <c r="RH12" s="0"/>
      <c r="RI12" s="0"/>
      <c r="RJ12" s="0"/>
      <c r="RK12" s="0"/>
      <c r="RL12" s="0"/>
      <c r="RM12" s="0"/>
      <c r="RN12" s="0"/>
      <c r="RO12" s="0"/>
      <c r="RP12" s="0"/>
      <c r="RQ12" s="0"/>
      <c r="RR12" s="0"/>
      <c r="RS12" s="0"/>
      <c r="RT12" s="0"/>
      <c r="RU12" s="0"/>
      <c r="RV12" s="0"/>
      <c r="RW12" s="0"/>
      <c r="RX12" s="0"/>
      <c r="RY12" s="0"/>
      <c r="RZ12" s="0"/>
      <c r="SA12" s="0"/>
      <c r="SB12" s="0"/>
      <c r="SC12" s="0"/>
      <c r="SD12" s="0"/>
      <c r="SE12" s="0"/>
      <c r="SF12" s="0"/>
      <c r="SG12" s="0"/>
      <c r="SH12" s="0"/>
      <c r="SI12" s="0"/>
      <c r="SJ12" s="0"/>
      <c r="SK12" s="0"/>
      <c r="SL12" s="0"/>
      <c r="SM12" s="0"/>
      <c r="SN12" s="0"/>
      <c r="SO12" s="0"/>
      <c r="SP12" s="0"/>
      <c r="SQ12" s="0"/>
      <c r="SR12" s="0"/>
      <c r="SS12" s="0"/>
      <c r="ST12" s="0"/>
      <c r="SU12" s="0"/>
      <c r="SV12" s="0"/>
      <c r="SW12" s="0"/>
      <c r="SX12" s="0"/>
      <c r="SY12" s="0"/>
      <c r="SZ12" s="0"/>
      <c r="TA12" s="0"/>
      <c r="TB12" s="0"/>
      <c r="TC12" s="0"/>
      <c r="TD12" s="0"/>
      <c r="TE12" s="0"/>
      <c r="TF12" s="0"/>
      <c r="TG12" s="0"/>
      <c r="TH12" s="0"/>
      <c r="TI12" s="0"/>
      <c r="TJ12" s="0"/>
      <c r="TK12" s="0"/>
      <c r="TL12" s="0"/>
      <c r="TM12" s="0"/>
      <c r="TN12" s="0"/>
      <c r="TO12" s="0"/>
      <c r="TP12" s="0"/>
      <c r="TQ12" s="0"/>
      <c r="TR12" s="0"/>
      <c r="TS12" s="0"/>
      <c r="TT12" s="0"/>
      <c r="TU12" s="0"/>
      <c r="TV12" s="0"/>
      <c r="TW12" s="0"/>
      <c r="TX12" s="0"/>
      <c r="TY12" s="0"/>
      <c r="TZ12" s="0"/>
      <c r="UA12" s="0"/>
      <c r="UB12" s="0"/>
      <c r="UC12" s="0"/>
      <c r="UD12" s="0"/>
      <c r="UE12" s="0"/>
      <c r="UF12" s="0"/>
      <c r="UG12" s="0"/>
      <c r="UH12" s="0"/>
      <c r="UI12" s="0"/>
      <c r="UJ12" s="0"/>
      <c r="UK12" s="0"/>
      <c r="UL12" s="0"/>
      <c r="UM12" s="0"/>
      <c r="UN12" s="0"/>
      <c r="UO12" s="0"/>
      <c r="UP12" s="0"/>
      <c r="UQ12" s="0"/>
      <c r="UR12" s="0"/>
      <c r="US12" s="0"/>
      <c r="UT12" s="0"/>
      <c r="UU12" s="0"/>
      <c r="UV12" s="0"/>
      <c r="UW12" s="0"/>
      <c r="UX12" s="0"/>
      <c r="UY12" s="0"/>
      <c r="UZ12" s="0"/>
      <c r="VA12" s="0"/>
      <c r="VB12" s="0"/>
      <c r="VC12" s="0"/>
      <c r="VD12" s="0"/>
      <c r="VE12" s="0"/>
      <c r="VF12" s="0"/>
      <c r="VG12" s="0"/>
      <c r="VH12" s="0"/>
      <c r="VI12" s="0"/>
      <c r="VJ12" s="0"/>
      <c r="VK12" s="0"/>
      <c r="VL12" s="0"/>
      <c r="VM12" s="0"/>
      <c r="VN12" s="0"/>
      <c r="VO12" s="0"/>
      <c r="VP12" s="0"/>
      <c r="VQ12" s="0"/>
      <c r="VR12" s="0"/>
      <c r="VS12" s="0"/>
      <c r="VT12" s="0"/>
      <c r="VU12" s="0"/>
      <c r="VV12" s="0"/>
      <c r="VW12" s="0"/>
      <c r="VX12" s="0"/>
      <c r="VY12" s="0"/>
      <c r="VZ12" s="0"/>
      <c r="WA12" s="0"/>
      <c r="WB12" s="0"/>
      <c r="WC12" s="0"/>
      <c r="WD12" s="0"/>
      <c r="WE12" s="0"/>
      <c r="WF12" s="0"/>
      <c r="WG12" s="0"/>
      <c r="WH12" s="0"/>
      <c r="WI12" s="0"/>
      <c r="WJ12" s="0"/>
      <c r="WK12" s="0"/>
      <c r="WL12" s="0"/>
      <c r="WM12" s="0"/>
      <c r="WN12" s="0"/>
      <c r="WO12" s="0"/>
      <c r="WP12" s="0"/>
      <c r="WQ12" s="0"/>
      <c r="WR12" s="0"/>
      <c r="WS12" s="0"/>
      <c r="WT12" s="0"/>
      <c r="WU12" s="0"/>
      <c r="WV12" s="0"/>
      <c r="WW12" s="0"/>
      <c r="WX12" s="0"/>
      <c r="WY12" s="0"/>
      <c r="WZ12" s="0"/>
      <c r="XA12" s="0"/>
      <c r="XB12" s="0"/>
      <c r="XC12" s="0"/>
      <c r="XD12" s="0"/>
      <c r="XE12" s="0"/>
      <c r="XF12" s="0"/>
      <c r="XG12" s="0"/>
      <c r="XH12" s="0"/>
      <c r="XI12" s="0"/>
      <c r="XJ12" s="0"/>
      <c r="XK12" s="0"/>
      <c r="XL12" s="0"/>
      <c r="XM12" s="0"/>
      <c r="XN12" s="0"/>
      <c r="XO12" s="0"/>
      <c r="XP12" s="0"/>
      <c r="XQ12" s="0"/>
      <c r="XR12" s="0"/>
      <c r="XS12" s="0"/>
      <c r="XT12" s="0"/>
      <c r="XU12" s="0"/>
      <c r="XV12" s="0"/>
      <c r="XW12" s="0"/>
      <c r="XX12" s="0"/>
      <c r="XY12" s="0"/>
      <c r="XZ12" s="0"/>
      <c r="YA12" s="0"/>
      <c r="YB12" s="0"/>
      <c r="YC12" s="0"/>
      <c r="YD12" s="0"/>
      <c r="YE12" s="0"/>
      <c r="YF12" s="0"/>
      <c r="YG12" s="0"/>
      <c r="YH12" s="0"/>
      <c r="YI12" s="0"/>
      <c r="YJ12" s="0"/>
      <c r="YK12" s="0"/>
      <c r="YL12" s="0"/>
      <c r="YM12" s="0"/>
      <c r="YN12" s="0"/>
      <c r="YO12" s="0"/>
      <c r="YP12" s="0"/>
      <c r="YQ12" s="0"/>
      <c r="YR12" s="0"/>
      <c r="YS12" s="0"/>
      <c r="YT12" s="0"/>
      <c r="YU12" s="0"/>
      <c r="YV12" s="0"/>
      <c r="YW12" s="0"/>
      <c r="YX12" s="0"/>
      <c r="YY12" s="0"/>
      <c r="YZ12" s="0"/>
      <c r="ZA12" s="0"/>
      <c r="ZB12" s="0"/>
      <c r="ZC12" s="0"/>
      <c r="ZD12" s="0"/>
      <c r="ZE12" s="0"/>
      <c r="ZF12" s="0"/>
      <c r="ZG12" s="0"/>
      <c r="ZH12" s="0"/>
      <c r="ZI12" s="0"/>
      <c r="ZJ12" s="0"/>
      <c r="ZK12" s="0"/>
      <c r="ZL12" s="0"/>
      <c r="ZM12" s="0"/>
      <c r="ZN12" s="0"/>
      <c r="ZO12" s="0"/>
      <c r="ZP12" s="0"/>
      <c r="ZQ12" s="0"/>
      <c r="ZR12" s="0"/>
      <c r="ZS12" s="0"/>
      <c r="ZT12" s="0"/>
      <c r="ZU12" s="0"/>
      <c r="ZV12" s="0"/>
      <c r="ZW12" s="0"/>
      <c r="ZX12" s="0"/>
      <c r="ZY12" s="0"/>
      <c r="ZZ12" s="0"/>
      <c r="AAA12" s="0"/>
      <c r="AAB12" s="0"/>
      <c r="AAC12" s="0"/>
      <c r="AAD12" s="0"/>
      <c r="AAE12" s="0"/>
      <c r="AAF12" s="0"/>
      <c r="AAG12" s="0"/>
      <c r="AAH12" s="0"/>
      <c r="AAI12" s="0"/>
      <c r="AAJ12" s="0"/>
      <c r="AAK12" s="0"/>
      <c r="AAL12" s="0"/>
      <c r="AAM12" s="0"/>
      <c r="AAN12" s="0"/>
      <c r="AAO12" s="0"/>
      <c r="AAP12" s="0"/>
      <c r="AAQ12" s="0"/>
      <c r="AAR12" s="0"/>
      <c r="AAS12" s="0"/>
      <c r="AAT12" s="0"/>
      <c r="AAU12" s="0"/>
      <c r="AAV12" s="0"/>
      <c r="AAW12" s="0"/>
      <c r="AAX12" s="0"/>
      <c r="AAY12" s="0"/>
      <c r="AAZ12" s="0"/>
      <c r="ABA12" s="0"/>
      <c r="ABB12" s="0"/>
      <c r="ABC12" s="0"/>
      <c r="ABD12" s="0"/>
      <c r="ABE12" s="0"/>
      <c r="ABF12" s="0"/>
      <c r="ABG12" s="0"/>
      <c r="ABH12" s="0"/>
      <c r="ABI12" s="0"/>
      <c r="ABJ12" s="0"/>
      <c r="ABK12" s="0"/>
      <c r="ABL12" s="0"/>
      <c r="ABM12" s="0"/>
      <c r="ABN12" s="0"/>
      <c r="ABO12" s="0"/>
      <c r="ABP12" s="0"/>
      <c r="ABQ12" s="0"/>
      <c r="ABR12" s="0"/>
      <c r="ABS12" s="0"/>
      <c r="ABT12" s="0"/>
      <c r="ABU12" s="0"/>
      <c r="ABV12" s="0"/>
      <c r="ABW12" s="0"/>
      <c r="ABX12" s="0"/>
      <c r="ABY12" s="0"/>
      <c r="ABZ12" s="0"/>
      <c r="ACA12" s="0"/>
      <c r="ACB12" s="0"/>
      <c r="ACC12" s="0"/>
      <c r="ACD12" s="0"/>
      <c r="ACE12" s="0"/>
      <c r="ACF12" s="0"/>
      <c r="ACG12" s="0"/>
      <c r="ACH12" s="0"/>
      <c r="ACI12" s="0"/>
      <c r="ACJ12" s="0"/>
      <c r="ACK12" s="0"/>
      <c r="ACL12" s="0"/>
      <c r="ACM12" s="0"/>
      <c r="ACN12" s="0"/>
      <c r="ACO12" s="0"/>
      <c r="ACP12" s="0"/>
      <c r="ACQ12" s="0"/>
      <c r="ACR12" s="0"/>
      <c r="ACS12" s="0"/>
      <c r="ACT12" s="0"/>
      <c r="ACU12" s="0"/>
      <c r="ACV12" s="0"/>
      <c r="ACW12" s="0"/>
      <c r="ACX12" s="0"/>
      <c r="ACY12" s="0"/>
      <c r="ACZ12" s="0"/>
      <c r="ADA12" s="0"/>
      <c r="ADB12" s="0"/>
      <c r="ADC12" s="0"/>
      <c r="ADD12" s="0"/>
      <c r="ADE12" s="0"/>
      <c r="ADF12" s="0"/>
      <c r="ADG12" s="0"/>
      <c r="ADH12" s="0"/>
      <c r="ADI12" s="0"/>
      <c r="ADJ12" s="0"/>
      <c r="ADK12" s="0"/>
      <c r="ADL12" s="0"/>
      <c r="ADM12" s="0"/>
      <c r="ADN12" s="0"/>
      <c r="ADO12" s="0"/>
      <c r="ADP12" s="0"/>
      <c r="ADQ12" s="0"/>
      <c r="ADR12" s="0"/>
      <c r="ADS12" s="0"/>
      <c r="ADT12" s="0"/>
      <c r="ADU12" s="0"/>
      <c r="ADV12" s="0"/>
      <c r="ADW12" s="0"/>
      <c r="ADX12" s="0"/>
      <c r="ADY12" s="0"/>
      <c r="ADZ12" s="0"/>
      <c r="AEA12" s="0"/>
      <c r="AEB12" s="0"/>
      <c r="AEC12" s="0"/>
      <c r="AED12" s="0"/>
      <c r="AEE12" s="0"/>
      <c r="AEF12" s="0"/>
      <c r="AEG12" s="0"/>
      <c r="AEH12" s="0"/>
      <c r="AEI12" s="0"/>
      <c r="AEJ12" s="0"/>
      <c r="AEK12" s="0"/>
      <c r="AEL12" s="0"/>
      <c r="AEM12" s="0"/>
      <c r="AEN12" s="0"/>
      <c r="AEO12" s="0"/>
      <c r="AEP12" s="0"/>
      <c r="AEQ12" s="0"/>
      <c r="AER12" s="0"/>
      <c r="AES12" s="0"/>
      <c r="AET12" s="0"/>
      <c r="AEU12" s="0"/>
      <c r="AEV12" s="0"/>
      <c r="AEW12" s="0"/>
      <c r="AEX12" s="0"/>
      <c r="AEY12" s="0"/>
      <c r="AEZ12" s="0"/>
      <c r="AFA12" s="0"/>
      <c r="AFB12" s="0"/>
      <c r="AFC12" s="0"/>
      <c r="AFD12" s="0"/>
      <c r="AFE12" s="0"/>
      <c r="AFF12" s="0"/>
      <c r="AFG12" s="0"/>
      <c r="AFH12" s="0"/>
      <c r="AFI12" s="0"/>
      <c r="AFJ12" s="0"/>
      <c r="AFK12" s="0"/>
      <c r="AFL12" s="0"/>
      <c r="AFM12" s="0"/>
      <c r="AFN12" s="0"/>
      <c r="AFO12" s="0"/>
      <c r="AFP12" s="0"/>
      <c r="AFQ12" s="0"/>
      <c r="AFR12" s="0"/>
      <c r="AFS12" s="0"/>
      <c r="AFT12" s="0"/>
      <c r="AFU12" s="0"/>
      <c r="AFV12" s="0"/>
      <c r="AFW12" s="0"/>
      <c r="AFX12" s="0"/>
      <c r="AFY12" s="0"/>
      <c r="AFZ12" s="0"/>
      <c r="AGA12" s="0"/>
      <c r="AGB12" s="0"/>
      <c r="AGC12" s="0"/>
      <c r="AGD12" s="0"/>
      <c r="AGE12" s="0"/>
      <c r="AGF12" s="0"/>
      <c r="AGG12" s="0"/>
      <c r="AGH12" s="0"/>
      <c r="AGI12" s="0"/>
      <c r="AGJ12" s="0"/>
      <c r="AGK12" s="0"/>
      <c r="AGL12" s="0"/>
      <c r="AGM12" s="0"/>
      <c r="AGN12" s="0"/>
      <c r="AGO12" s="0"/>
      <c r="AGP12" s="0"/>
      <c r="AGQ12" s="0"/>
      <c r="AGR12" s="0"/>
      <c r="AGS12" s="0"/>
      <c r="AGT12" s="0"/>
      <c r="AGU12" s="0"/>
      <c r="AGV12" s="0"/>
      <c r="AGW12" s="0"/>
      <c r="AGX12" s="0"/>
      <c r="AGY12" s="0"/>
      <c r="AGZ12" s="0"/>
      <c r="AHA12" s="0"/>
      <c r="AHB12" s="0"/>
      <c r="AHC12" s="0"/>
      <c r="AHD12" s="0"/>
      <c r="AHE12" s="0"/>
      <c r="AHF12" s="0"/>
      <c r="AHG12" s="0"/>
      <c r="AHH12" s="0"/>
      <c r="AHI12" s="0"/>
      <c r="AHJ12" s="0"/>
      <c r="AHK12" s="0"/>
      <c r="AHL12" s="0"/>
      <c r="AHM12" s="0"/>
      <c r="AHN12" s="0"/>
      <c r="AHO12" s="0"/>
      <c r="AHP12" s="0"/>
      <c r="AHQ12" s="0"/>
      <c r="AHR12" s="0"/>
      <c r="AHS12" s="0"/>
      <c r="AHT12" s="0"/>
      <c r="AHU12" s="0"/>
      <c r="AHV12" s="0"/>
      <c r="AHW12" s="0"/>
      <c r="AHX12" s="0"/>
      <c r="AHY12" s="0"/>
      <c r="AHZ12" s="0"/>
      <c r="AIA12" s="0"/>
      <c r="AIB12" s="0"/>
      <c r="AIC12" s="0"/>
      <c r="AID12" s="0"/>
      <c r="AIE12" s="0"/>
      <c r="AIF12" s="0"/>
      <c r="AIG12" s="0"/>
      <c r="AIH12" s="0"/>
      <c r="AII12" s="0"/>
      <c r="AIJ12" s="0"/>
      <c r="AIK12" s="0"/>
      <c r="AIL12" s="0"/>
      <c r="AIM12" s="0"/>
      <c r="AIN12" s="0"/>
      <c r="AIO12" s="0"/>
      <c r="AIP12" s="0"/>
      <c r="AIQ12" s="0"/>
      <c r="AIR12" s="0"/>
      <c r="AIS12" s="0"/>
      <c r="AIT12" s="0"/>
      <c r="AIU12" s="0"/>
      <c r="AIV12" s="0"/>
      <c r="AIW12" s="0"/>
      <c r="AIX12" s="0"/>
      <c r="AIY12" s="0"/>
      <c r="AIZ12" s="0"/>
      <c r="AJA12" s="0"/>
      <c r="AJB12" s="0"/>
      <c r="AJC12" s="0"/>
      <c r="AJD12" s="0"/>
      <c r="AJE12" s="0"/>
      <c r="AJF12" s="0"/>
      <c r="AJG12" s="0"/>
      <c r="AJH12" s="0"/>
      <c r="AJI12" s="0"/>
      <c r="AJJ12" s="0"/>
      <c r="AJK12" s="0"/>
      <c r="AJL12" s="0"/>
      <c r="AJM12" s="0"/>
      <c r="AJN12" s="0"/>
      <c r="AJO12" s="0"/>
      <c r="AJP12" s="0"/>
      <c r="AJQ12" s="0"/>
      <c r="AJR12" s="0"/>
      <c r="AJS12" s="0"/>
      <c r="AJT12" s="0"/>
      <c r="AJU12" s="0"/>
      <c r="AJV12" s="0"/>
      <c r="AJW12" s="0"/>
      <c r="AJX12" s="0"/>
      <c r="AJY12" s="0"/>
      <c r="AJZ12" s="0"/>
      <c r="AKA12" s="0"/>
      <c r="AKB12" s="0"/>
      <c r="AKC12" s="0"/>
      <c r="AKD12" s="0"/>
      <c r="AKE12" s="0"/>
      <c r="AKF12" s="0"/>
      <c r="AKG12" s="0"/>
      <c r="AKH12" s="0"/>
      <c r="AKI12" s="0"/>
      <c r="AKJ12" s="0"/>
      <c r="AKK12" s="0"/>
      <c r="AKL12" s="0"/>
      <c r="AKM12" s="0"/>
      <c r="AKN12" s="0"/>
      <c r="AKO12" s="0"/>
      <c r="AKP12" s="0"/>
      <c r="AKQ12" s="0"/>
      <c r="AKR12" s="0"/>
      <c r="AKS12" s="0"/>
      <c r="AKT12" s="0"/>
      <c r="AKU12" s="0"/>
      <c r="AKV12" s="0"/>
      <c r="AKW12" s="0"/>
      <c r="AKX12" s="0"/>
      <c r="AKY12" s="0"/>
      <c r="AKZ12" s="0"/>
      <c r="ALA12" s="0"/>
      <c r="ALB12" s="0"/>
      <c r="ALC12" s="0"/>
      <c r="ALD12" s="0"/>
      <c r="ALE12" s="0"/>
      <c r="ALF12" s="0"/>
      <c r="ALG12" s="0"/>
      <c r="ALH12" s="0"/>
      <c r="ALI12" s="0"/>
      <c r="ALJ12" s="0"/>
      <c r="ALK12" s="0"/>
      <c r="ALL12" s="0"/>
      <c r="ALM12" s="0"/>
      <c r="ALN12" s="0"/>
      <c r="ALO12" s="0"/>
      <c r="ALP12" s="0"/>
      <c r="ALQ12" s="0"/>
      <c r="ALR12" s="0"/>
      <c r="ALS12" s="0"/>
      <c r="ALT12" s="0"/>
      <c r="ALU12" s="0"/>
      <c r="ALV12" s="0"/>
      <c r="ALW12" s="0"/>
      <c r="ALX12" s="0"/>
      <c r="ALY12" s="0"/>
      <c r="ALZ12" s="0"/>
      <c r="AMA12" s="0"/>
      <c r="AMB12" s="0"/>
      <c r="AMC12" s="0"/>
      <c r="AMD12" s="0"/>
      <c r="AME12" s="0"/>
      <c r="AMF12" s="0"/>
      <c r="AMG12" s="0"/>
      <c r="AMH12" s="0"/>
      <c r="AMI12" s="0"/>
      <c r="AMJ12" s="0"/>
      <c r="AMK12" s="0"/>
      <c r="AML12" s="0"/>
      <c r="AMM12" s="0"/>
      <c r="AMN12" s="0"/>
      <c r="AMO12" s="0"/>
      <c r="AMP12" s="0"/>
      <c r="AMQ12" s="0"/>
      <c r="AMR12" s="0"/>
      <c r="AMS12" s="0"/>
      <c r="AMT12" s="0"/>
      <c r="AMU12" s="0"/>
      <c r="AMV12" s="0"/>
      <c r="AMW12" s="0"/>
      <c r="AMX12" s="0"/>
      <c r="AMY12" s="0"/>
      <c r="AMZ12" s="0"/>
      <c r="ANA12" s="0"/>
      <c r="ANB12" s="0"/>
      <c r="ANC12" s="0"/>
      <c r="AND12" s="0"/>
      <c r="ANE12" s="0"/>
      <c r="ANF12" s="0"/>
      <c r="ANG12" s="0"/>
      <c r="ANH12" s="0"/>
      <c r="ANI12" s="0"/>
      <c r="ANJ12" s="0"/>
      <c r="ANK12" s="0"/>
      <c r="ANL12" s="0"/>
      <c r="ANM12" s="0"/>
      <c r="ANN12" s="0"/>
      <c r="ANO12" s="0"/>
      <c r="ANP12" s="0"/>
      <c r="ANQ12" s="0"/>
      <c r="ANR12" s="0"/>
      <c r="ANS12" s="0"/>
      <c r="ANT12" s="0"/>
      <c r="ANU12" s="0"/>
      <c r="ANV12" s="0"/>
      <c r="ANW12" s="0"/>
      <c r="ANX12" s="0"/>
      <c r="ANY12" s="0"/>
      <c r="ANZ12" s="0"/>
      <c r="AOA12" s="0"/>
      <c r="AOB12" s="0"/>
      <c r="AOC12" s="0"/>
      <c r="AOD12" s="0"/>
      <c r="AOE12" s="0"/>
      <c r="AOF12" s="0"/>
      <c r="AOG12" s="0"/>
      <c r="AOH12" s="0"/>
      <c r="AOI12" s="0"/>
      <c r="AOJ12" s="0"/>
      <c r="AOK12" s="0"/>
      <c r="AOL12" s="0"/>
      <c r="AOM12" s="0"/>
      <c r="AON12" s="0"/>
      <c r="AOO12" s="0"/>
      <c r="AOP12" s="0"/>
      <c r="AOQ12" s="0"/>
      <c r="AOR12" s="0"/>
      <c r="AOS12" s="0"/>
      <c r="AOT12" s="0"/>
      <c r="AOU12" s="0"/>
      <c r="AOV12" s="0"/>
      <c r="AOW12" s="0"/>
      <c r="AOX12" s="0"/>
      <c r="AOY12" s="0"/>
      <c r="AOZ12" s="0"/>
      <c r="APA12" s="0"/>
      <c r="APB12" s="0"/>
      <c r="APC12" s="0"/>
      <c r="APD12" s="0"/>
      <c r="APE12" s="0"/>
      <c r="APF12" s="0"/>
      <c r="APG12" s="0"/>
      <c r="APH12" s="0"/>
      <c r="API12" s="0"/>
      <c r="APJ12" s="0"/>
      <c r="APK12" s="0"/>
      <c r="APL12" s="0"/>
      <c r="APM12" s="0"/>
      <c r="APN12" s="0"/>
      <c r="APO12" s="0"/>
      <c r="APP12" s="0"/>
      <c r="APQ12" s="0"/>
      <c r="APR12" s="0"/>
      <c r="APS12" s="0"/>
      <c r="APT12" s="0"/>
      <c r="APU12" s="0"/>
      <c r="APV12" s="0"/>
      <c r="APW12" s="0"/>
      <c r="APX12" s="0"/>
      <c r="APY12" s="0"/>
      <c r="APZ12" s="0"/>
      <c r="AQA12" s="0"/>
      <c r="AQB12" s="0"/>
      <c r="AQC12" s="0"/>
      <c r="AQD12" s="0"/>
      <c r="AQE12" s="0"/>
      <c r="AQF12" s="0"/>
      <c r="AQG12" s="0"/>
      <c r="AQH12" s="0"/>
      <c r="AQI12" s="0"/>
      <c r="AQJ12" s="0"/>
      <c r="AQK12" s="0"/>
      <c r="AQL12" s="0"/>
      <c r="AQM12" s="0"/>
      <c r="AQN12" s="0"/>
      <c r="AQO12" s="0"/>
      <c r="AQP12" s="0"/>
      <c r="AQQ12" s="0"/>
      <c r="AQR12" s="0"/>
      <c r="AQS12" s="0"/>
      <c r="AQT12" s="0"/>
      <c r="AQU12" s="0"/>
      <c r="AQV12" s="0"/>
      <c r="AQW12" s="0"/>
      <c r="AQX12" s="0"/>
      <c r="AQY12" s="0"/>
      <c r="AQZ12" s="0"/>
      <c r="ARA12" s="0"/>
      <c r="ARB12" s="0"/>
      <c r="ARC12" s="0"/>
      <c r="ARD12" s="0"/>
      <c r="ARE12" s="0"/>
      <c r="ARF12" s="0"/>
      <c r="ARG12" s="0"/>
      <c r="ARH12" s="0"/>
      <c r="ARI12" s="0"/>
      <c r="ARJ12" s="0"/>
      <c r="ARK12" s="0"/>
      <c r="ARL12" s="0"/>
      <c r="ARM12" s="0"/>
      <c r="ARN12" s="0"/>
      <c r="ARO12" s="0"/>
      <c r="ARP12" s="0"/>
      <c r="ARQ12" s="0"/>
      <c r="ARR12" s="0"/>
      <c r="ARS12" s="0"/>
      <c r="ART12" s="0"/>
      <c r="ARU12" s="0"/>
      <c r="ARV12" s="0"/>
      <c r="ARW12" s="0"/>
      <c r="ARX12" s="0"/>
      <c r="ARY12" s="0"/>
      <c r="ARZ12" s="0"/>
      <c r="ASA12" s="0"/>
      <c r="ASB12" s="0"/>
      <c r="ASC12" s="0"/>
      <c r="ASD12" s="0"/>
      <c r="ASE12" s="0"/>
      <c r="ASF12" s="0"/>
      <c r="ASG12" s="0"/>
      <c r="ASH12" s="0"/>
      <c r="ASI12" s="0"/>
      <c r="ASJ12" s="0"/>
      <c r="ASK12" s="0"/>
      <c r="ASL12" s="0"/>
      <c r="ASM12" s="0"/>
      <c r="ASN12" s="0"/>
      <c r="ASO12" s="0"/>
      <c r="ASP12" s="0"/>
      <c r="ASQ12" s="0"/>
      <c r="ASR12" s="0"/>
      <c r="ASS12" s="0"/>
      <c r="AST12" s="0"/>
      <c r="ASU12" s="0"/>
      <c r="ASV12" s="0"/>
      <c r="ASW12" s="0"/>
      <c r="ASX12" s="0"/>
      <c r="ASY12" s="0"/>
      <c r="ASZ12" s="0"/>
      <c r="ATA12" s="0"/>
      <c r="ATB12" s="0"/>
      <c r="ATC12" s="0"/>
      <c r="ATD12" s="0"/>
      <c r="ATE12" s="0"/>
      <c r="ATF12" s="0"/>
      <c r="ATG12" s="0"/>
      <c r="ATH12" s="0"/>
      <c r="ATI12" s="0"/>
      <c r="ATJ12" s="0"/>
      <c r="ATK12" s="0"/>
      <c r="ATL12" s="0"/>
      <c r="ATM12" s="0"/>
      <c r="ATN12" s="0"/>
      <c r="ATO12" s="0"/>
      <c r="ATP12" s="0"/>
      <c r="ATQ12" s="0"/>
      <c r="ATR12" s="0"/>
      <c r="ATS12" s="0"/>
      <c r="ATT12" s="0"/>
      <c r="ATU12" s="0"/>
      <c r="ATV12" s="0"/>
      <c r="ATW12" s="0"/>
      <c r="ATX12" s="0"/>
      <c r="ATY12" s="0"/>
      <c r="ATZ12" s="0"/>
      <c r="AUA12" s="0"/>
      <c r="AUB12" s="0"/>
      <c r="AUC12" s="0"/>
      <c r="AUD12" s="0"/>
      <c r="AUE12" s="0"/>
      <c r="AUF12" s="0"/>
      <c r="AUG12" s="0"/>
      <c r="AUH12" s="0"/>
      <c r="AUI12" s="0"/>
      <c r="AUJ12" s="0"/>
      <c r="AUK12" s="0"/>
      <c r="AUL12" s="0"/>
      <c r="AUM12" s="0"/>
      <c r="AUN12" s="0"/>
      <c r="AUO12" s="0"/>
      <c r="AUP12" s="0"/>
      <c r="AUQ12" s="0"/>
      <c r="AUR12" s="0"/>
      <c r="AUS12" s="0"/>
      <c r="AUT12" s="0"/>
      <c r="AUU12" s="0"/>
      <c r="AUV12" s="0"/>
      <c r="AUW12" s="0"/>
      <c r="AUX12" s="0"/>
      <c r="AUY12" s="0"/>
      <c r="AUZ12" s="0"/>
      <c r="AVA12" s="0"/>
      <c r="AVB12" s="0"/>
      <c r="AVC12" s="0"/>
      <c r="AVD12" s="0"/>
      <c r="AVE12" s="0"/>
      <c r="AVF12" s="0"/>
      <c r="AVG12" s="0"/>
      <c r="AVH12" s="0"/>
      <c r="AVI12" s="0"/>
      <c r="AVJ12" s="0"/>
      <c r="AVK12" s="0"/>
      <c r="AVL12" s="0"/>
      <c r="AVM12" s="0"/>
      <c r="AVN12" s="0"/>
      <c r="AVO12" s="0"/>
      <c r="AVP12" s="0"/>
      <c r="AVQ12" s="0"/>
      <c r="AVR12" s="0"/>
      <c r="AVS12" s="0"/>
      <c r="AVT12" s="0"/>
      <c r="AVU12" s="0"/>
      <c r="AVV12" s="0"/>
      <c r="AVW12" s="0"/>
      <c r="AVX12" s="0"/>
      <c r="AVY12" s="0"/>
      <c r="AVZ12" s="0"/>
      <c r="AWA12" s="0"/>
      <c r="AWB12" s="0"/>
      <c r="AWC12" s="0"/>
      <c r="AWD12" s="0"/>
      <c r="AWE12" s="0"/>
      <c r="AWF12" s="0"/>
      <c r="AWG12" s="0"/>
      <c r="AWH12" s="0"/>
      <c r="AWI12" s="0"/>
      <c r="AWJ12" s="0"/>
      <c r="AWK12" s="0"/>
      <c r="AWL12" s="0"/>
      <c r="AWM12" s="0"/>
      <c r="AWN12" s="0"/>
      <c r="AWO12" s="0"/>
      <c r="AWP12" s="0"/>
      <c r="AWQ12" s="0"/>
      <c r="AWR12" s="0"/>
      <c r="AWS12" s="0"/>
      <c r="AWT12" s="0"/>
      <c r="AWU12" s="0"/>
      <c r="AWV12" s="0"/>
      <c r="AWW12" s="0"/>
      <c r="AWX12" s="0"/>
      <c r="AWY12" s="0"/>
      <c r="AWZ12" s="0"/>
      <c r="AXA12" s="0"/>
      <c r="AXB12" s="0"/>
      <c r="AXC12" s="0"/>
      <c r="AXD12" s="0"/>
      <c r="AXE12" s="0"/>
      <c r="AXF12" s="0"/>
      <c r="AXG12" s="0"/>
      <c r="AXH12" s="0"/>
      <c r="AXI12" s="0"/>
      <c r="AXJ12" s="0"/>
      <c r="AXK12" s="0"/>
      <c r="AXL12" s="0"/>
      <c r="AXM12" s="0"/>
      <c r="AXN12" s="0"/>
      <c r="AXO12" s="0"/>
      <c r="AXP12" s="0"/>
      <c r="AXQ12" s="0"/>
      <c r="AXR12" s="0"/>
      <c r="AXS12" s="0"/>
      <c r="AXT12" s="0"/>
      <c r="AXU12" s="0"/>
      <c r="AXV12" s="0"/>
      <c r="AXW12" s="0"/>
      <c r="AXX12" s="0"/>
      <c r="AXY12" s="0"/>
      <c r="AXZ12" s="0"/>
      <c r="AYA12" s="0"/>
      <c r="AYB12" s="0"/>
      <c r="AYC12" s="0"/>
      <c r="AYD12" s="0"/>
      <c r="AYE12" s="0"/>
      <c r="AYF12" s="0"/>
      <c r="AYG12" s="0"/>
      <c r="AYH12" s="0"/>
      <c r="AYI12" s="0"/>
      <c r="AYJ12" s="0"/>
      <c r="AYK12" s="0"/>
      <c r="AYL12" s="0"/>
      <c r="AYM12" s="0"/>
      <c r="AYN12" s="0"/>
      <c r="AYO12" s="0"/>
      <c r="AYP12" s="0"/>
      <c r="AYQ12" s="0"/>
      <c r="AYR12" s="0"/>
      <c r="AYS12" s="0"/>
      <c r="AYT12" s="0"/>
      <c r="AYU12" s="0"/>
      <c r="AYV12" s="0"/>
      <c r="AYW12" s="0"/>
      <c r="AYX12" s="0"/>
      <c r="AYY12" s="0"/>
      <c r="AYZ12" s="0"/>
      <c r="AZA12" s="0"/>
      <c r="AZB12" s="0"/>
      <c r="AZC12" s="0"/>
      <c r="AZD12" s="0"/>
      <c r="AZE12" s="0"/>
      <c r="AZF12" s="0"/>
      <c r="AZG12" s="0"/>
      <c r="AZH12" s="0"/>
      <c r="AZI12" s="0"/>
      <c r="AZJ12" s="0"/>
      <c r="AZK12" s="0"/>
      <c r="AZL12" s="0"/>
      <c r="AZM12" s="0"/>
      <c r="AZN12" s="0"/>
      <c r="AZO12" s="0"/>
      <c r="AZP12" s="0"/>
      <c r="AZQ12" s="0"/>
      <c r="AZR12" s="0"/>
      <c r="AZS12" s="0"/>
      <c r="AZT12" s="0"/>
      <c r="AZU12" s="0"/>
      <c r="AZV12" s="0"/>
      <c r="AZW12" s="0"/>
      <c r="AZX12" s="0"/>
      <c r="AZY12" s="0"/>
      <c r="AZZ12" s="0"/>
      <c r="BAA12" s="0"/>
      <c r="BAB12" s="0"/>
      <c r="BAC12" s="0"/>
      <c r="BAD12" s="0"/>
      <c r="BAE12" s="0"/>
      <c r="BAF12" s="0"/>
      <c r="BAG12" s="0"/>
      <c r="BAH12" s="0"/>
      <c r="BAI12" s="0"/>
      <c r="BAJ12" s="0"/>
      <c r="BAK12" s="0"/>
      <c r="BAL12" s="0"/>
      <c r="BAM12" s="0"/>
      <c r="BAN12" s="0"/>
      <c r="BAO12" s="0"/>
      <c r="BAP12" s="0"/>
      <c r="BAQ12" s="0"/>
      <c r="BAR12" s="0"/>
      <c r="BAS12" s="0"/>
      <c r="BAT12" s="0"/>
      <c r="BAU12" s="0"/>
      <c r="BAV12" s="0"/>
      <c r="BAW12" s="0"/>
      <c r="BAX12" s="0"/>
      <c r="BAY12" s="0"/>
      <c r="BAZ12" s="0"/>
      <c r="BBA12" s="0"/>
      <c r="BBB12" s="0"/>
      <c r="BBC12" s="0"/>
      <c r="BBD12" s="0"/>
      <c r="BBE12" s="0"/>
      <c r="BBF12" s="0"/>
      <c r="BBG12" s="0"/>
      <c r="BBH12" s="0"/>
      <c r="BBI12" s="0"/>
      <c r="BBJ12" s="0"/>
      <c r="BBK12" s="0"/>
      <c r="BBL12" s="0"/>
      <c r="BBM12" s="0"/>
      <c r="BBN12" s="0"/>
      <c r="BBO12" s="0"/>
      <c r="BBP12" s="0"/>
      <c r="BBQ12" s="0"/>
      <c r="BBR12" s="0"/>
      <c r="BBS12" s="0"/>
      <c r="BBT12" s="0"/>
      <c r="BBU12" s="0"/>
      <c r="BBV12" s="0"/>
      <c r="BBW12" s="0"/>
      <c r="BBX12" s="0"/>
      <c r="BBY12" s="0"/>
      <c r="BBZ12" s="0"/>
      <c r="BCA12" s="0"/>
      <c r="BCB12" s="0"/>
      <c r="BCC12" s="0"/>
      <c r="BCD12" s="0"/>
      <c r="BCE12" s="0"/>
      <c r="BCF12" s="0"/>
      <c r="BCG12" s="0"/>
      <c r="BCH12" s="0"/>
      <c r="BCI12" s="0"/>
      <c r="BCJ12" s="0"/>
      <c r="BCK12" s="0"/>
      <c r="BCL12" s="0"/>
      <c r="BCM12" s="0"/>
      <c r="BCN12" s="0"/>
      <c r="BCO12" s="0"/>
      <c r="BCP12" s="0"/>
      <c r="BCQ12" s="0"/>
      <c r="BCR12" s="0"/>
      <c r="BCS12" s="0"/>
      <c r="BCT12" s="0"/>
      <c r="BCU12" s="0"/>
      <c r="BCV12" s="0"/>
      <c r="BCW12" s="0"/>
      <c r="BCX12" s="0"/>
      <c r="BCY12" s="0"/>
      <c r="BCZ12" s="0"/>
      <c r="BDA12" s="0"/>
      <c r="BDB12" s="0"/>
      <c r="BDC12" s="0"/>
      <c r="BDD12" s="0"/>
      <c r="BDE12" s="0"/>
      <c r="BDF12" s="0"/>
      <c r="BDG12" s="0"/>
      <c r="BDH12" s="0"/>
      <c r="BDI12" s="0"/>
      <c r="BDJ12" s="0"/>
      <c r="BDK12" s="0"/>
      <c r="BDL12" s="0"/>
      <c r="BDM12" s="0"/>
      <c r="BDN12" s="0"/>
      <c r="BDO12" s="0"/>
      <c r="BDP12" s="0"/>
      <c r="BDQ12" s="0"/>
      <c r="BDR12" s="0"/>
      <c r="BDS12" s="0"/>
      <c r="BDT12" s="0"/>
      <c r="BDU12" s="0"/>
      <c r="BDV12" s="0"/>
      <c r="BDW12" s="0"/>
      <c r="BDX12" s="0"/>
      <c r="BDY12" s="0"/>
      <c r="BDZ12" s="0"/>
      <c r="BEA12" s="0"/>
      <c r="BEB12" s="0"/>
      <c r="BEC12" s="0"/>
      <c r="BED12" s="0"/>
      <c r="BEE12" s="0"/>
      <c r="BEF12" s="0"/>
      <c r="BEG12" s="0"/>
      <c r="BEH12" s="0"/>
      <c r="BEI12" s="0"/>
      <c r="BEJ12" s="0"/>
      <c r="BEK12" s="0"/>
      <c r="BEL12" s="0"/>
      <c r="BEM12" s="0"/>
      <c r="BEN12" s="0"/>
      <c r="BEO12" s="0"/>
      <c r="BEP12" s="0"/>
      <c r="BEQ12" s="0"/>
      <c r="BER12" s="0"/>
      <c r="BES12" s="0"/>
      <c r="BET12" s="0"/>
      <c r="BEU12" s="0"/>
      <c r="BEV12" s="0"/>
      <c r="BEW12" s="0"/>
      <c r="BEX12" s="0"/>
      <c r="BEY12" s="0"/>
      <c r="BEZ12" s="0"/>
      <c r="BFA12" s="0"/>
      <c r="BFB12" s="0"/>
      <c r="BFC12" s="0"/>
      <c r="BFD12" s="0"/>
      <c r="BFE12" s="0"/>
      <c r="BFF12" s="0"/>
      <c r="BFG12" s="0"/>
      <c r="BFH12" s="0"/>
      <c r="BFI12" s="0"/>
      <c r="BFJ12" s="0"/>
      <c r="BFK12" s="0"/>
      <c r="BFL12" s="0"/>
      <c r="BFM12" s="0"/>
      <c r="BFN12" s="0"/>
      <c r="BFO12" s="0"/>
      <c r="BFP12" s="0"/>
      <c r="BFQ12" s="0"/>
      <c r="BFR12" s="0"/>
      <c r="BFS12" s="0"/>
      <c r="BFT12" s="0"/>
      <c r="BFU12" s="0"/>
      <c r="BFV12" s="0"/>
      <c r="BFW12" s="0"/>
      <c r="BFX12" s="0"/>
      <c r="BFY12" s="0"/>
      <c r="BFZ12" s="0"/>
      <c r="BGA12" s="0"/>
      <c r="BGB12" s="0"/>
      <c r="BGC12" s="0"/>
      <c r="BGD12" s="0"/>
      <c r="BGE12" s="0"/>
      <c r="BGF12" s="0"/>
      <c r="BGG12" s="0"/>
      <c r="BGH12" s="0"/>
      <c r="BGI12" s="0"/>
      <c r="BGJ12" s="0"/>
      <c r="BGK12" s="0"/>
      <c r="BGL12" s="0"/>
      <c r="BGM12" s="0"/>
      <c r="BGN12" s="0"/>
      <c r="BGO12" s="0"/>
      <c r="BGP12" s="0"/>
      <c r="BGQ12" s="0"/>
      <c r="BGR12" s="0"/>
      <c r="BGS12" s="0"/>
      <c r="BGT12" s="0"/>
      <c r="BGU12" s="0"/>
      <c r="BGV12" s="0"/>
      <c r="BGW12" s="0"/>
      <c r="BGX12" s="0"/>
      <c r="BGY12" s="0"/>
      <c r="BGZ12" s="0"/>
      <c r="BHA12" s="0"/>
      <c r="BHB12" s="0"/>
      <c r="BHC12" s="0"/>
      <c r="BHD12" s="0"/>
      <c r="BHE12" s="0"/>
      <c r="BHF12" s="0"/>
      <c r="BHG12" s="0"/>
      <c r="BHH12" s="0"/>
      <c r="BHI12" s="0"/>
      <c r="BHJ12" s="0"/>
      <c r="BHK12" s="0"/>
      <c r="BHL12" s="0"/>
      <c r="BHM12" s="0"/>
      <c r="BHN12" s="0"/>
      <c r="BHO12" s="0"/>
      <c r="BHP12" s="0"/>
      <c r="BHQ12" s="0"/>
      <c r="BHR12" s="0"/>
      <c r="BHS12" s="0"/>
      <c r="BHT12" s="0"/>
      <c r="BHU12" s="0"/>
      <c r="BHV12" s="0"/>
      <c r="BHW12" s="0"/>
      <c r="BHX12" s="0"/>
      <c r="BHY12" s="0"/>
      <c r="BHZ12" s="0"/>
      <c r="BIA12" s="0"/>
      <c r="BIB12" s="0"/>
      <c r="BIC12" s="0"/>
      <c r="BID12" s="0"/>
      <c r="BIE12" s="0"/>
      <c r="BIF12" s="0"/>
      <c r="BIG12" s="0"/>
      <c r="BIH12" s="0"/>
      <c r="BII12" s="0"/>
      <c r="BIJ12" s="0"/>
      <c r="BIK12" s="0"/>
      <c r="BIL12" s="0"/>
      <c r="BIM12" s="0"/>
      <c r="BIN12" s="0"/>
      <c r="BIO12" s="0"/>
      <c r="BIP12" s="0"/>
      <c r="BIQ12" s="0"/>
      <c r="BIR12" s="0"/>
      <c r="BIS12" s="0"/>
      <c r="BIT12" s="0"/>
      <c r="BIU12" s="0"/>
      <c r="BIV12" s="0"/>
      <c r="BIW12" s="0"/>
      <c r="BIX12" s="0"/>
      <c r="BIY12" s="0"/>
      <c r="BIZ12" s="0"/>
      <c r="BJA12" s="0"/>
      <c r="BJB12" s="0"/>
      <c r="BJC12" s="0"/>
      <c r="BJD12" s="0"/>
      <c r="BJE12" s="0"/>
      <c r="BJF12" s="0"/>
      <c r="BJG12" s="0"/>
      <c r="BJH12" s="0"/>
      <c r="BJI12" s="0"/>
      <c r="BJJ12" s="0"/>
      <c r="BJK12" s="0"/>
      <c r="BJL12" s="0"/>
      <c r="BJM12" s="0"/>
      <c r="BJN12" s="0"/>
      <c r="BJO12" s="0"/>
      <c r="BJP12" s="0"/>
      <c r="BJQ12" s="0"/>
      <c r="BJR12" s="0"/>
      <c r="BJS12" s="0"/>
      <c r="BJT12" s="0"/>
      <c r="BJU12" s="0"/>
      <c r="BJV12" s="0"/>
      <c r="BJW12" s="0"/>
      <c r="BJX12" s="0"/>
      <c r="BJY12" s="0"/>
      <c r="BJZ12" s="0"/>
      <c r="BKA12" s="0"/>
      <c r="BKB12" s="0"/>
      <c r="BKC12" s="0"/>
      <c r="BKD12" s="0"/>
      <c r="BKE12" s="0"/>
      <c r="BKF12" s="0"/>
      <c r="BKG12" s="0"/>
      <c r="BKH12" s="0"/>
      <c r="BKI12" s="0"/>
      <c r="BKJ12" s="0"/>
      <c r="BKK12" s="0"/>
      <c r="BKL12" s="0"/>
      <c r="BKM12" s="0"/>
      <c r="BKN12" s="0"/>
      <c r="BKO12" s="0"/>
      <c r="BKP12" s="0"/>
      <c r="BKQ12" s="0"/>
      <c r="BKR12" s="0"/>
      <c r="BKS12" s="0"/>
      <c r="BKT12" s="0"/>
      <c r="BKU12" s="0"/>
      <c r="BKV12" s="0"/>
      <c r="BKW12" s="0"/>
      <c r="BKX12" s="0"/>
      <c r="BKY12" s="0"/>
      <c r="BKZ12" s="0"/>
      <c r="BLA12" s="0"/>
      <c r="BLB12" s="0"/>
      <c r="BLC12" s="0"/>
      <c r="BLD12" s="0"/>
      <c r="BLE12" s="0"/>
      <c r="BLF12" s="0"/>
      <c r="BLG12" s="0"/>
      <c r="BLH12" s="0"/>
      <c r="BLI12" s="0"/>
      <c r="BLJ12" s="0"/>
      <c r="BLK12" s="0"/>
      <c r="BLL12" s="0"/>
      <c r="BLM12" s="0"/>
      <c r="BLN12" s="0"/>
      <c r="BLO12" s="0"/>
      <c r="BLP12" s="0"/>
      <c r="BLQ12" s="0"/>
      <c r="BLR12" s="0"/>
      <c r="BLS12" s="0"/>
      <c r="BLT12" s="0"/>
      <c r="BLU12" s="0"/>
      <c r="BLV12" s="0"/>
      <c r="BLW12" s="0"/>
      <c r="BLX12" s="0"/>
      <c r="BLY12" s="0"/>
      <c r="BLZ12" s="0"/>
      <c r="BMA12" s="0"/>
      <c r="BMB12" s="0"/>
      <c r="BMC12" s="0"/>
      <c r="BMD12" s="0"/>
      <c r="BME12" s="0"/>
      <c r="BMF12" s="0"/>
      <c r="BMG12" s="0"/>
      <c r="BMH12" s="0"/>
      <c r="BMI12" s="0"/>
      <c r="BMJ12" s="0"/>
      <c r="BMK12" s="0"/>
      <c r="BML12" s="0"/>
      <c r="BMM12" s="0"/>
      <c r="BMN12" s="0"/>
      <c r="BMO12" s="0"/>
      <c r="BMP12" s="0"/>
      <c r="BMQ12" s="0"/>
      <c r="BMR12" s="0"/>
      <c r="BMS12" s="0"/>
      <c r="BMT12" s="0"/>
      <c r="BMU12" s="0"/>
      <c r="BMV12" s="0"/>
      <c r="BMW12" s="0"/>
      <c r="BMX12" s="0"/>
      <c r="BMY12" s="0"/>
      <c r="BMZ12" s="0"/>
      <c r="BNA12" s="0"/>
      <c r="BNB12" s="0"/>
      <c r="BNC12" s="0"/>
      <c r="BND12" s="0"/>
      <c r="BNE12" s="0"/>
      <c r="BNF12" s="0"/>
      <c r="BNG12" s="0"/>
      <c r="BNH12" s="0"/>
      <c r="BNI12" s="0"/>
      <c r="BNJ12" s="0"/>
      <c r="BNK12" s="0"/>
      <c r="BNL12" s="0"/>
      <c r="BNM12" s="0"/>
      <c r="BNN12" s="0"/>
      <c r="BNO12" s="0"/>
      <c r="BNP12" s="0"/>
      <c r="BNQ12" s="0"/>
      <c r="BNR12" s="0"/>
      <c r="BNS12" s="0"/>
      <c r="BNT12" s="0"/>
      <c r="BNU12" s="0"/>
      <c r="BNV12" s="0"/>
      <c r="BNW12" s="0"/>
      <c r="BNX12" s="0"/>
      <c r="BNY12" s="0"/>
      <c r="BNZ12" s="0"/>
      <c r="BOA12" s="0"/>
      <c r="BOB12" s="0"/>
      <c r="BOC12" s="0"/>
      <c r="BOD12" s="0"/>
      <c r="BOE12" s="0"/>
      <c r="BOF12" s="0"/>
      <c r="BOG12" s="0"/>
      <c r="BOH12" s="0"/>
      <c r="BOI12" s="0"/>
      <c r="BOJ12" s="0"/>
      <c r="BOK12" s="0"/>
      <c r="BOL12" s="0"/>
      <c r="BOM12" s="0"/>
      <c r="BON12" s="0"/>
      <c r="BOO12" s="0"/>
      <c r="BOP12" s="0"/>
      <c r="BOQ12" s="0"/>
      <c r="BOR12" s="0"/>
      <c r="BOS12" s="0"/>
      <c r="BOT12" s="0"/>
      <c r="BOU12" s="0"/>
      <c r="BOV12" s="0"/>
      <c r="BOW12" s="0"/>
      <c r="BOX12" s="0"/>
      <c r="BOY12" s="0"/>
      <c r="BOZ12" s="0"/>
      <c r="BPA12" s="0"/>
      <c r="BPB12" s="0"/>
      <c r="BPC12" s="0"/>
      <c r="BPD12" s="0"/>
      <c r="BPE12" s="0"/>
      <c r="BPF12" s="0"/>
      <c r="BPG12" s="0"/>
      <c r="BPH12" s="0"/>
      <c r="BPI12" s="0"/>
      <c r="BPJ12" s="0"/>
      <c r="BPK12" s="0"/>
      <c r="BPL12" s="0"/>
      <c r="BPM12" s="0"/>
      <c r="BPN12" s="0"/>
      <c r="BPO12" s="0"/>
      <c r="BPP12" s="0"/>
      <c r="BPQ12" s="0"/>
      <c r="BPR12" s="0"/>
      <c r="BPS12" s="0"/>
      <c r="BPT12" s="0"/>
      <c r="BPU12" s="0"/>
      <c r="BPV12" s="0"/>
      <c r="BPW12" s="0"/>
      <c r="BPX12" s="0"/>
      <c r="BPY12" s="0"/>
      <c r="BPZ12" s="0"/>
      <c r="BQA12" s="0"/>
      <c r="BQB12" s="0"/>
      <c r="BQC12" s="0"/>
      <c r="BQD12" s="0"/>
      <c r="BQE12" s="0"/>
      <c r="BQF12" s="0"/>
      <c r="BQG12" s="0"/>
      <c r="BQH12" s="0"/>
      <c r="BQI12" s="0"/>
      <c r="BQJ12" s="0"/>
      <c r="BQK12" s="0"/>
      <c r="BQL12" s="0"/>
      <c r="BQM12" s="0"/>
      <c r="BQN12" s="0"/>
      <c r="BQO12" s="0"/>
      <c r="BQP12" s="0"/>
      <c r="BQQ12" s="0"/>
      <c r="BQR12" s="0"/>
      <c r="BQS12" s="0"/>
      <c r="BQT12" s="0"/>
      <c r="BQU12" s="0"/>
      <c r="BQV12" s="0"/>
      <c r="BQW12" s="0"/>
      <c r="BQX12" s="0"/>
      <c r="BQY12" s="0"/>
      <c r="BQZ12" s="0"/>
      <c r="BRA12" s="0"/>
      <c r="BRB12" s="0"/>
      <c r="BRC12" s="0"/>
      <c r="BRD12" s="0"/>
      <c r="BRE12" s="0"/>
      <c r="BRF12" s="0"/>
      <c r="BRG12" s="0"/>
      <c r="BRH12" s="0"/>
      <c r="BRI12" s="0"/>
      <c r="BRJ12" s="0"/>
      <c r="BRK12" s="0"/>
      <c r="BRL12" s="0"/>
      <c r="BRM12" s="0"/>
      <c r="BRN12" s="0"/>
      <c r="BRO12" s="0"/>
      <c r="BRP12" s="0"/>
      <c r="BRQ12" s="0"/>
      <c r="BRR12" s="0"/>
      <c r="BRS12" s="0"/>
      <c r="BRT12" s="0"/>
      <c r="BRU12" s="0"/>
      <c r="BRV12" s="0"/>
      <c r="BRW12" s="0"/>
      <c r="BRX12" s="0"/>
      <c r="BRY12" s="0"/>
      <c r="BRZ12" s="0"/>
      <c r="BSA12" s="0"/>
      <c r="BSB12" s="0"/>
      <c r="BSC12" s="0"/>
      <c r="BSD12" s="0"/>
      <c r="BSE12" s="0"/>
      <c r="BSF12" s="0"/>
      <c r="BSG12" s="0"/>
      <c r="BSH12" s="0"/>
      <c r="BSI12" s="0"/>
      <c r="BSJ12" s="0"/>
      <c r="BSK12" s="0"/>
      <c r="BSL12" s="0"/>
      <c r="BSM12" s="0"/>
      <c r="BSN12" s="0"/>
      <c r="BSO12" s="0"/>
      <c r="BSP12" s="0"/>
      <c r="BSQ12" s="0"/>
      <c r="BSR12" s="0"/>
      <c r="BSS12" s="0"/>
      <c r="BST12" s="0"/>
      <c r="BSU12" s="0"/>
      <c r="BSV12" s="0"/>
      <c r="BSW12" s="0"/>
      <c r="BSX12" s="0"/>
      <c r="BSY12" s="0"/>
      <c r="BSZ12" s="0"/>
      <c r="BTA12" s="0"/>
      <c r="BTB12" s="0"/>
      <c r="BTC12" s="0"/>
      <c r="BTD12" s="0"/>
      <c r="BTE12" s="0"/>
      <c r="BTF12" s="0"/>
      <c r="BTG12" s="0"/>
      <c r="BTH12" s="0"/>
      <c r="BTI12" s="0"/>
      <c r="BTJ12" s="0"/>
      <c r="BTK12" s="0"/>
      <c r="BTL12" s="0"/>
      <c r="BTM12" s="0"/>
      <c r="BTN12" s="0"/>
      <c r="BTO12" s="0"/>
      <c r="BTP12" s="0"/>
      <c r="BTQ12" s="0"/>
      <c r="BTR12" s="0"/>
      <c r="BTS12" s="0"/>
      <c r="BTT12" s="0"/>
      <c r="BTU12" s="0"/>
      <c r="BTV12" s="0"/>
      <c r="BTW12" s="0"/>
      <c r="BTX12" s="0"/>
      <c r="BTY12" s="0"/>
      <c r="BTZ12" s="0"/>
      <c r="BUA12" s="0"/>
      <c r="BUB12" s="0"/>
      <c r="BUC12" s="0"/>
      <c r="BUD12" s="0"/>
      <c r="BUE12" s="0"/>
      <c r="BUF12" s="0"/>
      <c r="BUG12" s="0"/>
      <c r="BUH12" s="0"/>
      <c r="BUI12" s="0"/>
      <c r="BUJ12" s="0"/>
      <c r="BUK12" s="0"/>
      <c r="BUL12" s="0"/>
      <c r="BUM12" s="0"/>
      <c r="BUN12" s="0"/>
      <c r="BUO12" s="0"/>
      <c r="BUP12" s="0"/>
      <c r="BUQ12" s="0"/>
      <c r="BUR12" s="0"/>
      <c r="BUS12" s="0"/>
      <c r="BUT12" s="0"/>
      <c r="BUU12" s="0"/>
      <c r="BUV12" s="0"/>
      <c r="BUW12" s="0"/>
      <c r="BUX12" s="0"/>
      <c r="BUY12" s="0"/>
      <c r="BUZ12" s="0"/>
      <c r="BVA12" s="0"/>
      <c r="BVB12" s="0"/>
      <c r="BVC12" s="0"/>
      <c r="BVD12" s="0"/>
      <c r="BVE12" s="0"/>
      <c r="BVF12" s="0"/>
      <c r="BVG12" s="0"/>
      <c r="BVH12" s="0"/>
      <c r="BVI12" s="0"/>
      <c r="BVJ12" s="0"/>
      <c r="BVK12" s="0"/>
      <c r="BVL12" s="0"/>
      <c r="BVM12" s="0"/>
      <c r="BVN12" s="0"/>
      <c r="BVO12" s="0"/>
      <c r="BVP12" s="0"/>
      <c r="BVQ12" s="0"/>
      <c r="BVR12" s="0"/>
      <c r="BVS12" s="0"/>
      <c r="BVT12" s="0"/>
      <c r="BVU12" s="0"/>
      <c r="BVV12" s="0"/>
      <c r="BVW12" s="0"/>
      <c r="BVX12" s="0"/>
      <c r="BVY12" s="0"/>
      <c r="BVZ12" s="0"/>
      <c r="BWA12" s="0"/>
      <c r="BWB12" s="0"/>
      <c r="BWC12" s="0"/>
      <c r="BWD12" s="0"/>
      <c r="BWE12" s="0"/>
      <c r="BWF12" s="0"/>
      <c r="BWG12" s="0"/>
      <c r="BWH12" s="0"/>
      <c r="BWI12" s="0"/>
      <c r="BWJ12" s="0"/>
      <c r="BWK12" s="0"/>
      <c r="BWL12" s="0"/>
      <c r="BWM12" s="0"/>
      <c r="BWN12" s="0"/>
      <c r="BWO12" s="0"/>
      <c r="BWP12" s="0"/>
      <c r="BWQ12" s="0"/>
      <c r="BWR12" s="0"/>
      <c r="BWS12" s="0"/>
      <c r="BWT12" s="0"/>
      <c r="BWU12" s="0"/>
      <c r="BWV12" s="0"/>
      <c r="BWW12" s="0"/>
      <c r="BWX12" s="0"/>
      <c r="BWY12" s="0"/>
      <c r="BWZ12" s="0"/>
      <c r="BXA12" s="0"/>
      <c r="BXB12" s="0"/>
      <c r="BXC12" s="0"/>
      <c r="BXD12" s="0"/>
      <c r="BXE12" s="0"/>
      <c r="BXF12" s="0"/>
      <c r="BXG12" s="0"/>
      <c r="BXH12" s="0"/>
      <c r="BXI12" s="0"/>
      <c r="BXJ12" s="0"/>
      <c r="BXK12" s="0"/>
      <c r="BXL12" s="0"/>
      <c r="BXM12" s="0"/>
      <c r="BXN12" s="0"/>
      <c r="BXO12" s="0"/>
      <c r="BXP12" s="0"/>
      <c r="BXQ12" s="0"/>
      <c r="BXR12" s="0"/>
      <c r="BXS12" s="0"/>
      <c r="BXT12" s="0"/>
      <c r="BXU12" s="0"/>
      <c r="BXV12" s="0"/>
      <c r="BXW12" s="0"/>
      <c r="BXX12" s="0"/>
      <c r="BXY12" s="0"/>
      <c r="BXZ12" s="0"/>
      <c r="BYA12" s="0"/>
      <c r="BYB12" s="0"/>
      <c r="BYC12" s="0"/>
      <c r="BYD12" s="0"/>
      <c r="BYE12" s="0"/>
      <c r="BYF12" s="0"/>
      <c r="BYG12" s="0"/>
      <c r="BYH12" s="0"/>
      <c r="BYI12" s="0"/>
      <c r="BYJ12" s="0"/>
      <c r="BYK12" s="0"/>
      <c r="BYL12" s="0"/>
      <c r="BYM12" s="0"/>
      <c r="BYN12" s="0"/>
      <c r="BYO12" s="0"/>
      <c r="BYP12" s="0"/>
      <c r="BYQ12" s="0"/>
      <c r="BYR12" s="0"/>
      <c r="BYS12" s="0"/>
      <c r="BYT12" s="0"/>
      <c r="BYU12" s="0"/>
      <c r="BYV12" s="0"/>
      <c r="BYW12" s="0"/>
      <c r="BYX12" s="0"/>
      <c r="BYY12" s="0"/>
      <c r="BYZ12" s="0"/>
      <c r="BZA12" s="0"/>
      <c r="BZB12" s="0"/>
      <c r="BZC12" s="0"/>
      <c r="BZD12" s="0"/>
      <c r="BZE12" s="0"/>
      <c r="BZF12" s="0"/>
      <c r="BZG12" s="0"/>
      <c r="BZH12" s="0"/>
      <c r="BZI12" s="0"/>
      <c r="BZJ12" s="0"/>
      <c r="BZK12" s="0"/>
      <c r="BZL12" s="0"/>
      <c r="BZM12" s="0"/>
      <c r="BZN12" s="0"/>
      <c r="BZO12" s="0"/>
      <c r="BZP12" s="0"/>
      <c r="BZQ12" s="0"/>
      <c r="BZR12" s="0"/>
      <c r="BZS12" s="0"/>
      <c r="BZT12" s="0"/>
      <c r="BZU12" s="0"/>
      <c r="BZV12" s="0"/>
      <c r="BZW12" s="0"/>
      <c r="BZX12" s="0"/>
      <c r="BZY12" s="0"/>
      <c r="BZZ12" s="0"/>
      <c r="CAA12" s="0"/>
      <c r="CAB12" s="0"/>
      <c r="CAC12" s="0"/>
      <c r="CAD12" s="0"/>
      <c r="CAE12" s="0"/>
      <c r="CAF12" s="0"/>
      <c r="CAG12" s="0"/>
      <c r="CAH12" s="0"/>
      <c r="CAI12" s="0"/>
      <c r="CAJ12" s="0"/>
      <c r="CAK12" s="0"/>
      <c r="CAL12" s="0"/>
      <c r="CAM12" s="0"/>
      <c r="CAN12" s="0"/>
      <c r="CAO12" s="0"/>
      <c r="CAP12" s="0"/>
      <c r="CAQ12" s="0"/>
      <c r="CAR12" s="0"/>
      <c r="CAS12" s="0"/>
      <c r="CAT12" s="0"/>
      <c r="CAU12" s="0"/>
      <c r="CAV12" s="0"/>
      <c r="CAW12" s="0"/>
      <c r="CAX12" s="0"/>
      <c r="CAY12" s="0"/>
      <c r="CAZ12" s="0"/>
      <c r="CBA12" s="0"/>
      <c r="CBB12" s="0"/>
      <c r="CBC12" s="0"/>
      <c r="CBD12" s="0"/>
      <c r="CBE12" s="0"/>
      <c r="CBF12" s="0"/>
      <c r="CBG12" s="0"/>
      <c r="CBH12" s="0"/>
      <c r="CBI12" s="0"/>
      <c r="CBJ12" s="0"/>
      <c r="CBK12" s="0"/>
      <c r="CBL12" s="0"/>
      <c r="CBM12" s="0"/>
      <c r="CBN12" s="0"/>
      <c r="CBO12" s="0"/>
      <c r="CBP12" s="0"/>
      <c r="CBQ12" s="0"/>
      <c r="CBR12" s="0"/>
      <c r="CBS12" s="0"/>
      <c r="CBT12" s="0"/>
      <c r="CBU12" s="0"/>
      <c r="CBV12" s="0"/>
      <c r="CBW12" s="0"/>
      <c r="CBX12" s="0"/>
      <c r="CBY12" s="0"/>
      <c r="CBZ12" s="0"/>
      <c r="CCA12" s="0"/>
      <c r="CCB12" s="0"/>
      <c r="CCC12" s="0"/>
      <c r="CCD12" s="0"/>
      <c r="CCE12" s="0"/>
      <c r="CCF12" s="0"/>
      <c r="CCG12" s="0"/>
      <c r="CCH12" s="0"/>
      <c r="CCI12" s="0"/>
      <c r="CCJ12" s="0"/>
      <c r="CCK12" s="0"/>
      <c r="CCL12" s="0"/>
      <c r="CCM12" s="0"/>
      <c r="CCN12" s="0"/>
      <c r="CCO12" s="0"/>
      <c r="CCP12" s="0"/>
      <c r="CCQ12" s="0"/>
      <c r="CCR12" s="0"/>
      <c r="CCS12" s="0"/>
      <c r="CCT12" s="0"/>
      <c r="CCU12" s="0"/>
      <c r="CCV12" s="0"/>
      <c r="CCW12" s="0"/>
      <c r="CCX12" s="0"/>
      <c r="CCY12" s="0"/>
      <c r="CCZ12" s="0"/>
      <c r="CDA12" s="0"/>
      <c r="CDB12" s="0"/>
      <c r="CDC12" s="0"/>
      <c r="CDD12" s="0"/>
      <c r="CDE12" s="0"/>
      <c r="CDF12" s="0"/>
      <c r="CDG12" s="0"/>
      <c r="CDH12" s="0"/>
      <c r="CDI12" s="0"/>
      <c r="CDJ12" s="0"/>
      <c r="CDK12" s="0"/>
      <c r="CDL12" s="0"/>
      <c r="CDM12" s="0"/>
      <c r="CDN12" s="0"/>
      <c r="CDO12" s="0"/>
      <c r="CDP12" s="0"/>
      <c r="CDQ12" s="0"/>
      <c r="CDR12" s="0"/>
      <c r="CDS12" s="0"/>
      <c r="CDT12" s="0"/>
      <c r="CDU12" s="0"/>
      <c r="CDV12" s="0"/>
      <c r="CDW12" s="0"/>
      <c r="CDX12" s="0"/>
      <c r="CDY12" s="0"/>
      <c r="CDZ12" s="0"/>
      <c r="CEA12" s="0"/>
      <c r="CEB12" s="0"/>
      <c r="CEC12" s="0"/>
      <c r="CED12" s="0"/>
      <c r="CEE12" s="0"/>
      <c r="CEF12" s="0"/>
      <c r="CEG12" s="0"/>
      <c r="CEH12" s="0"/>
      <c r="CEI12" s="0"/>
      <c r="CEJ12" s="0"/>
      <c r="CEK12" s="0"/>
      <c r="CEL12" s="0"/>
      <c r="CEM12" s="0"/>
      <c r="CEN12" s="0"/>
      <c r="CEO12" s="0"/>
      <c r="CEP12" s="0"/>
      <c r="CEQ12" s="0"/>
      <c r="CER12" s="0"/>
      <c r="CES12" s="0"/>
      <c r="CET12" s="0"/>
      <c r="CEU12" s="0"/>
      <c r="CEV12" s="0"/>
      <c r="CEW12" s="0"/>
      <c r="CEX12" s="0"/>
      <c r="CEY12" s="0"/>
      <c r="CEZ12" s="0"/>
      <c r="CFA12" s="0"/>
      <c r="CFB12" s="0"/>
      <c r="CFC12" s="0"/>
      <c r="CFD12" s="0"/>
      <c r="CFE12" s="0"/>
      <c r="CFF12" s="0"/>
      <c r="CFG12" s="0"/>
      <c r="CFH12" s="0"/>
      <c r="CFI12" s="0"/>
      <c r="CFJ12" s="0"/>
      <c r="CFK12" s="0"/>
      <c r="CFL12" s="0"/>
      <c r="CFM12" s="0"/>
      <c r="CFN12" s="0"/>
      <c r="CFO12" s="0"/>
      <c r="CFP12" s="0"/>
      <c r="CFQ12" s="0"/>
      <c r="CFR12" s="0"/>
      <c r="CFS12" s="0"/>
      <c r="CFT12" s="0"/>
      <c r="CFU12" s="0"/>
      <c r="CFV12" s="0"/>
      <c r="CFW12" s="0"/>
      <c r="CFX12" s="0"/>
      <c r="CFY12" s="0"/>
      <c r="CFZ12" s="0"/>
      <c r="CGA12" s="0"/>
      <c r="CGB12" s="0"/>
      <c r="CGC12" s="0"/>
      <c r="CGD12" s="0"/>
      <c r="CGE12" s="0"/>
      <c r="CGF12" s="0"/>
      <c r="CGG12" s="0"/>
      <c r="CGH12" s="0"/>
      <c r="CGI12" s="0"/>
      <c r="CGJ12" s="0"/>
      <c r="CGK12" s="0"/>
      <c r="CGL12" s="0"/>
      <c r="CGM12" s="0"/>
      <c r="CGN12" s="0"/>
      <c r="CGO12" s="0"/>
      <c r="CGP12" s="0"/>
      <c r="CGQ12" s="0"/>
      <c r="CGR12" s="0"/>
      <c r="CGS12" s="0"/>
      <c r="CGT12" s="0"/>
      <c r="CGU12" s="0"/>
      <c r="CGV12" s="0"/>
      <c r="CGW12" s="0"/>
      <c r="CGX12" s="0"/>
      <c r="CGY12" s="0"/>
      <c r="CGZ12" s="0"/>
      <c r="CHA12" s="0"/>
      <c r="CHB12" s="0"/>
      <c r="CHC12" s="0"/>
      <c r="CHD12" s="0"/>
      <c r="CHE12" s="0"/>
      <c r="CHF12" s="0"/>
      <c r="CHG12" s="0"/>
      <c r="CHH12" s="0"/>
      <c r="CHI12" s="0"/>
      <c r="CHJ12" s="0"/>
      <c r="CHK12" s="0"/>
      <c r="CHL12" s="0"/>
      <c r="CHM12" s="0"/>
      <c r="CHN12" s="0"/>
      <c r="CHO12" s="0"/>
      <c r="CHP12" s="0"/>
      <c r="CHQ12" s="0"/>
      <c r="CHR12" s="0"/>
      <c r="CHS12" s="0"/>
      <c r="CHT12" s="0"/>
      <c r="CHU12" s="0"/>
      <c r="CHV12" s="0"/>
      <c r="CHW12" s="0"/>
      <c r="CHX12" s="0"/>
      <c r="CHY12" s="0"/>
      <c r="CHZ12" s="0"/>
      <c r="CIA12" s="0"/>
      <c r="CIB12" s="0"/>
      <c r="CIC12" s="0"/>
      <c r="CID12" s="0"/>
      <c r="CIE12" s="0"/>
      <c r="CIF12" s="0"/>
      <c r="CIG12" s="0"/>
      <c r="CIH12" s="0"/>
      <c r="CII12" s="0"/>
      <c r="CIJ12" s="0"/>
      <c r="CIK12" s="0"/>
      <c r="CIL12" s="0"/>
      <c r="CIM12" s="0"/>
      <c r="CIN12" s="0"/>
      <c r="CIO12" s="0"/>
      <c r="CIP12" s="0"/>
      <c r="CIQ12" s="0"/>
      <c r="CIR12" s="0"/>
      <c r="CIS12" s="0"/>
      <c r="CIT12" s="0"/>
      <c r="CIU12" s="0"/>
      <c r="CIV12" s="0"/>
      <c r="CIW12" s="0"/>
      <c r="CIX12" s="0"/>
      <c r="CIY12" s="0"/>
      <c r="CIZ12" s="0"/>
      <c r="CJA12" s="0"/>
      <c r="CJB12" s="0"/>
      <c r="CJC12" s="0"/>
      <c r="CJD12" s="0"/>
      <c r="CJE12" s="0"/>
      <c r="CJF12" s="0"/>
      <c r="CJG12" s="0"/>
      <c r="CJH12" s="0"/>
      <c r="CJI12" s="0"/>
      <c r="CJJ12" s="0"/>
      <c r="CJK12" s="0"/>
      <c r="CJL12" s="0"/>
      <c r="CJM12" s="0"/>
      <c r="CJN12" s="0"/>
      <c r="CJO12" s="0"/>
      <c r="CJP12" s="0"/>
      <c r="CJQ12" s="0"/>
      <c r="CJR12" s="0"/>
      <c r="CJS12" s="0"/>
      <c r="CJT12" s="0"/>
      <c r="CJU12" s="0"/>
      <c r="CJV12" s="0"/>
      <c r="CJW12" s="0"/>
      <c r="CJX12" s="0"/>
      <c r="CJY12" s="0"/>
      <c r="CJZ12" s="0"/>
      <c r="CKA12" s="0"/>
      <c r="CKB12" s="0"/>
      <c r="CKC12" s="0"/>
      <c r="CKD12" s="0"/>
      <c r="CKE12" s="0"/>
      <c r="CKF12" s="0"/>
      <c r="CKG12" s="0"/>
      <c r="CKH12" s="0"/>
      <c r="CKI12" s="0"/>
      <c r="CKJ12" s="0"/>
      <c r="CKK12" s="0"/>
      <c r="CKL12" s="0"/>
      <c r="CKM12" s="0"/>
      <c r="CKN12" s="0"/>
      <c r="CKO12" s="0"/>
      <c r="CKP12" s="0"/>
      <c r="CKQ12" s="0"/>
      <c r="CKR12" s="0"/>
      <c r="CKS12" s="0"/>
      <c r="CKT12" s="0"/>
      <c r="CKU12" s="0"/>
      <c r="CKV12" s="0"/>
      <c r="CKW12" s="0"/>
      <c r="CKX12" s="0"/>
      <c r="CKY12" s="0"/>
      <c r="CKZ12" s="0"/>
      <c r="CLA12" s="0"/>
      <c r="CLB12" s="0"/>
      <c r="CLC12" s="0"/>
      <c r="CLD12" s="0"/>
      <c r="CLE12" s="0"/>
      <c r="CLF12" s="0"/>
      <c r="CLG12" s="0"/>
      <c r="CLH12" s="0"/>
      <c r="CLI12" s="0"/>
      <c r="CLJ12" s="0"/>
      <c r="CLK12" s="0"/>
      <c r="CLL12" s="0"/>
      <c r="CLM12" s="0"/>
      <c r="CLN12" s="0"/>
      <c r="CLO12" s="0"/>
      <c r="CLP12" s="0"/>
      <c r="CLQ12" s="0"/>
      <c r="CLR12" s="0"/>
      <c r="CLS12" s="0"/>
      <c r="CLT12" s="0"/>
      <c r="CLU12" s="0"/>
      <c r="CLV12" s="0"/>
      <c r="CLW12" s="0"/>
      <c r="CLX12" s="0"/>
      <c r="CLY12" s="0"/>
      <c r="CLZ12" s="0"/>
      <c r="CMA12" s="0"/>
      <c r="CMB12" s="0"/>
      <c r="CMC12" s="0"/>
      <c r="CMD12" s="0"/>
      <c r="CME12" s="0"/>
      <c r="CMF12" s="0"/>
      <c r="CMG12" s="0"/>
      <c r="CMH12" s="0"/>
      <c r="CMI12" s="0"/>
      <c r="CMJ12" s="0"/>
      <c r="CMK12" s="0"/>
      <c r="CML12" s="0"/>
      <c r="CMM12" s="0"/>
      <c r="CMN12" s="0"/>
      <c r="CMO12" s="0"/>
      <c r="CMP12" s="0"/>
      <c r="CMQ12" s="0"/>
      <c r="CMR12" s="0"/>
      <c r="CMS12" s="0"/>
      <c r="CMT12" s="0"/>
      <c r="CMU12" s="0"/>
      <c r="CMV12" s="0"/>
      <c r="CMW12" s="0"/>
      <c r="CMX12" s="0"/>
      <c r="CMY12" s="0"/>
      <c r="CMZ12" s="0"/>
      <c r="CNA12" s="0"/>
      <c r="CNB12" s="0"/>
      <c r="CNC12" s="0"/>
      <c r="CND12" s="0"/>
      <c r="CNE12" s="0"/>
      <c r="CNF12" s="0"/>
      <c r="CNG12" s="0"/>
      <c r="CNH12" s="0"/>
      <c r="CNI12" s="0"/>
      <c r="CNJ12" s="0"/>
      <c r="CNK12" s="0"/>
      <c r="CNL12" s="0"/>
      <c r="CNM12" s="0"/>
      <c r="CNN12" s="0"/>
      <c r="CNO12" s="0"/>
      <c r="CNP12" s="0"/>
      <c r="CNQ12" s="0"/>
      <c r="CNR12" s="0"/>
      <c r="CNS12" s="0"/>
      <c r="CNT12" s="0"/>
      <c r="CNU12" s="0"/>
      <c r="CNV12" s="0"/>
      <c r="CNW12" s="0"/>
      <c r="CNX12" s="0"/>
      <c r="CNY12" s="0"/>
      <c r="CNZ12" s="0"/>
      <c r="COA12" s="0"/>
      <c r="COB12" s="0"/>
      <c r="COC12" s="0"/>
      <c r="COD12" s="0"/>
      <c r="COE12" s="0"/>
      <c r="COF12" s="0"/>
      <c r="COG12" s="0"/>
      <c r="COH12" s="0"/>
      <c r="COI12" s="0"/>
      <c r="COJ12" s="0"/>
      <c r="COK12" s="0"/>
      <c r="COL12" s="0"/>
      <c r="COM12" s="0"/>
      <c r="CON12" s="0"/>
      <c r="COO12" s="0"/>
      <c r="COP12" s="0"/>
      <c r="COQ12" s="0"/>
      <c r="COR12" s="0"/>
      <c r="COS12" s="0"/>
      <c r="COT12" s="0"/>
      <c r="COU12" s="0"/>
      <c r="COV12" s="0"/>
      <c r="COW12" s="0"/>
      <c r="COX12" s="0"/>
      <c r="COY12" s="0"/>
      <c r="COZ12" s="0"/>
      <c r="CPA12" s="0"/>
      <c r="CPB12" s="0"/>
      <c r="CPC12" s="0"/>
      <c r="CPD12" s="0"/>
      <c r="CPE12" s="0"/>
      <c r="CPF12" s="0"/>
      <c r="CPG12" s="0"/>
      <c r="CPH12" s="0"/>
      <c r="CPI12" s="0"/>
      <c r="CPJ12" s="0"/>
      <c r="CPK12" s="0"/>
      <c r="CPL12" s="0"/>
      <c r="CPM12" s="0"/>
      <c r="CPN12" s="0"/>
      <c r="CPO12" s="0"/>
      <c r="CPP12" s="0"/>
      <c r="CPQ12" s="0"/>
      <c r="CPR12" s="0"/>
      <c r="CPS12" s="0"/>
      <c r="CPT12" s="0"/>
      <c r="CPU12" s="0"/>
      <c r="CPV12" s="0"/>
      <c r="CPW12" s="0"/>
      <c r="CPX12" s="0"/>
      <c r="CPY12" s="0"/>
      <c r="CPZ12" s="0"/>
      <c r="CQA12" s="0"/>
      <c r="CQB12" s="0"/>
      <c r="CQC12" s="0"/>
      <c r="CQD12" s="0"/>
      <c r="CQE12" s="0"/>
      <c r="CQF12" s="0"/>
      <c r="CQG12" s="0"/>
      <c r="CQH12" s="0"/>
      <c r="CQI12" s="0"/>
      <c r="CQJ12" s="0"/>
      <c r="CQK12" s="0"/>
      <c r="CQL12" s="0"/>
      <c r="CQM12" s="0"/>
      <c r="CQN12" s="0"/>
      <c r="CQO12" s="0"/>
      <c r="CQP12" s="0"/>
      <c r="CQQ12" s="0"/>
      <c r="CQR12" s="0"/>
      <c r="CQS12" s="0"/>
      <c r="CQT12" s="0"/>
      <c r="CQU12" s="0"/>
      <c r="CQV12" s="0"/>
      <c r="CQW12" s="0"/>
      <c r="CQX12" s="0"/>
      <c r="CQY12" s="0"/>
      <c r="CQZ12" s="0"/>
      <c r="CRA12" s="0"/>
      <c r="CRB12" s="0"/>
      <c r="CRC12" s="0"/>
      <c r="CRD12" s="0"/>
      <c r="CRE12" s="0"/>
      <c r="CRF12" s="0"/>
      <c r="CRG12" s="0"/>
      <c r="CRH12" s="0"/>
      <c r="CRI12" s="0"/>
      <c r="CRJ12" s="0"/>
      <c r="CRK12" s="0"/>
      <c r="CRL12" s="0"/>
      <c r="CRM12" s="0"/>
      <c r="CRN12" s="0"/>
      <c r="CRO12" s="0"/>
      <c r="CRP12" s="0"/>
      <c r="CRQ12" s="0"/>
      <c r="CRR12" s="0"/>
      <c r="CRS12" s="0"/>
      <c r="CRT12" s="0"/>
      <c r="CRU12" s="0"/>
      <c r="CRV12" s="0"/>
      <c r="CRW12" s="0"/>
      <c r="CRX12" s="0"/>
      <c r="CRY12" s="0"/>
      <c r="CRZ12" s="0"/>
      <c r="CSA12" s="0"/>
      <c r="CSB12" s="0"/>
      <c r="CSC12" s="0"/>
      <c r="CSD12" s="0"/>
      <c r="CSE12" s="0"/>
      <c r="CSF12" s="0"/>
      <c r="CSG12" s="0"/>
      <c r="CSH12" s="0"/>
      <c r="CSI12" s="0"/>
      <c r="CSJ12" s="0"/>
      <c r="CSK12" s="0"/>
      <c r="CSL12" s="0"/>
      <c r="CSM12" s="0"/>
      <c r="CSN12" s="0"/>
      <c r="CSO12" s="0"/>
      <c r="CSP12" s="0"/>
      <c r="CSQ12" s="0"/>
      <c r="CSR12" s="0"/>
      <c r="CSS12" s="0"/>
      <c r="CST12" s="0"/>
      <c r="CSU12" s="0"/>
      <c r="CSV12" s="0"/>
      <c r="CSW12" s="0"/>
      <c r="CSX12" s="0"/>
      <c r="CSY12" s="0"/>
      <c r="CSZ12" s="0"/>
      <c r="CTA12" s="0"/>
      <c r="CTB12" s="0"/>
      <c r="CTC12" s="0"/>
      <c r="CTD12" s="0"/>
      <c r="CTE12" s="0"/>
      <c r="CTF12" s="0"/>
      <c r="CTG12" s="0"/>
      <c r="CTH12" s="0"/>
      <c r="CTI12" s="0"/>
      <c r="CTJ12" s="0"/>
      <c r="CTK12" s="0"/>
      <c r="CTL12" s="0"/>
      <c r="CTM12" s="0"/>
      <c r="CTN12" s="0"/>
      <c r="CTO12" s="0"/>
      <c r="CTP12" s="0"/>
      <c r="CTQ12" s="0"/>
      <c r="CTR12" s="0"/>
      <c r="CTS12" s="0"/>
      <c r="CTT12" s="0"/>
      <c r="CTU12" s="0"/>
      <c r="CTV12" s="0"/>
      <c r="CTW12" s="0"/>
      <c r="CTX12" s="0"/>
      <c r="CTY12" s="0"/>
      <c r="CTZ12" s="0"/>
      <c r="CUA12" s="0"/>
      <c r="CUB12" s="0"/>
      <c r="CUC12" s="0"/>
      <c r="CUD12" s="0"/>
      <c r="CUE12" s="0"/>
      <c r="CUF12" s="0"/>
      <c r="CUG12" s="0"/>
      <c r="CUH12" s="0"/>
      <c r="CUI12" s="0"/>
      <c r="CUJ12" s="0"/>
      <c r="CUK12" s="0"/>
      <c r="CUL12" s="0"/>
      <c r="CUM12" s="0"/>
      <c r="CUN12" s="0"/>
      <c r="CUO12" s="0"/>
      <c r="CUP12" s="0"/>
      <c r="CUQ12" s="0"/>
      <c r="CUR12" s="0"/>
      <c r="CUS12" s="0"/>
      <c r="CUT12" s="0"/>
      <c r="CUU12" s="0"/>
      <c r="CUV12" s="0"/>
      <c r="CUW12" s="0"/>
      <c r="CUX12" s="0"/>
      <c r="CUY12" s="0"/>
      <c r="CUZ12" s="0"/>
      <c r="CVA12" s="0"/>
      <c r="CVB12" s="0"/>
      <c r="CVC12" s="0"/>
      <c r="CVD12" s="0"/>
      <c r="CVE12" s="0"/>
      <c r="CVF12" s="0"/>
      <c r="CVG12" s="0"/>
      <c r="CVH12" s="0"/>
      <c r="CVI12" s="0"/>
      <c r="CVJ12" s="0"/>
      <c r="CVK12" s="0"/>
      <c r="CVL12" s="0"/>
      <c r="CVM12" s="0"/>
      <c r="CVN12" s="0"/>
      <c r="CVO12" s="0"/>
      <c r="CVP12" s="0"/>
      <c r="CVQ12" s="0"/>
      <c r="CVR12" s="0"/>
      <c r="CVS12" s="0"/>
      <c r="CVT12" s="0"/>
      <c r="CVU12" s="0"/>
      <c r="CVV12" s="0"/>
      <c r="CVW12" s="0"/>
      <c r="CVX12" s="0"/>
      <c r="CVY12" s="0"/>
      <c r="CVZ12" s="0"/>
      <c r="CWA12" s="0"/>
      <c r="CWB12" s="0"/>
      <c r="CWC12" s="0"/>
      <c r="CWD12" s="0"/>
      <c r="CWE12" s="0"/>
      <c r="CWF12" s="0"/>
      <c r="CWG12" s="0"/>
      <c r="CWH12" s="0"/>
      <c r="CWI12" s="0"/>
      <c r="CWJ12" s="0"/>
      <c r="CWK12" s="0"/>
      <c r="CWL12" s="0"/>
      <c r="CWM12" s="0"/>
      <c r="CWN12" s="0"/>
      <c r="CWO12" s="0"/>
      <c r="CWP12" s="0"/>
      <c r="CWQ12" s="0"/>
      <c r="CWR12" s="0"/>
      <c r="CWS12" s="0"/>
      <c r="CWT12" s="0"/>
      <c r="CWU12" s="0"/>
      <c r="CWV12" s="0"/>
      <c r="CWW12" s="0"/>
      <c r="CWX12" s="0"/>
      <c r="CWY12" s="0"/>
      <c r="CWZ12" s="0"/>
      <c r="CXA12" s="0"/>
      <c r="CXB12" s="0"/>
      <c r="CXC12" s="0"/>
      <c r="CXD12" s="0"/>
      <c r="CXE12" s="0"/>
      <c r="CXF12" s="0"/>
      <c r="CXG12" s="0"/>
      <c r="CXH12" s="0"/>
      <c r="CXI12" s="0"/>
      <c r="CXJ12" s="0"/>
      <c r="CXK12" s="0"/>
      <c r="CXL12" s="0"/>
      <c r="CXM12" s="0"/>
      <c r="CXN12" s="0"/>
      <c r="CXO12" s="0"/>
      <c r="CXP12" s="0"/>
      <c r="CXQ12" s="0"/>
      <c r="CXR12" s="0"/>
      <c r="CXS12" s="0"/>
      <c r="CXT12" s="0"/>
      <c r="CXU12" s="0"/>
      <c r="CXV12" s="0"/>
      <c r="CXW12" s="0"/>
      <c r="CXX12" s="0"/>
      <c r="CXY12" s="0"/>
      <c r="CXZ12" s="0"/>
      <c r="CYA12" s="0"/>
      <c r="CYB12" s="0"/>
      <c r="CYC12" s="0"/>
      <c r="CYD12" s="0"/>
      <c r="CYE12" s="0"/>
      <c r="CYF12" s="0"/>
      <c r="CYG12" s="0"/>
      <c r="CYH12" s="0"/>
      <c r="CYI12" s="0"/>
      <c r="CYJ12" s="0"/>
      <c r="CYK12" s="0"/>
      <c r="CYL12" s="0"/>
      <c r="CYM12" s="0"/>
      <c r="CYN12" s="0"/>
      <c r="CYO12" s="0"/>
      <c r="CYP12" s="0"/>
      <c r="CYQ12" s="0"/>
      <c r="CYR12" s="0"/>
      <c r="CYS12" s="0"/>
      <c r="CYT12" s="0"/>
      <c r="CYU12" s="0"/>
      <c r="CYV12" s="0"/>
      <c r="CYW12" s="0"/>
      <c r="CYX12" s="0"/>
      <c r="CYY12" s="0"/>
      <c r="CYZ12" s="0"/>
      <c r="CZA12" s="0"/>
      <c r="CZB12" s="0"/>
      <c r="CZC12" s="0"/>
      <c r="CZD12" s="0"/>
      <c r="CZE12" s="0"/>
      <c r="CZF12" s="0"/>
      <c r="CZG12" s="0"/>
      <c r="CZH12" s="0"/>
      <c r="CZI12" s="0"/>
      <c r="CZJ12" s="0"/>
      <c r="CZK12" s="0"/>
      <c r="CZL12" s="0"/>
      <c r="CZM12" s="0"/>
      <c r="CZN12" s="0"/>
      <c r="CZO12" s="0"/>
      <c r="CZP12" s="0"/>
      <c r="CZQ12" s="0"/>
      <c r="CZR12" s="0"/>
      <c r="CZS12" s="0"/>
      <c r="CZT12" s="0"/>
      <c r="CZU12" s="0"/>
      <c r="CZV12" s="0"/>
      <c r="CZW12" s="0"/>
      <c r="CZX12" s="0"/>
      <c r="CZY12" s="0"/>
      <c r="CZZ12" s="0"/>
      <c r="DAA12" s="0"/>
      <c r="DAB12" s="0"/>
      <c r="DAC12" s="0"/>
      <c r="DAD12" s="0"/>
      <c r="DAE12" s="0"/>
      <c r="DAF12" s="0"/>
      <c r="DAG12" s="0"/>
      <c r="DAH12" s="0"/>
      <c r="DAI12" s="0"/>
      <c r="DAJ12" s="0"/>
      <c r="DAK12" s="0"/>
      <c r="DAL12" s="0"/>
      <c r="DAM12" s="0"/>
      <c r="DAN12" s="0"/>
      <c r="DAO12" s="0"/>
      <c r="DAP12" s="0"/>
      <c r="DAQ12" s="0"/>
      <c r="DAR12" s="0"/>
      <c r="DAS12" s="0"/>
      <c r="DAT12" s="0"/>
      <c r="DAU12" s="0"/>
      <c r="DAV12" s="0"/>
      <c r="DAW12" s="0"/>
      <c r="DAX12" s="0"/>
      <c r="DAY12" s="0"/>
      <c r="DAZ12" s="0"/>
      <c r="DBA12" s="0"/>
      <c r="DBB12" s="0"/>
      <c r="DBC12" s="0"/>
      <c r="DBD12" s="0"/>
      <c r="DBE12" s="0"/>
      <c r="DBF12" s="0"/>
      <c r="DBG12" s="0"/>
      <c r="DBH12" s="0"/>
      <c r="DBI12" s="0"/>
      <c r="DBJ12" s="0"/>
      <c r="DBK12" s="0"/>
      <c r="DBL12" s="0"/>
      <c r="DBM12" s="0"/>
      <c r="DBN12" s="0"/>
      <c r="DBO12" s="0"/>
      <c r="DBP12" s="0"/>
      <c r="DBQ12" s="0"/>
      <c r="DBR12" s="0"/>
      <c r="DBS12" s="0"/>
      <c r="DBT12" s="0"/>
      <c r="DBU12" s="0"/>
      <c r="DBV12" s="0"/>
      <c r="DBW12" s="0"/>
      <c r="DBX12" s="0"/>
      <c r="DBY12" s="0"/>
      <c r="DBZ12" s="0"/>
      <c r="DCA12" s="0"/>
      <c r="DCB12" s="0"/>
      <c r="DCC12" s="0"/>
      <c r="DCD12" s="0"/>
      <c r="DCE12" s="0"/>
      <c r="DCF12" s="0"/>
      <c r="DCG12" s="0"/>
      <c r="DCH12" s="0"/>
      <c r="DCI12" s="0"/>
      <c r="DCJ12" s="0"/>
      <c r="DCK12" s="0"/>
      <c r="DCL12" s="0"/>
      <c r="DCM12" s="0"/>
      <c r="DCN12" s="0"/>
      <c r="DCO12" s="0"/>
      <c r="DCP12" s="0"/>
      <c r="DCQ12" s="0"/>
      <c r="DCR12" s="0"/>
      <c r="DCS12" s="0"/>
      <c r="DCT12" s="0"/>
      <c r="DCU12" s="0"/>
      <c r="DCV12" s="0"/>
      <c r="DCW12" s="0"/>
      <c r="DCX12" s="0"/>
      <c r="DCY12" s="0"/>
      <c r="DCZ12" s="0"/>
      <c r="DDA12" s="0"/>
      <c r="DDB12" s="0"/>
      <c r="DDC12" s="0"/>
      <c r="DDD12" s="0"/>
      <c r="DDE12" s="0"/>
      <c r="DDF12" s="0"/>
      <c r="DDG12" s="0"/>
      <c r="DDH12" s="0"/>
      <c r="DDI12" s="0"/>
      <c r="DDJ12" s="0"/>
      <c r="DDK12" s="0"/>
      <c r="DDL12" s="0"/>
      <c r="DDM12" s="0"/>
      <c r="DDN12" s="0"/>
      <c r="DDO12" s="0"/>
      <c r="DDP12" s="0"/>
      <c r="DDQ12" s="0"/>
      <c r="DDR12" s="0"/>
      <c r="DDS12" s="0"/>
      <c r="DDT12" s="0"/>
      <c r="DDU12" s="0"/>
      <c r="DDV12" s="0"/>
      <c r="DDW12" s="0"/>
      <c r="DDX12" s="0"/>
      <c r="DDY12" s="0"/>
      <c r="DDZ12" s="0"/>
      <c r="DEA12" s="0"/>
      <c r="DEB12" s="0"/>
      <c r="DEC12" s="0"/>
      <c r="DED12" s="0"/>
      <c r="DEE12" s="0"/>
      <c r="DEF12" s="0"/>
      <c r="DEG12" s="0"/>
      <c r="DEH12" s="0"/>
      <c r="DEI12" s="0"/>
      <c r="DEJ12" s="0"/>
      <c r="DEK12" s="0"/>
      <c r="DEL12" s="0"/>
      <c r="DEM12" s="0"/>
      <c r="DEN12" s="0"/>
      <c r="DEO12" s="0"/>
      <c r="DEP12" s="0"/>
      <c r="DEQ12" s="0"/>
      <c r="DER12" s="0"/>
      <c r="DES12" s="0"/>
      <c r="DET12" s="0"/>
      <c r="DEU12" s="0"/>
      <c r="DEV12" s="0"/>
      <c r="DEW12" s="0"/>
      <c r="DEX12" s="0"/>
      <c r="DEY12" s="0"/>
      <c r="DEZ12" s="0"/>
      <c r="DFA12" s="0"/>
      <c r="DFB12" s="0"/>
      <c r="DFC12" s="0"/>
      <c r="DFD12" s="0"/>
      <c r="DFE12" s="0"/>
      <c r="DFF12" s="0"/>
      <c r="DFG12" s="0"/>
      <c r="DFH12" s="0"/>
      <c r="DFI12" s="0"/>
      <c r="DFJ12" s="0"/>
      <c r="DFK12" s="0"/>
      <c r="DFL12" s="0"/>
      <c r="DFM12" s="0"/>
      <c r="DFN12" s="0"/>
      <c r="DFO12" s="0"/>
      <c r="DFP12" s="0"/>
      <c r="DFQ12" s="0"/>
      <c r="DFR12" s="0"/>
      <c r="DFS12" s="0"/>
      <c r="DFT12" s="0"/>
      <c r="DFU12" s="0"/>
      <c r="DFV12" s="0"/>
      <c r="DFW12" s="0"/>
      <c r="DFX12" s="0"/>
      <c r="DFY12" s="0"/>
      <c r="DFZ12" s="0"/>
      <c r="DGA12" s="0"/>
      <c r="DGB12" s="0"/>
      <c r="DGC12" s="0"/>
      <c r="DGD12" s="0"/>
      <c r="DGE12" s="0"/>
      <c r="DGF12" s="0"/>
      <c r="DGG12" s="0"/>
      <c r="DGH12" s="0"/>
      <c r="DGI12" s="0"/>
      <c r="DGJ12" s="0"/>
      <c r="DGK12" s="0"/>
      <c r="DGL12" s="0"/>
      <c r="DGM12" s="0"/>
      <c r="DGN12" s="0"/>
      <c r="DGO12" s="0"/>
      <c r="DGP12" s="0"/>
      <c r="DGQ12" s="0"/>
      <c r="DGR12" s="0"/>
      <c r="DGS12" s="0"/>
      <c r="DGT12" s="0"/>
      <c r="DGU12" s="0"/>
      <c r="DGV12" s="0"/>
      <c r="DGW12" s="0"/>
      <c r="DGX12" s="0"/>
      <c r="DGY12" s="0"/>
      <c r="DGZ12" s="0"/>
      <c r="DHA12" s="0"/>
      <c r="DHB12" s="0"/>
      <c r="DHC12" s="0"/>
      <c r="DHD12" s="0"/>
      <c r="DHE12" s="0"/>
      <c r="DHF12" s="0"/>
      <c r="DHG12" s="0"/>
      <c r="DHH12" s="0"/>
      <c r="DHI12" s="0"/>
      <c r="DHJ12" s="0"/>
      <c r="DHK12" s="0"/>
      <c r="DHL12" s="0"/>
      <c r="DHM12" s="0"/>
      <c r="DHN12" s="0"/>
      <c r="DHO12" s="0"/>
      <c r="DHP12" s="0"/>
      <c r="DHQ12" s="0"/>
      <c r="DHR12" s="0"/>
      <c r="DHS12" s="0"/>
      <c r="DHT12" s="0"/>
      <c r="DHU12" s="0"/>
      <c r="DHV12" s="0"/>
      <c r="DHW12" s="0"/>
      <c r="DHX12" s="0"/>
      <c r="DHY12" s="0"/>
      <c r="DHZ12" s="0"/>
      <c r="DIA12" s="0"/>
      <c r="DIB12" s="0"/>
      <c r="DIC12" s="0"/>
      <c r="DID12" s="0"/>
      <c r="DIE12" s="0"/>
      <c r="DIF12" s="0"/>
      <c r="DIG12" s="0"/>
      <c r="DIH12" s="0"/>
      <c r="DII12" s="0"/>
      <c r="DIJ12" s="0"/>
      <c r="DIK12" s="0"/>
      <c r="DIL12" s="0"/>
      <c r="DIM12" s="0"/>
      <c r="DIN12" s="0"/>
      <c r="DIO12" s="0"/>
      <c r="DIP12" s="0"/>
      <c r="DIQ12" s="0"/>
      <c r="DIR12" s="0"/>
      <c r="DIS12" s="0"/>
      <c r="DIT12" s="0"/>
      <c r="DIU12" s="0"/>
      <c r="DIV12" s="0"/>
      <c r="DIW12" s="0"/>
      <c r="DIX12" s="0"/>
      <c r="DIY12" s="0"/>
      <c r="DIZ12" s="0"/>
      <c r="DJA12" s="0"/>
      <c r="DJB12" s="0"/>
      <c r="DJC12" s="0"/>
      <c r="DJD12" s="0"/>
      <c r="DJE12" s="0"/>
      <c r="DJF12" s="0"/>
      <c r="DJG12" s="0"/>
      <c r="DJH12" s="0"/>
      <c r="DJI12" s="0"/>
      <c r="DJJ12" s="0"/>
      <c r="DJK12" s="0"/>
      <c r="DJL12" s="0"/>
      <c r="DJM12" s="0"/>
      <c r="DJN12" s="0"/>
      <c r="DJO12" s="0"/>
      <c r="DJP12" s="0"/>
      <c r="DJQ12" s="0"/>
      <c r="DJR12" s="0"/>
      <c r="DJS12" s="0"/>
      <c r="DJT12" s="0"/>
      <c r="DJU12" s="0"/>
      <c r="DJV12" s="0"/>
      <c r="DJW12" s="0"/>
      <c r="DJX12" s="0"/>
      <c r="DJY12" s="0"/>
      <c r="DJZ12" s="0"/>
      <c r="DKA12" s="0"/>
      <c r="DKB12" s="0"/>
      <c r="DKC12" s="0"/>
      <c r="DKD12" s="0"/>
      <c r="DKE12" s="0"/>
      <c r="DKF12" s="0"/>
      <c r="DKG12" s="0"/>
      <c r="DKH12" s="0"/>
      <c r="DKI12" s="0"/>
      <c r="DKJ12" s="0"/>
      <c r="DKK12" s="0"/>
      <c r="DKL12" s="0"/>
      <c r="DKM12" s="0"/>
      <c r="DKN12" s="0"/>
      <c r="DKO12" s="0"/>
      <c r="DKP12" s="0"/>
      <c r="DKQ12" s="0"/>
      <c r="DKR12" s="0"/>
      <c r="DKS12" s="0"/>
      <c r="DKT12" s="0"/>
      <c r="DKU12" s="0"/>
      <c r="DKV12" s="0"/>
      <c r="DKW12" s="0"/>
      <c r="DKX12" s="0"/>
      <c r="DKY12" s="0"/>
      <c r="DKZ12" s="0"/>
      <c r="DLA12" s="0"/>
      <c r="DLB12" s="0"/>
      <c r="DLC12" s="0"/>
      <c r="DLD12" s="0"/>
      <c r="DLE12" s="0"/>
      <c r="DLF12" s="0"/>
      <c r="DLG12" s="0"/>
      <c r="DLH12" s="0"/>
      <c r="DLI12" s="0"/>
      <c r="DLJ12" s="0"/>
      <c r="DLK12" s="0"/>
      <c r="DLL12" s="0"/>
      <c r="DLM12" s="0"/>
      <c r="DLN12" s="0"/>
      <c r="DLO12" s="0"/>
      <c r="DLP12" s="0"/>
      <c r="DLQ12" s="0"/>
      <c r="DLR12" s="0"/>
      <c r="DLS12" s="0"/>
      <c r="DLT12" s="0"/>
      <c r="DLU12" s="0"/>
      <c r="DLV12" s="0"/>
      <c r="DLW12" s="0"/>
      <c r="DLX12" s="0"/>
      <c r="DLY12" s="0"/>
      <c r="DLZ12" s="0"/>
      <c r="DMA12" s="0"/>
      <c r="DMB12" s="0"/>
      <c r="DMC12" s="0"/>
      <c r="DMD12" s="0"/>
      <c r="DME12" s="0"/>
      <c r="DMF12" s="0"/>
      <c r="DMG12" s="0"/>
      <c r="DMH12" s="0"/>
      <c r="DMI12" s="0"/>
      <c r="DMJ12" s="0"/>
      <c r="DMK12" s="0"/>
      <c r="DML12" s="0"/>
      <c r="DMM12" s="0"/>
      <c r="DMN12" s="0"/>
      <c r="DMO12" s="0"/>
      <c r="DMP12" s="0"/>
      <c r="DMQ12" s="0"/>
      <c r="DMR12" s="0"/>
      <c r="DMS12" s="0"/>
      <c r="DMT12" s="0"/>
      <c r="DMU12" s="0"/>
      <c r="DMV12" s="0"/>
      <c r="DMW12" s="0"/>
      <c r="DMX12" s="0"/>
      <c r="DMY12" s="0"/>
      <c r="DMZ12" s="0"/>
      <c r="DNA12" s="0"/>
      <c r="DNB12" s="0"/>
      <c r="DNC12" s="0"/>
      <c r="DND12" s="0"/>
      <c r="DNE12" s="0"/>
      <c r="DNF12" s="0"/>
      <c r="DNG12" s="0"/>
      <c r="DNH12" s="0"/>
      <c r="DNI12" s="0"/>
      <c r="DNJ12" s="0"/>
      <c r="DNK12" s="0"/>
      <c r="DNL12" s="0"/>
      <c r="DNM12" s="0"/>
      <c r="DNN12" s="0"/>
      <c r="DNO12" s="0"/>
      <c r="DNP12" s="0"/>
      <c r="DNQ12" s="0"/>
      <c r="DNR12" s="0"/>
      <c r="DNS12" s="0"/>
      <c r="DNT12" s="0"/>
      <c r="DNU12" s="0"/>
      <c r="DNV12" s="0"/>
      <c r="DNW12" s="0"/>
      <c r="DNX12" s="0"/>
      <c r="DNY12" s="0"/>
      <c r="DNZ12" s="0"/>
      <c r="DOA12" s="0"/>
      <c r="DOB12" s="0"/>
      <c r="DOC12" s="0"/>
      <c r="DOD12" s="0"/>
      <c r="DOE12" s="0"/>
      <c r="DOF12" s="0"/>
      <c r="DOG12" s="0"/>
      <c r="DOH12" s="0"/>
      <c r="DOI12" s="0"/>
      <c r="DOJ12" s="0"/>
      <c r="DOK12" s="0"/>
      <c r="DOL12" s="0"/>
      <c r="DOM12" s="0"/>
      <c r="DON12" s="0"/>
      <c r="DOO12" s="0"/>
      <c r="DOP12" s="0"/>
      <c r="DOQ12" s="0"/>
      <c r="DOR12" s="0"/>
      <c r="DOS12" s="0"/>
      <c r="DOT12" s="0"/>
      <c r="DOU12" s="0"/>
      <c r="DOV12" s="0"/>
      <c r="DOW12" s="0"/>
      <c r="DOX12" s="0"/>
      <c r="DOY12" s="0"/>
      <c r="DOZ12" s="0"/>
      <c r="DPA12" s="0"/>
      <c r="DPB12" s="0"/>
      <c r="DPC12" s="0"/>
      <c r="DPD12" s="0"/>
      <c r="DPE12" s="0"/>
      <c r="DPF12" s="0"/>
      <c r="DPG12" s="0"/>
      <c r="DPH12" s="0"/>
      <c r="DPI12" s="0"/>
      <c r="DPJ12" s="0"/>
      <c r="DPK12" s="0"/>
      <c r="DPL12" s="0"/>
      <c r="DPM12" s="0"/>
      <c r="DPN12" s="0"/>
      <c r="DPO12" s="0"/>
      <c r="DPP12" s="0"/>
      <c r="DPQ12" s="0"/>
      <c r="DPR12" s="0"/>
      <c r="DPS12" s="0"/>
      <c r="DPT12" s="0"/>
      <c r="DPU12" s="0"/>
      <c r="DPV12" s="0"/>
      <c r="DPW12" s="0"/>
      <c r="DPX12" s="0"/>
      <c r="DPY12" s="0"/>
      <c r="DPZ12" s="0"/>
      <c r="DQA12" s="0"/>
      <c r="DQB12" s="0"/>
      <c r="DQC12" s="0"/>
      <c r="DQD12" s="0"/>
      <c r="DQE12" s="0"/>
      <c r="DQF12" s="0"/>
      <c r="DQG12" s="0"/>
      <c r="DQH12" s="0"/>
      <c r="DQI12" s="0"/>
      <c r="DQJ12" s="0"/>
      <c r="DQK12" s="0"/>
      <c r="DQL12" s="0"/>
      <c r="DQM12" s="0"/>
      <c r="DQN12" s="0"/>
      <c r="DQO12" s="0"/>
      <c r="DQP12" s="0"/>
      <c r="DQQ12" s="0"/>
      <c r="DQR12" s="0"/>
      <c r="DQS12" s="0"/>
      <c r="DQT12" s="0"/>
      <c r="DQU12" s="0"/>
      <c r="DQV12" s="0"/>
      <c r="DQW12" s="0"/>
      <c r="DQX12" s="0"/>
      <c r="DQY12" s="0"/>
      <c r="DQZ12" s="0"/>
      <c r="DRA12" s="0"/>
      <c r="DRB12" s="0"/>
      <c r="DRC12" s="0"/>
      <c r="DRD12" s="0"/>
      <c r="DRE12" s="0"/>
      <c r="DRF12" s="0"/>
      <c r="DRG12" s="0"/>
      <c r="DRH12" s="0"/>
      <c r="DRI12" s="0"/>
      <c r="DRJ12" s="0"/>
      <c r="DRK12" s="0"/>
      <c r="DRL12" s="0"/>
      <c r="DRM12" s="0"/>
      <c r="DRN12" s="0"/>
      <c r="DRO12" s="0"/>
      <c r="DRP12" s="0"/>
      <c r="DRQ12" s="0"/>
      <c r="DRR12" s="0"/>
      <c r="DRS12" s="0"/>
      <c r="DRT12" s="0"/>
      <c r="DRU12" s="0"/>
      <c r="DRV12" s="0"/>
      <c r="DRW12" s="0"/>
      <c r="DRX12" s="0"/>
      <c r="DRY12" s="0"/>
      <c r="DRZ12" s="0"/>
      <c r="DSA12" s="0"/>
      <c r="DSB12" s="0"/>
      <c r="DSC12" s="0"/>
      <c r="DSD12" s="0"/>
      <c r="DSE12" s="0"/>
      <c r="DSF12" s="0"/>
      <c r="DSG12" s="0"/>
      <c r="DSH12" s="0"/>
      <c r="DSI12" s="0"/>
      <c r="DSJ12" s="0"/>
      <c r="DSK12" s="0"/>
      <c r="DSL12" s="0"/>
      <c r="DSM12" s="0"/>
      <c r="DSN12" s="0"/>
      <c r="DSO12" s="0"/>
      <c r="DSP12" s="0"/>
      <c r="DSQ12" s="0"/>
      <c r="DSR12" s="0"/>
      <c r="DSS12" s="0"/>
      <c r="DST12" s="0"/>
      <c r="DSU12" s="0"/>
      <c r="DSV12" s="0"/>
      <c r="DSW12" s="0"/>
      <c r="DSX12" s="0"/>
      <c r="DSY12" s="0"/>
      <c r="DSZ12" s="0"/>
      <c r="DTA12" s="0"/>
      <c r="DTB12" s="0"/>
      <c r="DTC12" s="0"/>
      <c r="DTD12" s="0"/>
      <c r="DTE12" s="0"/>
      <c r="DTF12" s="0"/>
      <c r="DTG12" s="0"/>
      <c r="DTH12" s="0"/>
      <c r="DTI12" s="0"/>
      <c r="DTJ12" s="0"/>
      <c r="DTK12" s="0"/>
      <c r="DTL12" s="0"/>
      <c r="DTM12" s="0"/>
      <c r="DTN12" s="0"/>
      <c r="DTO12" s="0"/>
      <c r="DTP12" s="0"/>
      <c r="DTQ12" s="0"/>
      <c r="DTR12" s="0"/>
      <c r="DTS12" s="0"/>
      <c r="DTT12" s="0"/>
      <c r="DTU12" s="0"/>
      <c r="DTV12" s="0"/>
      <c r="DTW12" s="0"/>
      <c r="DTX12" s="0"/>
      <c r="DTY12" s="0"/>
      <c r="DTZ12" s="0"/>
      <c r="DUA12" s="0"/>
      <c r="DUB12" s="0"/>
      <c r="DUC12" s="0"/>
      <c r="DUD12" s="0"/>
      <c r="DUE12" s="0"/>
      <c r="DUF12" s="0"/>
      <c r="DUG12" s="0"/>
      <c r="DUH12" s="0"/>
      <c r="DUI12" s="0"/>
      <c r="DUJ12" s="0"/>
      <c r="DUK12" s="0"/>
      <c r="DUL12" s="0"/>
      <c r="DUM12" s="0"/>
      <c r="DUN12" s="0"/>
      <c r="DUO12" s="0"/>
      <c r="DUP12" s="0"/>
      <c r="DUQ12" s="0"/>
      <c r="DUR12" s="0"/>
      <c r="DUS12" s="0"/>
      <c r="DUT12" s="0"/>
      <c r="DUU12" s="0"/>
      <c r="DUV12" s="0"/>
      <c r="DUW12" s="0"/>
      <c r="DUX12" s="0"/>
      <c r="DUY12" s="0"/>
      <c r="DUZ12" s="0"/>
      <c r="DVA12" s="0"/>
      <c r="DVB12" s="0"/>
      <c r="DVC12" s="0"/>
      <c r="DVD12" s="0"/>
      <c r="DVE12" s="0"/>
      <c r="DVF12" s="0"/>
      <c r="DVG12" s="0"/>
      <c r="DVH12" s="0"/>
      <c r="DVI12" s="0"/>
      <c r="DVJ12" s="0"/>
      <c r="DVK12" s="0"/>
      <c r="DVL12" s="0"/>
      <c r="DVM12" s="0"/>
      <c r="DVN12" s="0"/>
      <c r="DVO12" s="0"/>
      <c r="DVP12" s="0"/>
      <c r="DVQ12" s="0"/>
      <c r="DVR12" s="0"/>
      <c r="DVS12" s="0"/>
      <c r="DVT12" s="0"/>
      <c r="DVU12" s="0"/>
      <c r="DVV12" s="0"/>
      <c r="DVW12" s="0"/>
      <c r="DVX12" s="0"/>
      <c r="DVY12" s="0"/>
      <c r="DVZ12" s="0"/>
      <c r="DWA12" s="0"/>
      <c r="DWB12" s="0"/>
      <c r="DWC12" s="0"/>
      <c r="DWD12" s="0"/>
      <c r="DWE12" s="0"/>
      <c r="DWF12" s="0"/>
      <c r="DWG12" s="0"/>
      <c r="DWH12" s="0"/>
      <c r="DWI12" s="0"/>
      <c r="DWJ12" s="0"/>
      <c r="DWK12" s="0"/>
      <c r="DWL12" s="0"/>
      <c r="DWM12" s="0"/>
      <c r="DWN12" s="0"/>
      <c r="DWO12" s="0"/>
      <c r="DWP12" s="0"/>
      <c r="DWQ12" s="0"/>
      <c r="DWR12" s="0"/>
      <c r="DWS12" s="0"/>
      <c r="DWT12" s="0"/>
      <c r="DWU12" s="0"/>
      <c r="DWV12" s="0"/>
      <c r="DWW12" s="0"/>
      <c r="DWX12" s="0"/>
      <c r="DWY12" s="0"/>
      <c r="DWZ12" s="0"/>
      <c r="DXA12" s="0"/>
      <c r="DXB12" s="0"/>
      <c r="DXC12" s="0"/>
      <c r="DXD12" s="0"/>
      <c r="DXE12" s="0"/>
      <c r="DXF12" s="0"/>
      <c r="DXG12" s="0"/>
      <c r="DXH12" s="0"/>
      <c r="DXI12" s="0"/>
      <c r="DXJ12" s="0"/>
      <c r="DXK12" s="0"/>
      <c r="DXL12" s="0"/>
      <c r="DXM12" s="0"/>
      <c r="DXN12" s="0"/>
      <c r="DXO12" s="0"/>
      <c r="DXP12" s="0"/>
      <c r="DXQ12" s="0"/>
      <c r="DXR12" s="0"/>
      <c r="DXS12" s="0"/>
      <c r="DXT12" s="0"/>
      <c r="DXU12" s="0"/>
      <c r="DXV12" s="0"/>
      <c r="DXW12" s="0"/>
      <c r="DXX12" s="0"/>
      <c r="DXY12" s="0"/>
      <c r="DXZ12" s="0"/>
      <c r="DYA12" s="0"/>
      <c r="DYB12" s="0"/>
      <c r="DYC12" s="0"/>
      <c r="DYD12" s="0"/>
      <c r="DYE12" s="0"/>
      <c r="DYF12" s="0"/>
      <c r="DYG12" s="0"/>
      <c r="DYH12" s="0"/>
      <c r="DYI12" s="0"/>
      <c r="DYJ12" s="0"/>
      <c r="DYK12" s="0"/>
      <c r="DYL12" s="0"/>
      <c r="DYM12" s="0"/>
      <c r="DYN12" s="0"/>
      <c r="DYO12" s="0"/>
      <c r="DYP12" s="0"/>
      <c r="DYQ12" s="0"/>
      <c r="DYR12" s="0"/>
      <c r="DYS12" s="0"/>
      <c r="DYT12" s="0"/>
      <c r="DYU12" s="0"/>
      <c r="DYV12" s="0"/>
      <c r="DYW12" s="0"/>
      <c r="DYX12" s="0"/>
      <c r="DYY12" s="0"/>
      <c r="DYZ12" s="0"/>
      <c r="DZA12" s="0"/>
      <c r="DZB12" s="0"/>
      <c r="DZC12" s="0"/>
      <c r="DZD12" s="0"/>
      <c r="DZE12" s="0"/>
      <c r="DZF12" s="0"/>
      <c r="DZG12" s="0"/>
      <c r="DZH12" s="0"/>
      <c r="DZI12" s="0"/>
      <c r="DZJ12" s="0"/>
      <c r="DZK12" s="0"/>
      <c r="DZL12" s="0"/>
      <c r="DZM12" s="0"/>
      <c r="DZN12" s="0"/>
      <c r="DZO12" s="0"/>
      <c r="DZP12" s="0"/>
      <c r="DZQ12" s="0"/>
      <c r="DZR12" s="0"/>
      <c r="DZS12" s="0"/>
      <c r="DZT12" s="0"/>
      <c r="DZU12" s="0"/>
      <c r="DZV12" s="0"/>
      <c r="DZW12" s="0"/>
      <c r="DZX12" s="0"/>
      <c r="DZY12" s="0"/>
      <c r="DZZ12" s="0"/>
      <c r="EAA12" s="0"/>
      <c r="EAB12" s="0"/>
      <c r="EAC12" s="0"/>
      <c r="EAD12" s="0"/>
      <c r="EAE12" s="0"/>
      <c r="EAF12" s="0"/>
      <c r="EAG12" s="0"/>
      <c r="EAH12" s="0"/>
      <c r="EAI12" s="0"/>
      <c r="EAJ12" s="0"/>
      <c r="EAK12" s="0"/>
      <c r="EAL12" s="0"/>
      <c r="EAM12" s="0"/>
      <c r="EAN12" s="0"/>
      <c r="EAO12" s="0"/>
      <c r="EAP12" s="0"/>
      <c r="EAQ12" s="0"/>
      <c r="EAR12" s="0"/>
      <c r="EAS12" s="0"/>
      <c r="EAT12" s="0"/>
      <c r="EAU12" s="0"/>
      <c r="EAV12" s="0"/>
      <c r="EAW12" s="0"/>
      <c r="EAX12" s="0"/>
      <c r="EAY12" s="0"/>
      <c r="EAZ12" s="0"/>
      <c r="EBA12" s="0"/>
      <c r="EBB12" s="0"/>
      <c r="EBC12" s="0"/>
      <c r="EBD12" s="0"/>
      <c r="EBE12" s="0"/>
      <c r="EBF12" s="0"/>
      <c r="EBG12" s="0"/>
      <c r="EBH12" s="0"/>
      <c r="EBI12" s="0"/>
      <c r="EBJ12" s="0"/>
      <c r="EBK12" s="0"/>
      <c r="EBL12" s="0"/>
      <c r="EBM12" s="0"/>
      <c r="EBN12" s="0"/>
      <c r="EBO12" s="0"/>
      <c r="EBP12" s="0"/>
      <c r="EBQ12" s="0"/>
      <c r="EBR12" s="0"/>
      <c r="EBS12" s="0"/>
      <c r="EBT12" s="0"/>
      <c r="EBU12" s="0"/>
      <c r="EBV12" s="0"/>
      <c r="EBW12" s="0"/>
      <c r="EBX12" s="0"/>
      <c r="EBY12" s="0"/>
      <c r="EBZ12" s="0"/>
      <c r="ECA12" s="0"/>
      <c r="ECB12" s="0"/>
      <c r="ECC12" s="0"/>
      <c r="ECD12" s="0"/>
      <c r="ECE12" s="0"/>
      <c r="ECF12" s="0"/>
      <c r="ECG12" s="0"/>
      <c r="ECH12" s="0"/>
      <c r="ECI12" s="0"/>
      <c r="ECJ12" s="0"/>
      <c r="ECK12" s="0"/>
      <c r="ECL12" s="0"/>
      <c r="ECM12" s="0"/>
      <c r="ECN12" s="0"/>
      <c r="ECO12" s="0"/>
      <c r="ECP12" s="0"/>
      <c r="ECQ12" s="0"/>
      <c r="ECR12" s="0"/>
      <c r="ECS12" s="0"/>
      <c r="ECT12" s="0"/>
      <c r="ECU12" s="0"/>
      <c r="ECV12" s="0"/>
      <c r="ECW12" s="0"/>
      <c r="ECX12" s="0"/>
      <c r="ECY12" s="0"/>
      <c r="ECZ12" s="0"/>
      <c r="EDA12" s="0"/>
      <c r="EDB12" s="0"/>
      <c r="EDC12" s="0"/>
      <c r="EDD12" s="0"/>
      <c r="EDE12" s="0"/>
      <c r="EDF12" s="0"/>
      <c r="EDG12" s="0"/>
      <c r="EDH12" s="0"/>
      <c r="EDI12" s="0"/>
      <c r="EDJ12" s="0"/>
      <c r="EDK12" s="0"/>
      <c r="EDL12" s="0"/>
      <c r="EDM12" s="0"/>
      <c r="EDN12" s="0"/>
      <c r="EDO12" s="0"/>
      <c r="EDP12" s="0"/>
      <c r="EDQ12" s="0"/>
      <c r="EDR12" s="0"/>
      <c r="EDS12" s="0"/>
      <c r="EDT12" s="0"/>
      <c r="EDU12" s="0"/>
      <c r="EDV12" s="0"/>
      <c r="EDW12" s="0"/>
      <c r="EDX12" s="0"/>
      <c r="EDY12" s="0"/>
      <c r="EDZ12" s="0"/>
      <c r="EEA12" s="0"/>
      <c r="EEB12" s="0"/>
      <c r="EEC12" s="0"/>
      <c r="EED12" s="0"/>
      <c r="EEE12" s="0"/>
      <c r="EEF12" s="0"/>
      <c r="EEG12" s="0"/>
      <c r="EEH12" s="0"/>
      <c r="EEI12" s="0"/>
      <c r="EEJ12" s="0"/>
      <c r="EEK12" s="0"/>
      <c r="EEL12" s="0"/>
      <c r="EEM12" s="0"/>
      <c r="EEN12" s="0"/>
      <c r="EEO12" s="0"/>
      <c r="EEP12" s="0"/>
      <c r="EEQ12" s="0"/>
      <c r="EER12" s="0"/>
      <c r="EES12" s="0"/>
      <c r="EET12" s="0"/>
      <c r="EEU12" s="0"/>
      <c r="EEV12" s="0"/>
      <c r="EEW12" s="0"/>
      <c r="EEX12" s="0"/>
      <c r="EEY12" s="0"/>
      <c r="EEZ12" s="0"/>
      <c r="EFA12" s="0"/>
      <c r="EFB12" s="0"/>
      <c r="EFC12" s="0"/>
      <c r="EFD12" s="0"/>
      <c r="EFE12" s="0"/>
      <c r="EFF12" s="0"/>
      <c r="EFG12" s="0"/>
      <c r="EFH12" s="0"/>
      <c r="EFI12" s="0"/>
      <c r="EFJ12" s="0"/>
      <c r="EFK12" s="0"/>
      <c r="EFL12" s="0"/>
      <c r="EFM12" s="0"/>
      <c r="EFN12" s="0"/>
      <c r="EFO12" s="0"/>
      <c r="EFP12" s="0"/>
      <c r="EFQ12" s="0"/>
      <c r="EFR12" s="0"/>
      <c r="EFS12" s="0"/>
      <c r="EFT12" s="0"/>
      <c r="EFU12" s="0"/>
      <c r="EFV12" s="0"/>
      <c r="EFW12" s="0"/>
      <c r="EFX12" s="0"/>
      <c r="EFY12" s="0"/>
      <c r="EFZ12" s="0"/>
      <c r="EGA12" s="0"/>
      <c r="EGB12" s="0"/>
      <c r="EGC12" s="0"/>
      <c r="EGD12" s="0"/>
      <c r="EGE12" s="0"/>
      <c r="EGF12" s="0"/>
      <c r="EGG12" s="0"/>
      <c r="EGH12" s="0"/>
      <c r="EGI12" s="0"/>
      <c r="EGJ12" s="0"/>
      <c r="EGK12" s="0"/>
      <c r="EGL12" s="0"/>
      <c r="EGM12" s="0"/>
      <c r="EGN12" s="0"/>
      <c r="EGO12" s="0"/>
      <c r="EGP12" s="0"/>
      <c r="EGQ12" s="0"/>
      <c r="EGR12" s="0"/>
      <c r="EGS12" s="0"/>
      <c r="EGT12" s="0"/>
      <c r="EGU12" s="0"/>
      <c r="EGV12" s="0"/>
      <c r="EGW12" s="0"/>
      <c r="EGX12" s="0"/>
      <c r="EGY12" s="0"/>
      <c r="EGZ12" s="0"/>
      <c r="EHA12" s="0"/>
      <c r="EHB12" s="0"/>
      <c r="EHC12" s="0"/>
      <c r="EHD12" s="0"/>
      <c r="EHE12" s="0"/>
      <c r="EHF12" s="0"/>
      <c r="EHG12" s="0"/>
      <c r="EHH12" s="0"/>
      <c r="EHI12" s="0"/>
      <c r="EHJ12" s="0"/>
      <c r="EHK12" s="0"/>
      <c r="EHL12" s="0"/>
      <c r="EHM12" s="0"/>
      <c r="EHN12" s="0"/>
      <c r="EHO12" s="0"/>
      <c r="EHP12" s="0"/>
      <c r="EHQ12" s="0"/>
      <c r="EHR12" s="0"/>
      <c r="EHS12" s="0"/>
      <c r="EHT12" s="0"/>
      <c r="EHU12" s="0"/>
      <c r="EHV12" s="0"/>
      <c r="EHW12" s="0"/>
      <c r="EHX12" s="0"/>
      <c r="EHY12" s="0"/>
      <c r="EHZ12" s="0"/>
      <c r="EIA12" s="0"/>
      <c r="EIB12" s="0"/>
      <c r="EIC12" s="0"/>
      <c r="EID12" s="0"/>
      <c r="EIE12" s="0"/>
      <c r="EIF12" s="0"/>
      <c r="EIG12" s="0"/>
      <c r="EIH12" s="0"/>
      <c r="EII12" s="0"/>
      <c r="EIJ12" s="0"/>
      <c r="EIK12" s="0"/>
      <c r="EIL12" s="0"/>
      <c r="EIM12" s="0"/>
      <c r="EIN12" s="0"/>
      <c r="EIO12" s="0"/>
      <c r="EIP12" s="0"/>
      <c r="EIQ12" s="0"/>
      <c r="EIR12" s="0"/>
      <c r="EIS12" s="0"/>
      <c r="EIT12" s="0"/>
      <c r="EIU12" s="0"/>
      <c r="EIV12" s="0"/>
      <c r="EIW12" s="0"/>
      <c r="EIX12" s="0"/>
      <c r="EIY12" s="0"/>
      <c r="EIZ12" s="0"/>
      <c r="EJA12" s="0"/>
      <c r="EJB12" s="0"/>
      <c r="EJC12" s="0"/>
      <c r="EJD12" s="0"/>
      <c r="EJE12" s="0"/>
      <c r="EJF12" s="0"/>
      <c r="EJG12" s="0"/>
      <c r="EJH12" s="0"/>
      <c r="EJI12" s="0"/>
      <c r="EJJ12" s="0"/>
      <c r="EJK12" s="0"/>
      <c r="EJL12" s="0"/>
      <c r="EJM12" s="0"/>
      <c r="EJN12" s="0"/>
      <c r="EJO12" s="0"/>
      <c r="EJP12" s="0"/>
      <c r="EJQ12" s="0"/>
      <c r="EJR12" s="0"/>
      <c r="EJS12" s="0"/>
      <c r="EJT12" s="0"/>
      <c r="EJU12" s="0"/>
      <c r="EJV12" s="0"/>
      <c r="EJW12" s="0"/>
      <c r="EJX12" s="0"/>
      <c r="EJY12" s="0"/>
      <c r="EJZ12" s="0"/>
      <c r="EKA12" s="0"/>
      <c r="EKB12" s="0"/>
      <c r="EKC12" s="0"/>
      <c r="EKD12" s="0"/>
      <c r="EKE12" s="0"/>
      <c r="EKF12" s="0"/>
      <c r="EKG12" s="0"/>
      <c r="EKH12" s="0"/>
      <c r="EKI12" s="0"/>
      <c r="EKJ12" s="0"/>
      <c r="EKK12" s="0"/>
      <c r="EKL12" s="0"/>
      <c r="EKM12" s="0"/>
      <c r="EKN12" s="0"/>
      <c r="EKO12" s="0"/>
      <c r="EKP12" s="0"/>
      <c r="EKQ12" s="0"/>
      <c r="EKR12" s="0"/>
      <c r="EKS12" s="0"/>
      <c r="EKT12" s="0"/>
      <c r="EKU12" s="0"/>
      <c r="EKV12" s="0"/>
      <c r="EKW12" s="0"/>
      <c r="EKX12" s="0"/>
      <c r="EKY12" s="0"/>
      <c r="EKZ12" s="0"/>
      <c r="ELA12" s="0"/>
      <c r="ELB12" s="0"/>
      <c r="ELC12" s="0"/>
      <c r="ELD12" s="0"/>
      <c r="ELE12" s="0"/>
      <c r="ELF12" s="0"/>
      <c r="ELG12" s="0"/>
      <c r="ELH12" s="0"/>
      <c r="ELI12" s="0"/>
      <c r="ELJ12" s="0"/>
      <c r="ELK12" s="0"/>
      <c r="ELL12" s="0"/>
      <c r="ELM12" s="0"/>
      <c r="ELN12" s="0"/>
      <c r="ELO12" s="0"/>
      <c r="ELP12" s="0"/>
      <c r="ELQ12" s="0"/>
      <c r="ELR12" s="0"/>
      <c r="ELS12" s="0"/>
      <c r="ELT12" s="0"/>
      <c r="ELU12" s="0"/>
      <c r="ELV12" s="0"/>
      <c r="ELW12" s="0"/>
      <c r="ELX12" s="0"/>
      <c r="ELY12" s="0"/>
      <c r="ELZ12" s="0"/>
      <c r="EMA12" s="0"/>
      <c r="EMB12" s="0"/>
      <c r="EMC12" s="0"/>
      <c r="EMD12" s="0"/>
      <c r="EME12" s="0"/>
      <c r="EMF12" s="0"/>
      <c r="EMG12" s="0"/>
      <c r="EMH12" s="0"/>
      <c r="EMI12" s="0"/>
      <c r="EMJ12" s="0"/>
      <c r="EMK12" s="0"/>
      <c r="EML12" s="0"/>
      <c r="EMM12" s="0"/>
      <c r="EMN12" s="0"/>
      <c r="EMO12" s="0"/>
      <c r="EMP12" s="0"/>
      <c r="EMQ12" s="0"/>
      <c r="EMR12" s="0"/>
      <c r="EMS12" s="0"/>
      <c r="EMT12" s="0"/>
      <c r="EMU12" s="0"/>
      <c r="EMV12" s="0"/>
      <c r="EMW12" s="0"/>
      <c r="EMX12" s="0"/>
      <c r="EMY12" s="0"/>
      <c r="EMZ12" s="0"/>
      <c r="ENA12" s="0"/>
      <c r="ENB12" s="0"/>
      <c r="ENC12" s="0"/>
      <c r="END12" s="0"/>
      <c r="ENE12" s="0"/>
      <c r="ENF12" s="0"/>
      <c r="ENG12" s="0"/>
      <c r="ENH12" s="0"/>
      <c r="ENI12" s="0"/>
      <c r="ENJ12" s="0"/>
      <c r="ENK12" s="0"/>
      <c r="ENL12" s="0"/>
      <c r="ENM12" s="0"/>
      <c r="ENN12" s="0"/>
      <c r="ENO12" s="0"/>
      <c r="ENP12" s="0"/>
      <c r="ENQ12" s="0"/>
      <c r="ENR12" s="0"/>
      <c r="ENS12" s="0"/>
      <c r="ENT12" s="0"/>
      <c r="ENU12" s="0"/>
      <c r="ENV12" s="0"/>
      <c r="ENW12" s="0"/>
      <c r="ENX12" s="0"/>
      <c r="ENY12" s="0"/>
      <c r="ENZ12" s="0"/>
      <c r="EOA12" s="0"/>
      <c r="EOB12" s="0"/>
      <c r="EOC12" s="0"/>
      <c r="EOD12" s="0"/>
      <c r="EOE12" s="0"/>
      <c r="EOF12" s="0"/>
      <c r="EOG12" s="0"/>
      <c r="EOH12" s="0"/>
      <c r="EOI12" s="0"/>
      <c r="EOJ12" s="0"/>
      <c r="EOK12" s="0"/>
      <c r="EOL12" s="0"/>
      <c r="EOM12" s="0"/>
      <c r="EON12" s="0"/>
      <c r="EOO12" s="0"/>
      <c r="EOP12" s="0"/>
      <c r="EOQ12" s="0"/>
      <c r="EOR12" s="0"/>
      <c r="EOS12" s="0"/>
      <c r="EOT12" s="0"/>
      <c r="EOU12" s="0"/>
      <c r="EOV12" s="0"/>
      <c r="EOW12" s="0"/>
      <c r="EOX12" s="0"/>
      <c r="EOY12" s="0"/>
      <c r="EOZ12" s="0"/>
      <c r="EPA12" s="0"/>
      <c r="EPB12" s="0"/>
      <c r="EPC12" s="0"/>
      <c r="EPD12" s="0"/>
      <c r="EPE12" s="0"/>
      <c r="EPF12" s="0"/>
      <c r="EPG12" s="0"/>
      <c r="EPH12" s="0"/>
      <c r="EPI12" s="0"/>
      <c r="EPJ12" s="0"/>
      <c r="EPK12" s="0"/>
      <c r="EPL12" s="0"/>
      <c r="EPM12" s="0"/>
      <c r="EPN12" s="0"/>
      <c r="EPO12" s="0"/>
      <c r="EPP12" s="0"/>
      <c r="EPQ12" s="0"/>
      <c r="EPR12" s="0"/>
      <c r="EPS12" s="0"/>
      <c r="EPT12" s="0"/>
      <c r="EPU12" s="0"/>
      <c r="EPV12" s="0"/>
      <c r="EPW12" s="0"/>
      <c r="EPX12" s="0"/>
      <c r="EPY12" s="0"/>
      <c r="EPZ12" s="0"/>
      <c r="EQA12" s="0"/>
      <c r="EQB12" s="0"/>
      <c r="EQC12" s="0"/>
      <c r="EQD12" s="0"/>
      <c r="EQE12" s="0"/>
      <c r="EQF12" s="0"/>
      <c r="EQG12" s="0"/>
      <c r="EQH12" s="0"/>
      <c r="EQI12" s="0"/>
      <c r="EQJ12" s="0"/>
      <c r="EQK12" s="0"/>
      <c r="EQL12" s="0"/>
      <c r="EQM12" s="0"/>
      <c r="EQN12" s="0"/>
      <c r="EQO12" s="0"/>
      <c r="EQP12" s="0"/>
      <c r="EQQ12" s="0"/>
      <c r="EQR12" s="0"/>
      <c r="EQS12" s="0"/>
      <c r="EQT12" s="0"/>
      <c r="EQU12" s="0"/>
      <c r="EQV12" s="0"/>
      <c r="EQW12" s="0"/>
      <c r="EQX12" s="0"/>
      <c r="EQY12" s="0"/>
      <c r="EQZ12" s="0"/>
      <c r="ERA12" s="0"/>
      <c r="ERB12" s="0"/>
      <c r="ERC12" s="0"/>
      <c r="ERD12" s="0"/>
      <c r="ERE12" s="0"/>
      <c r="ERF12" s="0"/>
      <c r="ERG12" s="0"/>
      <c r="ERH12" s="0"/>
      <c r="ERI12" s="0"/>
      <c r="ERJ12" s="0"/>
      <c r="ERK12" s="0"/>
      <c r="ERL12" s="0"/>
      <c r="ERM12" s="0"/>
      <c r="ERN12" s="0"/>
      <c r="ERO12" s="0"/>
      <c r="ERP12" s="0"/>
      <c r="ERQ12" s="0"/>
      <c r="ERR12" s="0"/>
      <c r="ERS12" s="0"/>
      <c r="ERT12" s="0"/>
      <c r="ERU12" s="0"/>
      <c r="ERV12" s="0"/>
      <c r="ERW12" s="0"/>
      <c r="ERX12" s="0"/>
      <c r="ERY12" s="0"/>
      <c r="ERZ12" s="0"/>
      <c r="ESA12" s="0"/>
      <c r="ESB12" s="0"/>
      <c r="ESC12" s="0"/>
      <c r="ESD12" s="0"/>
      <c r="ESE12" s="0"/>
      <c r="ESF12" s="0"/>
      <c r="ESG12" s="0"/>
      <c r="ESH12" s="0"/>
      <c r="ESI12" s="0"/>
      <c r="ESJ12" s="0"/>
      <c r="ESK12" s="0"/>
      <c r="ESL12" s="0"/>
      <c r="ESM12" s="0"/>
      <c r="ESN12" s="0"/>
      <c r="ESO12" s="0"/>
      <c r="ESP12" s="0"/>
      <c r="ESQ12" s="0"/>
      <c r="ESR12" s="0"/>
      <c r="ESS12" s="0"/>
      <c r="EST12" s="0"/>
      <c r="ESU12" s="0"/>
      <c r="ESV12" s="0"/>
      <c r="ESW12" s="0"/>
      <c r="ESX12" s="0"/>
      <c r="ESY12" s="0"/>
      <c r="ESZ12" s="0"/>
      <c r="ETA12" s="0"/>
      <c r="ETB12" s="0"/>
      <c r="ETC12" s="0"/>
      <c r="ETD12" s="0"/>
      <c r="ETE12" s="0"/>
      <c r="ETF12" s="0"/>
      <c r="ETG12" s="0"/>
      <c r="ETH12" s="0"/>
      <c r="ETI12" s="0"/>
      <c r="ETJ12" s="0"/>
      <c r="ETK12" s="0"/>
      <c r="ETL12" s="0"/>
      <c r="ETM12" s="0"/>
      <c r="ETN12" s="0"/>
      <c r="ETO12" s="0"/>
      <c r="ETP12" s="0"/>
      <c r="ETQ12" s="0"/>
      <c r="ETR12" s="0"/>
      <c r="ETS12" s="0"/>
      <c r="ETT12" s="0"/>
      <c r="ETU12" s="0"/>
      <c r="ETV12" s="0"/>
      <c r="ETW12" s="0"/>
      <c r="ETX12" s="0"/>
      <c r="ETY12" s="0"/>
      <c r="ETZ12" s="0"/>
      <c r="EUA12" s="0"/>
      <c r="EUB12" s="0"/>
      <c r="EUC12" s="0"/>
      <c r="EUD12" s="0"/>
      <c r="EUE12" s="0"/>
      <c r="EUF12" s="0"/>
      <c r="EUG12" s="0"/>
      <c r="EUH12" s="0"/>
      <c r="EUI12" s="0"/>
      <c r="EUJ12" s="0"/>
      <c r="EUK12" s="0"/>
      <c r="EUL12" s="0"/>
      <c r="EUM12" s="0"/>
      <c r="EUN12" s="0"/>
      <c r="EUO12" s="0"/>
      <c r="EUP12" s="0"/>
      <c r="EUQ12" s="0"/>
      <c r="EUR12" s="0"/>
      <c r="EUS12" s="0"/>
      <c r="EUT12" s="0"/>
      <c r="EUU12" s="0"/>
      <c r="EUV12" s="0"/>
      <c r="EUW12" s="0"/>
      <c r="EUX12" s="0"/>
      <c r="EUY12" s="0"/>
      <c r="EUZ12" s="0"/>
      <c r="EVA12" s="0"/>
      <c r="EVB12" s="0"/>
      <c r="EVC12" s="0"/>
      <c r="EVD12" s="0"/>
      <c r="EVE12" s="0"/>
      <c r="EVF12" s="0"/>
      <c r="EVG12" s="0"/>
      <c r="EVH12" s="0"/>
      <c r="EVI12" s="0"/>
      <c r="EVJ12" s="0"/>
      <c r="EVK12" s="0"/>
      <c r="EVL12" s="0"/>
      <c r="EVM12" s="0"/>
      <c r="EVN12" s="0"/>
      <c r="EVO12" s="0"/>
      <c r="EVP12" s="0"/>
      <c r="EVQ12" s="0"/>
      <c r="EVR12" s="0"/>
      <c r="EVS12" s="0"/>
      <c r="EVT12" s="0"/>
      <c r="EVU12" s="0"/>
      <c r="EVV12" s="0"/>
      <c r="EVW12" s="0"/>
      <c r="EVX12" s="0"/>
      <c r="EVY12" s="0"/>
      <c r="EVZ12" s="0"/>
      <c r="EWA12" s="0"/>
      <c r="EWB12" s="0"/>
      <c r="EWC12" s="0"/>
      <c r="EWD12" s="0"/>
      <c r="EWE12" s="0"/>
      <c r="EWF12" s="0"/>
      <c r="EWG12" s="0"/>
      <c r="EWH12" s="0"/>
      <c r="EWI12" s="0"/>
      <c r="EWJ12" s="0"/>
      <c r="EWK12" s="0"/>
      <c r="EWL12" s="0"/>
      <c r="EWM12" s="0"/>
      <c r="EWN12" s="0"/>
      <c r="EWO12" s="0"/>
      <c r="EWP12" s="0"/>
      <c r="EWQ12" s="0"/>
      <c r="EWR12" s="0"/>
      <c r="EWS12" s="0"/>
      <c r="EWT12" s="0"/>
      <c r="EWU12" s="0"/>
      <c r="EWV12" s="0"/>
      <c r="EWW12" s="0"/>
      <c r="EWX12" s="0"/>
      <c r="EWY12" s="0"/>
      <c r="EWZ12" s="0"/>
      <c r="EXA12" s="0"/>
      <c r="EXB12" s="0"/>
      <c r="EXC12" s="0"/>
      <c r="EXD12" s="0"/>
      <c r="EXE12" s="0"/>
      <c r="EXF12" s="0"/>
      <c r="EXG12" s="0"/>
      <c r="EXH12" s="0"/>
      <c r="EXI12" s="0"/>
      <c r="EXJ12" s="0"/>
      <c r="EXK12" s="0"/>
      <c r="EXL12" s="0"/>
      <c r="EXM12" s="0"/>
      <c r="EXN12" s="0"/>
      <c r="EXO12" s="0"/>
      <c r="EXP12" s="0"/>
      <c r="EXQ12" s="0"/>
      <c r="EXR12" s="0"/>
      <c r="EXS12" s="0"/>
      <c r="EXT12" s="0"/>
      <c r="EXU12" s="0"/>
      <c r="EXV12" s="0"/>
      <c r="EXW12" s="0"/>
      <c r="EXX12" s="0"/>
      <c r="EXY12" s="0"/>
      <c r="EXZ12" s="0"/>
      <c r="EYA12" s="0"/>
      <c r="EYB12" s="0"/>
      <c r="EYC12" s="0"/>
      <c r="EYD12" s="0"/>
      <c r="EYE12" s="0"/>
      <c r="EYF12" s="0"/>
      <c r="EYG12" s="0"/>
      <c r="EYH12" s="0"/>
      <c r="EYI12" s="0"/>
      <c r="EYJ12" s="0"/>
      <c r="EYK12" s="0"/>
      <c r="EYL12" s="0"/>
      <c r="EYM12" s="0"/>
      <c r="EYN12" s="0"/>
      <c r="EYO12" s="0"/>
      <c r="EYP12" s="0"/>
      <c r="EYQ12" s="0"/>
      <c r="EYR12" s="0"/>
      <c r="EYS12" s="0"/>
      <c r="EYT12" s="0"/>
      <c r="EYU12" s="0"/>
      <c r="EYV12" s="0"/>
      <c r="EYW12" s="0"/>
      <c r="EYX12" s="0"/>
      <c r="EYY12" s="0"/>
      <c r="EYZ12" s="0"/>
      <c r="EZA12" s="0"/>
      <c r="EZB12" s="0"/>
      <c r="EZC12" s="0"/>
      <c r="EZD12" s="0"/>
      <c r="EZE12" s="0"/>
      <c r="EZF12" s="0"/>
      <c r="EZG12" s="0"/>
      <c r="EZH12" s="0"/>
      <c r="EZI12" s="0"/>
      <c r="EZJ12" s="0"/>
      <c r="EZK12" s="0"/>
      <c r="EZL12" s="0"/>
      <c r="EZM12" s="0"/>
      <c r="EZN12" s="0"/>
      <c r="EZO12" s="0"/>
      <c r="EZP12" s="0"/>
      <c r="EZQ12" s="0"/>
      <c r="EZR12" s="0"/>
      <c r="EZS12" s="0"/>
      <c r="EZT12" s="0"/>
      <c r="EZU12" s="0"/>
      <c r="EZV12" s="0"/>
      <c r="EZW12" s="0"/>
      <c r="EZX12" s="0"/>
      <c r="EZY12" s="0"/>
      <c r="EZZ12" s="0"/>
      <c r="FAA12" s="0"/>
      <c r="FAB12" s="0"/>
      <c r="FAC12" s="0"/>
      <c r="FAD12" s="0"/>
      <c r="FAE12" s="0"/>
      <c r="FAF12" s="0"/>
      <c r="FAG12" s="0"/>
      <c r="FAH12" s="0"/>
      <c r="FAI12" s="0"/>
      <c r="FAJ12" s="0"/>
      <c r="FAK12" s="0"/>
      <c r="FAL12" s="0"/>
      <c r="FAM12" s="0"/>
      <c r="FAN12" s="0"/>
      <c r="FAO12" s="0"/>
      <c r="FAP12" s="0"/>
      <c r="FAQ12" s="0"/>
      <c r="FAR12" s="0"/>
      <c r="FAS12" s="0"/>
      <c r="FAT12" s="0"/>
      <c r="FAU12" s="0"/>
      <c r="FAV12" s="0"/>
      <c r="FAW12" s="0"/>
      <c r="FAX12" s="0"/>
      <c r="FAY12" s="0"/>
      <c r="FAZ12" s="0"/>
      <c r="FBA12" s="0"/>
      <c r="FBB12" s="0"/>
      <c r="FBC12" s="0"/>
      <c r="FBD12" s="0"/>
      <c r="FBE12" s="0"/>
      <c r="FBF12" s="0"/>
      <c r="FBG12" s="0"/>
      <c r="FBH12" s="0"/>
      <c r="FBI12" s="0"/>
      <c r="FBJ12" s="0"/>
      <c r="FBK12" s="0"/>
      <c r="FBL12" s="0"/>
      <c r="FBM12" s="0"/>
      <c r="FBN12" s="0"/>
      <c r="FBO12" s="0"/>
      <c r="FBP12" s="0"/>
      <c r="FBQ12" s="0"/>
      <c r="FBR12" s="0"/>
      <c r="FBS12" s="0"/>
      <c r="FBT12" s="0"/>
      <c r="FBU12" s="0"/>
      <c r="FBV12" s="0"/>
      <c r="FBW12" s="0"/>
      <c r="FBX12" s="0"/>
      <c r="FBY12" s="0"/>
      <c r="FBZ12" s="0"/>
      <c r="FCA12" s="0"/>
      <c r="FCB12" s="0"/>
      <c r="FCC12" s="0"/>
      <c r="FCD12" s="0"/>
      <c r="FCE12" s="0"/>
      <c r="FCF12" s="0"/>
      <c r="FCG12" s="0"/>
      <c r="FCH12" s="0"/>
      <c r="FCI12" s="0"/>
      <c r="FCJ12" s="0"/>
      <c r="FCK12" s="0"/>
      <c r="FCL12" s="0"/>
      <c r="FCM12" s="0"/>
      <c r="FCN12" s="0"/>
      <c r="FCO12" s="0"/>
      <c r="FCP12" s="0"/>
      <c r="FCQ12" s="0"/>
      <c r="FCR12" s="0"/>
      <c r="FCS12" s="0"/>
      <c r="FCT12" s="0"/>
      <c r="FCU12" s="0"/>
      <c r="FCV12" s="0"/>
      <c r="FCW12" s="0"/>
      <c r="FCX12" s="0"/>
      <c r="FCY12" s="0"/>
      <c r="FCZ12" s="0"/>
      <c r="FDA12" s="0"/>
      <c r="FDB12" s="0"/>
      <c r="FDC12" s="0"/>
      <c r="FDD12" s="0"/>
      <c r="FDE12" s="0"/>
      <c r="FDF12" s="0"/>
      <c r="FDG12" s="0"/>
      <c r="FDH12" s="0"/>
      <c r="FDI12" s="0"/>
      <c r="FDJ12" s="0"/>
      <c r="FDK12" s="0"/>
      <c r="FDL12" s="0"/>
      <c r="FDM12" s="0"/>
      <c r="FDN12" s="0"/>
      <c r="FDO12" s="0"/>
      <c r="FDP12" s="0"/>
      <c r="FDQ12" s="0"/>
      <c r="FDR12" s="0"/>
      <c r="FDS12" s="0"/>
      <c r="FDT12" s="0"/>
      <c r="FDU12" s="0"/>
      <c r="FDV12" s="0"/>
      <c r="FDW12" s="0"/>
      <c r="FDX12" s="0"/>
      <c r="FDY12" s="0"/>
      <c r="FDZ12" s="0"/>
      <c r="FEA12" s="0"/>
      <c r="FEB12" s="0"/>
      <c r="FEC12" s="0"/>
      <c r="FED12" s="0"/>
      <c r="FEE12" s="0"/>
      <c r="FEF12" s="0"/>
      <c r="FEG12" s="0"/>
      <c r="FEH12" s="0"/>
      <c r="FEI12" s="0"/>
      <c r="FEJ12" s="0"/>
      <c r="FEK12" s="0"/>
      <c r="FEL12" s="0"/>
      <c r="FEM12" s="0"/>
      <c r="FEN12" s="0"/>
      <c r="FEO12" s="0"/>
      <c r="FEP12" s="0"/>
      <c r="FEQ12" s="0"/>
      <c r="FER12" s="0"/>
      <c r="FES12" s="0"/>
      <c r="FET12" s="0"/>
      <c r="FEU12" s="0"/>
      <c r="FEV12" s="0"/>
      <c r="FEW12" s="0"/>
      <c r="FEX12" s="0"/>
      <c r="FEY12" s="0"/>
      <c r="FEZ12" s="0"/>
      <c r="FFA12" s="0"/>
      <c r="FFB12" s="0"/>
      <c r="FFC12" s="0"/>
      <c r="FFD12" s="0"/>
      <c r="FFE12" s="0"/>
      <c r="FFF12" s="0"/>
      <c r="FFG12" s="0"/>
      <c r="FFH12" s="0"/>
      <c r="FFI12" s="0"/>
      <c r="FFJ12" s="0"/>
      <c r="FFK12" s="0"/>
      <c r="FFL12" s="0"/>
      <c r="FFM12" s="0"/>
      <c r="FFN12" s="0"/>
      <c r="FFO12" s="0"/>
      <c r="FFP12" s="0"/>
      <c r="FFQ12" s="0"/>
      <c r="FFR12" s="0"/>
      <c r="FFS12" s="0"/>
      <c r="FFT12" s="0"/>
      <c r="FFU12" s="0"/>
      <c r="FFV12" s="0"/>
      <c r="FFW12" s="0"/>
      <c r="FFX12" s="0"/>
      <c r="FFY12" s="0"/>
      <c r="FFZ12" s="0"/>
      <c r="FGA12" s="0"/>
      <c r="FGB12" s="0"/>
      <c r="FGC12" s="0"/>
      <c r="FGD12" s="0"/>
      <c r="FGE12" s="0"/>
      <c r="FGF12" s="0"/>
      <c r="FGG12" s="0"/>
      <c r="FGH12" s="0"/>
      <c r="FGI12" s="0"/>
      <c r="FGJ12" s="0"/>
      <c r="FGK12" s="0"/>
      <c r="FGL12" s="0"/>
      <c r="FGM12" s="0"/>
      <c r="FGN12" s="0"/>
      <c r="FGO12" s="0"/>
      <c r="FGP12" s="0"/>
      <c r="FGQ12" s="0"/>
      <c r="FGR12" s="0"/>
      <c r="FGS12" s="0"/>
      <c r="FGT12" s="0"/>
      <c r="FGU12" s="0"/>
      <c r="FGV12" s="0"/>
      <c r="FGW12" s="0"/>
      <c r="FGX12" s="0"/>
      <c r="FGY12" s="0"/>
      <c r="FGZ12" s="0"/>
      <c r="FHA12" s="0"/>
      <c r="FHB12" s="0"/>
      <c r="FHC12" s="0"/>
      <c r="FHD12" s="0"/>
      <c r="FHE12" s="0"/>
      <c r="FHF12" s="0"/>
      <c r="FHG12" s="0"/>
      <c r="FHH12" s="0"/>
      <c r="FHI12" s="0"/>
      <c r="FHJ12" s="0"/>
      <c r="FHK12" s="0"/>
      <c r="FHL12" s="0"/>
      <c r="FHM12" s="0"/>
      <c r="FHN12" s="0"/>
      <c r="FHO12" s="0"/>
      <c r="FHP12" s="0"/>
      <c r="FHQ12" s="0"/>
      <c r="FHR12" s="0"/>
      <c r="FHS12" s="0"/>
      <c r="FHT12" s="0"/>
      <c r="FHU12" s="0"/>
      <c r="FHV12" s="0"/>
      <c r="FHW12" s="0"/>
      <c r="FHX12" s="0"/>
      <c r="FHY12" s="0"/>
      <c r="FHZ12" s="0"/>
      <c r="FIA12" s="0"/>
      <c r="FIB12" s="0"/>
      <c r="FIC12" s="0"/>
      <c r="FID12" s="0"/>
      <c r="FIE12" s="0"/>
      <c r="FIF12" s="0"/>
      <c r="FIG12" s="0"/>
      <c r="FIH12" s="0"/>
      <c r="FII12" s="0"/>
      <c r="FIJ12" s="0"/>
      <c r="FIK12" s="0"/>
      <c r="FIL12" s="0"/>
      <c r="FIM12" s="0"/>
      <c r="FIN12" s="0"/>
      <c r="FIO12" s="0"/>
      <c r="FIP12" s="0"/>
      <c r="FIQ12" s="0"/>
      <c r="FIR12" s="0"/>
      <c r="FIS12" s="0"/>
      <c r="FIT12" s="0"/>
      <c r="FIU12" s="0"/>
      <c r="FIV12" s="0"/>
      <c r="FIW12" s="0"/>
      <c r="FIX12" s="0"/>
      <c r="FIY12" s="0"/>
      <c r="FIZ12" s="0"/>
      <c r="FJA12" s="0"/>
      <c r="FJB12" s="0"/>
      <c r="FJC12" s="0"/>
      <c r="FJD12" s="0"/>
      <c r="FJE12" s="0"/>
      <c r="FJF12" s="0"/>
      <c r="FJG12" s="0"/>
      <c r="FJH12" s="0"/>
      <c r="FJI12" s="0"/>
      <c r="FJJ12" s="0"/>
      <c r="FJK12" s="0"/>
      <c r="FJL12" s="0"/>
      <c r="FJM12" s="0"/>
      <c r="FJN12" s="0"/>
      <c r="FJO12" s="0"/>
      <c r="FJP12" s="0"/>
      <c r="FJQ12" s="0"/>
      <c r="FJR12" s="0"/>
      <c r="FJS12" s="0"/>
      <c r="FJT12" s="0"/>
      <c r="FJU12" s="0"/>
      <c r="FJV12" s="0"/>
      <c r="FJW12" s="0"/>
      <c r="FJX12" s="0"/>
      <c r="FJY12" s="0"/>
      <c r="FJZ12" s="0"/>
      <c r="FKA12" s="0"/>
      <c r="FKB12" s="0"/>
      <c r="FKC12" s="0"/>
      <c r="FKD12" s="0"/>
      <c r="FKE12" s="0"/>
      <c r="FKF12" s="0"/>
      <c r="FKG12" s="0"/>
      <c r="FKH12" s="0"/>
      <c r="FKI12" s="0"/>
      <c r="FKJ12" s="0"/>
      <c r="FKK12" s="0"/>
      <c r="FKL12" s="0"/>
      <c r="FKM12" s="0"/>
      <c r="FKN12" s="0"/>
      <c r="FKO12" s="0"/>
      <c r="FKP12" s="0"/>
      <c r="FKQ12" s="0"/>
      <c r="FKR12" s="0"/>
      <c r="FKS12" s="0"/>
      <c r="FKT12" s="0"/>
      <c r="FKU12" s="0"/>
      <c r="FKV12" s="0"/>
      <c r="FKW12" s="0"/>
      <c r="FKX12" s="0"/>
      <c r="FKY12" s="0"/>
      <c r="FKZ12" s="0"/>
      <c r="FLA12" s="0"/>
      <c r="FLB12" s="0"/>
      <c r="FLC12" s="0"/>
      <c r="FLD12" s="0"/>
      <c r="FLE12" s="0"/>
      <c r="FLF12" s="0"/>
      <c r="FLG12" s="0"/>
      <c r="FLH12" s="0"/>
      <c r="FLI12" s="0"/>
      <c r="FLJ12" s="0"/>
      <c r="FLK12" s="0"/>
      <c r="FLL12" s="0"/>
      <c r="FLM12" s="0"/>
      <c r="FLN12" s="0"/>
      <c r="FLO12" s="0"/>
      <c r="FLP12" s="0"/>
      <c r="FLQ12" s="0"/>
      <c r="FLR12" s="0"/>
      <c r="FLS12" s="0"/>
      <c r="FLT12" s="0"/>
      <c r="FLU12" s="0"/>
      <c r="FLV12" s="0"/>
      <c r="FLW12" s="0"/>
      <c r="FLX12" s="0"/>
      <c r="FLY12" s="0"/>
      <c r="FLZ12" s="0"/>
      <c r="FMA12" s="0"/>
      <c r="FMB12" s="0"/>
      <c r="FMC12" s="0"/>
      <c r="FMD12" s="0"/>
      <c r="FME12" s="0"/>
      <c r="FMF12" s="0"/>
      <c r="FMG12" s="0"/>
      <c r="FMH12" s="0"/>
      <c r="FMI12" s="0"/>
      <c r="FMJ12" s="0"/>
      <c r="FMK12" s="0"/>
      <c r="FML12" s="0"/>
      <c r="FMM12" s="0"/>
      <c r="FMN12" s="0"/>
      <c r="FMO12" s="0"/>
      <c r="FMP12" s="0"/>
      <c r="FMQ12" s="0"/>
      <c r="FMR12" s="0"/>
      <c r="FMS12" s="0"/>
      <c r="FMT12" s="0"/>
      <c r="FMU12" s="0"/>
      <c r="FMV12" s="0"/>
      <c r="FMW12" s="0"/>
      <c r="FMX12" s="0"/>
      <c r="FMY12" s="0"/>
      <c r="FMZ12" s="0"/>
      <c r="FNA12" s="0"/>
      <c r="FNB12" s="0"/>
      <c r="FNC12" s="0"/>
      <c r="FND12" s="0"/>
      <c r="FNE12" s="0"/>
      <c r="FNF12" s="0"/>
      <c r="FNG12" s="0"/>
      <c r="FNH12" s="0"/>
      <c r="FNI12" s="0"/>
      <c r="FNJ12" s="0"/>
      <c r="FNK12" s="0"/>
      <c r="FNL12" s="0"/>
      <c r="FNM12" s="0"/>
      <c r="FNN12" s="0"/>
      <c r="FNO12" s="0"/>
      <c r="FNP12" s="0"/>
      <c r="FNQ12" s="0"/>
      <c r="FNR12" s="0"/>
      <c r="FNS12" s="0"/>
      <c r="FNT12" s="0"/>
      <c r="FNU12" s="0"/>
      <c r="FNV12" s="0"/>
      <c r="FNW12" s="0"/>
      <c r="FNX12" s="0"/>
      <c r="FNY12" s="0"/>
      <c r="FNZ12" s="0"/>
      <c r="FOA12" s="0"/>
      <c r="FOB12" s="0"/>
      <c r="FOC12" s="0"/>
      <c r="FOD12" s="0"/>
      <c r="FOE12" s="0"/>
      <c r="FOF12" s="0"/>
      <c r="FOG12" s="0"/>
      <c r="FOH12" s="0"/>
      <c r="FOI12" s="0"/>
      <c r="FOJ12" s="0"/>
      <c r="FOK12" s="0"/>
      <c r="FOL12" s="0"/>
      <c r="FOM12" s="0"/>
      <c r="FON12" s="0"/>
      <c r="FOO12" s="0"/>
      <c r="FOP12" s="0"/>
      <c r="FOQ12" s="0"/>
      <c r="FOR12" s="0"/>
      <c r="FOS12" s="0"/>
      <c r="FOT12" s="0"/>
      <c r="FOU12" s="0"/>
      <c r="FOV12" s="0"/>
      <c r="FOW12" s="0"/>
      <c r="FOX12" s="0"/>
      <c r="FOY12" s="0"/>
      <c r="FOZ12" s="0"/>
      <c r="FPA12" s="0"/>
      <c r="FPB12" s="0"/>
      <c r="FPC12" s="0"/>
      <c r="FPD12" s="0"/>
      <c r="FPE12" s="0"/>
      <c r="FPF12" s="0"/>
      <c r="FPG12" s="0"/>
      <c r="FPH12" s="0"/>
      <c r="FPI12" s="0"/>
      <c r="FPJ12" s="0"/>
      <c r="FPK12" s="0"/>
      <c r="FPL12" s="0"/>
      <c r="FPM12" s="0"/>
      <c r="FPN12" s="0"/>
      <c r="FPO12" s="0"/>
      <c r="FPP12" s="0"/>
      <c r="FPQ12" s="0"/>
      <c r="FPR12" s="0"/>
      <c r="FPS12" s="0"/>
      <c r="FPT12" s="0"/>
      <c r="FPU12" s="0"/>
      <c r="FPV12" s="0"/>
      <c r="FPW12" s="0"/>
      <c r="FPX12" s="0"/>
      <c r="FPY12" s="0"/>
      <c r="FPZ12" s="0"/>
      <c r="FQA12" s="0"/>
      <c r="FQB12" s="0"/>
      <c r="FQC12" s="0"/>
      <c r="FQD12" s="0"/>
      <c r="FQE12" s="0"/>
      <c r="FQF12" s="0"/>
      <c r="FQG12" s="0"/>
      <c r="FQH12" s="0"/>
      <c r="FQI12" s="0"/>
      <c r="FQJ12" s="0"/>
      <c r="FQK12" s="0"/>
      <c r="FQL12" s="0"/>
      <c r="FQM12" s="0"/>
      <c r="FQN12" s="0"/>
      <c r="FQO12" s="0"/>
      <c r="FQP12" s="0"/>
      <c r="FQQ12" s="0"/>
      <c r="FQR12" s="0"/>
      <c r="FQS12" s="0"/>
      <c r="FQT12" s="0"/>
      <c r="FQU12" s="0"/>
      <c r="FQV12" s="0"/>
      <c r="FQW12" s="0"/>
      <c r="FQX12" s="0"/>
      <c r="FQY12" s="0"/>
      <c r="FQZ12" s="0"/>
      <c r="FRA12" s="0"/>
      <c r="FRB12" s="0"/>
      <c r="FRC12" s="0"/>
      <c r="FRD12" s="0"/>
      <c r="FRE12" s="0"/>
      <c r="FRF12" s="0"/>
      <c r="FRG12" s="0"/>
      <c r="FRH12" s="0"/>
      <c r="FRI12" s="0"/>
      <c r="FRJ12" s="0"/>
      <c r="FRK12" s="0"/>
      <c r="FRL12" s="0"/>
      <c r="FRM12" s="0"/>
      <c r="FRN12" s="0"/>
      <c r="FRO12" s="0"/>
      <c r="FRP12" s="0"/>
      <c r="FRQ12" s="0"/>
      <c r="FRR12" s="0"/>
      <c r="FRS12" s="0"/>
      <c r="FRT12" s="0"/>
      <c r="FRU12" s="0"/>
      <c r="FRV12" s="0"/>
      <c r="FRW12" s="0"/>
      <c r="FRX12" s="0"/>
      <c r="FRY12" s="0"/>
      <c r="FRZ12" s="0"/>
      <c r="FSA12" s="0"/>
      <c r="FSB12" s="0"/>
      <c r="FSC12" s="0"/>
      <c r="FSD12" s="0"/>
      <c r="FSE12" s="0"/>
      <c r="FSF12" s="0"/>
      <c r="FSG12" s="0"/>
      <c r="FSH12" s="0"/>
      <c r="FSI12" s="0"/>
      <c r="FSJ12" s="0"/>
      <c r="FSK12" s="0"/>
      <c r="FSL12" s="0"/>
      <c r="FSM12" s="0"/>
      <c r="FSN12" s="0"/>
      <c r="FSO12" s="0"/>
      <c r="FSP12" s="0"/>
      <c r="FSQ12" s="0"/>
      <c r="FSR12" s="0"/>
      <c r="FSS12" s="0"/>
      <c r="FST12" s="0"/>
      <c r="FSU12" s="0"/>
      <c r="FSV12" s="0"/>
      <c r="FSW12" s="0"/>
      <c r="FSX12" s="0"/>
      <c r="FSY12" s="0"/>
      <c r="FSZ12" s="0"/>
      <c r="FTA12" s="0"/>
      <c r="FTB12" s="0"/>
      <c r="FTC12" s="0"/>
      <c r="FTD12" s="0"/>
      <c r="FTE12" s="0"/>
      <c r="FTF12" s="0"/>
      <c r="FTG12" s="0"/>
      <c r="FTH12" s="0"/>
      <c r="FTI12" s="0"/>
      <c r="FTJ12" s="0"/>
      <c r="FTK12" s="0"/>
      <c r="FTL12" s="0"/>
      <c r="FTM12" s="0"/>
      <c r="FTN12" s="0"/>
      <c r="FTO12" s="0"/>
      <c r="FTP12" s="0"/>
      <c r="FTQ12" s="0"/>
      <c r="FTR12" s="0"/>
      <c r="FTS12" s="0"/>
      <c r="FTT12" s="0"/>
      <c r="FTU12" s="0"/>
      <c r="FTV12" s="0"/>
      <c r="FTW12" s="0"/>
      <c r="FTX12" s="0"/>
      <c r="FTY12" s="0"/>
      <c r="FTZ12" s="0"/>
      <c r="FUA12" s="0"/>
      <c r="FUB12" s="0"/>
      <c r="FUC12" s="0"/>
      <c r="FUD12" s="0"/>
      <c r="FUE12" s="0"/>
      <c r="FUF12" s="0"/>
      <c r="FUG12" s="0"/>
      <c r="FUH12" s="0"/>
      <c r="FUI12" s="0"/>
      <c r="FUJ12" s="0"/>
      <c r="FUK12" s="0"/>
      <c r="FUL12" s="0"/>
      <c r="FUM12" s="0"/>
      <c r="FUN12" s="0"/>
      <c r="FUO12" s="0"/>
      <c r="FUP12" s="0"/>
      <c r="FUQ12" s="0"/>
      <c r="FUR12" s="0"/>
      <c r="FUS12" s="0"/>
      <c r="FUT12" s="0"/>
      <c r="FUU12" s="0"/>
      <c r="FUV12" s="0"/>
      <c r="FUW12" s="0"/>
      <c r="FUX12" s="0"/>
      <c r="FUY12" s="0"/>
      <c r="FUZ12" s="0"/>
      <c r="FVA12" s="0"/>
      <c r="FVB12" s="0"/>
      <c r="FVC12" s="0"/>
      <c r="FVD12" s="0"/>
      <c r="FVE12" s="0"/>
      <c r="FVF12" s="0"/>
      <c r="FVG12" s="0"/>
      <c r="FVH12" s="0"/>
      <c r="FVI12" s="0"/>
      <c r="FVJ12" s="0"/>
      <c r="FVK12" s="0"/>
      <c r="FVL12" s="0"/>
      <c r="FVM12" s="0"/>
      <c r="FVN12" s="0"/>
      <c r="FVO12" s="0"/>
      <c r="FVP12" s="0"/>
      <c r="FVQ12" s="0"/>
      <c r="FVR12" s="0"/>
      <c r="FVS12" s="0"/>
      <c r="FVT12" s="0"/>
      <c r="FVU12" s="0"/>
      <c r="FVV12" s="0"/>
      <c r="FVW12" s="0"/>
      <c r="FVX12" s="0"/>
      <c r="FVY12" s="0"/>
      <c r="FVZ12" s="0"/>
      <c r="FWA12" s="0"/>
      <c r="FWB12" s="0"/>
      <c r="FWC12" s="0"/>
      <c r="FWD12" s="0"/>
      <c r="FWE12" s="0"/>
      <c r="FWF12" s="0"/>
      <c r="FWG12" s="0"/>
      <c r="FWH12" s="0"/>
      <c r="FWI12" s="0"/>
      <c r="FWJ12" s="0"/>
      <c r="FWK12" s="0"/>
      <c r="FWL12" s="0"/>
      <c r="FWM12" s="0"/>
      <c r="FWN12" s="0"/>
      <c r="FWO12" s="0"/>
      <c r="FWP12" s="0"/>
      <c r="FWQ12" s="0"/>
      <c r="FWR12" s="0"/>
      <c r="FWS12" s="0"/>
      <c r="FWT12" s="0"/>
      <c r="FWU12" s="0"/>
      <c r="FWV12" s="0"/>
      <c r="FWW12" s="0"/>
      <c r="FWX12" s="0"/>
      <c r="FWY12" s="0"/>
      <c r="FWZ12" s="0"/>
      <c r="FXA12" s="0"/>
      <c r="FXB12" s="0"/>
      <c r="FXC12" s="0"/>
      <c r="FXD12" s="0"/>
      <c r="FXE12" s="0"/>
      <c r="FXF12" s="0"/>
      <c r="FXG12" s="0"/>
      <c r="FXH12" s="0"/>
      <c r="FXI12" s="0"/>
      <c r="FXJ12" s="0"/>
      <c r="FXK12" s="0"/>
      <c r="FXL12" s="0"/>
      <c r="FXM12" s="0"/>
      <c r="FXN12" s="0"/>
      <c r="FXO12" s="0"/>
      <c r="FXP12" s="0"/>
      <c r="FXQ12" s="0"/>
      <c r="FXR12" s="0"/>
      <c r="FXS12" s="0"/>
      <c r="FXT12" s="0"/>
      <c r="FXU12" s="0"/>
      <c r="FXV12" s="0"/>
      <c r="FXW12" s="0"/>
      <c r="FXX12" s="0"/>
      <c r="FXY12" s="0"/>
      <c r="FXZ12" s="0"/>
      <c r="FYA12" s="0"/>
      <c r="FYB12" s="0"/>
      <c r="FYC12" s="0"/>
      <c r="FYD12" s="0"/>
      <c r="FYE12" s="0"/>
      <c r="FYF12" s="0"/>
      <c r="FYG12" s="0"/>
      <c r="FYH12" s="0"/>
      <c r="FYI12" s="0"/>
      <c r="FYJ12" s="0"/>
      <c r="FYK12" s="0"/>
      <c r="FYL12" s="0"/>
      <c r="FYM12" s="0"/>
      <c r="FYN12" s="0"/>
      <c r="FYO12" s="0"/>
      <c r="FYP12" s="0"/>
      <c r="FYQ12" s="0"/>
      <c r="FYR12" s="0"/>
      <c r="FYS12" s="0"/>
      <c r="FYT12" s="0"/>
      <c r="FYU12" s="0"/>
      <c r="FYV12" s="0"/>
      <c r="FYW12" s="0"/>
      <c r="FYX12" s="0"/>
      <c r="FYY12" s="0"/>
      <c r="FYZ12" s="0"/>
      <c r="FZA12" s="0"/>
      <c r="FZB12" s="0"/>
      <c r="FZC12" s="0"/>
      <c r="FZD12" s="0"/>
      <c r="FZE12" s="0"/>
      <c r="FZF12" s="0"/>
      <c r="FZG12" s="0"/>
      <c r="FZH12" s="0"/>
      <c r="FZI12" s="0"/>
      <c r="FZJ12" s="0"/>
      <c r="FZK12" s="0"/>
      <c r="FZL12" s="0"/>
      <c r="FZM12" s="0"/>
      <c r="FZN12" s="0"/>
      <c r="FZO12" s="0"/>
      <c r="FZP12" s="0"/>
      <c r="FZQ12" s="0"/>
      <c r="FZR12" s="0"/>
      <c r="FZS12" s="0"/>
      <c r="FZT12" s="0"/>
      <c r="FZU12" s="0"/>
      <c r="FZV12" s="0"/>
      <c r="FZW12" s="0"/>
      <c r="FZX12" s="0"/>
      <c r="FZY12" s="0"/>
      <c r="FZZ12" s="0"/>
      <c r="GAA12" s="0"/>
      <c r="GAB12" s="0"/>
      <c r="GAC12" s="0"/>
      <c r="GAD12" s="0"/>
      <c r="GAE12" s="0"/>
      <c r="GAF12" s="0"/>
      <c r="GAG12" s="0"/>
      <c r="GAH12" s="0"/>
      <c r="GAI12" s="0"/>
      <c r="GAJ12" s="0"/>
      <c r="GAK12" s="0"/>
      <c r="GAL12" s="0"/>
      <c r="GAM12" s="0"/>
      <c r="GAN12" s="0"/>
      <c r="GAO12" s="0"/>
      <c r="GAP12" s="0"/>
      <c r="GAQ12" s="0"/>
      <c r="GAR12" s="0"/>
      <c r="GAS12" s="0"/>
      <c r="GAT12" s="0"/>
      <c r="GAU12" s="0"/>
      <c r="GAV12" s="0"/>
      <c r="GAW12" s="0"/>
      <c r="GAX12" s="0"/>
      <c r="GAY12" s="0"/>
      <c r="GAZ12" s="0"/>
      <c r="GBA12" s="0"/>
      <c r="GBB12" s="0"/>
      <c r="GBC12" s="0"/>
      <c r="GBD12" s="0"/>
      <c r="GBE12" s="0"/>
      <c r="GBF12" s="0"/>
      <c r="GBG12" s="0"/>
      <c r="GBH12" s="0"/>
      <c r="GBI12" s="0"/>
      <c r="GBJ12" s="0"/>
      <c r="GBK12" s="0"/>
      <c r="GBL12" s="0"/>
      <c r="GBM12" s="0"/>
      <c r="GBN12" s="0"/>
      <c r="GBO12" s="0"/>
      <c r="GBP12" s="0"/>
      <c r="GBQ12" s="0"/>
      <c r="GBR12" s="0"/>
      <c r="GBS12" s="0"/>
      <c r="GBT12" s="0"/>
      <c r="GBU12" s="0"/>
      <c r="GBV12" s="0"/>
      <c r="GBW12" s="0"/>
      <c r="GBX12" s="0"/>
      <c r="GBY12" s="0"/>
      <c r="GBZ12" s="0"/>
      <c r="GCA12" s="0"/>
      <c r="GCB12" s="0"/>
      <c r="GCC12" s="0"/>
      <c r="GCD12" s="0"/>
      <c r="GCE12" s="0"/>
      <c r="GCF12" s="0"/>
      <c r="GCG12" s="0"/>
      <c r="GCH12" s="0"/>
      <c r="GCI12" s="0"/>
      <c r="GCJ12" s="0"/>
      <c r="GCK12" s="0"/>
      <c r="GCL12" s="0"/>
      <c r="GCM12" s="0"/>
      <c r="GCN12" s="0"/>
      <c r="GCO12" s="0"/>
      <c r="GCP12" s="0"/>
      <c r="GCQ12" s="0"/>
      <c r="GCR12" s="0"/>
      <c r="GCS12" s="0"/>
      <c r="GCT12" s="0"/>
      <c r="GCU12" s="0"/>
      <c r="GCV12" s="0"/>
      <c r="GCW12" s="0"/>
      <c r="GCX12" s="0"/>
      <c r="GCY12" s="0"/>
      <c r="GCZ12" s="0"/>
      <c r="GDA12" s="0"/>
      <c r="GDB12" s="0"/>
      <c r="GDC12" s="0"/>
      <c r="GDD12" s="0"/>
      <c r="GDE12" s="0"/>
      <c r="GDF12" s="0"/>
      <c r="GDG12" s="0"/>
      <c r="GDH12" s="0"/>
      <c r="GDI12" s="0"/>
      <c r="GDJ12" s="0"/>
      <c r="GDK12" s="0"/>
      <c r="GDL12" s="0"/>
      <c r="GDM12" s="0"/>
      <c r="GDN12" s="0"/>
      <c r="GDO12" s="0"/>
      <c r="GDP12" s="0"/>
      <c r="GDQ12" s="0"/>
      <c r="GDR12" s="0"/>
      <c r="GDS12" s="0"/>
      <c r="GDT12" s="0"/>
      <c r="GDU12" s="0"/>
      <c r="GDV12" s="0"/>
      <c r="GDW12" s="0"/>
      <c r="GDX12" s="0"/>
      <c r="GDY12" s="0"/>
      <c r="GDZ12" s="0"/>
      <c r="GEA12" s="0"/>
      <c r="GEB12" s="0"/>
      <c r="GEC12" s="0"/>
      <c r="GED12" s="0"/>
      <c r="GEE12" s="0"/>
      <c r="GEF12" s="0"/>
      <c r="GEG12" s="0"/>
      <c r="GEH12" s="0"/>
      <c r="GEI12" s="0"/>
      <c r="GEJ12" s="0"/>
      <c r="GEK12" s="0"/>
      <c r="GEL12" s="0"/>
      <c r="GEM12" s="0"/>
      <c r="GEN12" s="0"/>
      <c r="GEO12" s="0"/>
      <c r="GEP12" s="0"/>
      <c r="GEQ12" s="0"/>
      <c r="GER12" s="0"/>
      <c r="GES12" s="0"/>
      <c r="GET12" s="0"/>
      <c r="GEU12" s="0"/>
      <c r="GEV12" s="0"/>
      <c r="GEW12" s="0"/>
      <c r="GEX12" s="0"/>
      <c r="GEY12" s="0"/>
      <c r="GEZ12" s="0"/>
      <c r="GFA12" s="0"/>
      <c r="GFB12" s="0"/>
      <c r="GFC12" s="0"/>
      <c r="GFD12" s="0"/>
      <c r="GFE12" s="0"/>
      <c r="GFF12" s="0"/>
      <c r="GFG12" s="0"/>
      <c r="GFH12" s="0"/>
      <c r="GFI12" s="0"/>
      <c r="GFJ12" s="0"/>
      <c r="GFK12" s="0"/>
      <c r="GFL12" s="0"/>
      <c r="GFM12" s="0"/>
      <c r="GFN12" s="0"/>
      <c r="GFO12" s="0"/>
      <c r="GFP12" s="0"/>
      <c r="GFQ12" s="0"/>
      <c r="GFR12" s="0"/>
      <c r="GFS12" s="0"/>
      <c r="GFT12" s="0"/>
      <c r="GFU12" s="0"/>
      <c r="GFV12" s="0"/>
      <c r="GFW12" s="0"/>
      <c r="GFX12" s="0"/>
      <c r="GFY12" s="0"/>
      <c r="GFZ12" s="0"/>
      <c r="GGA12" s="0"/>
      <c r="GGB12" s="0"/>
      <c r="GGC12" s="0"/>
      <c r="GGD12" s="0"/>
      <c r="GGE12" s="0"/>
      <c r="GGF12" s="0"/>
      <c r="GGG12" s="0"/>
      <c r="GGH12" s="0"/>
      <c r="GGI12" s="0"/>
      <c r="GGJ12" s="0"/>
      <c r="GGK12" s="0"/>
      <c r="GGL12" s="0"/>
      <c r="GGM12" s="0"/>
      <c r="GGN12" s="0"/>
      <c r="GGO12" s="0"/>
      <c r="GGP12" s="0"/>
      <c r="GGQ12" s="0"/>
      <c r="GGR12" s="0"/>
      <c r="GGS12" s="0"/>
      <c r="GGT12" s="0"/>
      <c r="GGU12" s="0"/>
      <c r="GGV12" s="0"/>
      <c r="GGW12" s="0"/>
      <c r="GGX12" s="0"/>
      <c r="GGY12" s="0"/>
      <c r="GGZ12" s="0"/>
      <c r="GHA12" s="0"/>
      <c r="GHB12" s="0"/>
      <c r="GHC12" s="0"/>
      <c r="GHD12" s="0"/>
      <c r="GHE12" s="0"/>
      <c r="GHF12" s="0"/>
      <c r="GHG12" s="0"/>
      <c r="GHH12" s="0"/>
      <c r="GHI12" s="0"/>
      <c r="GHJ12" s="0"/>
      <c r="GHK12" s="0"/>
      <c r="GHL12" s="0"/>
      <c r="GHM12" s="0"/>
      <c r="GHN12" s="0"/>
      <c r="GHO12" s="0"/>
      <c r="GHP12" s="0"/>
      <c r="GHQ12" s="0"/>
      <c r="GHR12" s="0"/>
      <c r="GHS12" s="0"/>
      <c r="GHT12" s="0"/>
      <c r="GHU12" s="0"/>
      <c r="GHV12" s="0"/>
      <c r="GHW12" s="0"/>
      <c r="GHX12" s="0"/>
      <c r="GHY12" s="0"/>
      <c r="GHZ12" s="0"/>
      <c r="GIA12" s="0"/>
      <c r="GIB12" s="0"/>
      <c r="GIC12" s="0"/>
      <c r="GID12" s="0"/>
      <c r="GIE12" s="0"/>
      <c r="GIF12" s="0"/>
      <c r="GIG12" s="0"/>
      <c r="GIH12" s="0"/>
      <c r="GII12" s="0"/>
      <c r="GIJ12" s="0"/>
      <c r="GIK12" s="0"/>
      <c r="GIL12" s="0"/>
      <c r="GIM12" s="0"/>
      <c r="GIN12" s="0"/>
      <c r="GIO12" s="0"/>
      <c r="GIP12" s="0"/>
      <c r="GIQ12" s="0"/>
      <c r="GIR12" s="0"/>
      <c r="GIS12" s="0"/>
      <c r="GIT12" s="0"/>
      <c r="GIU12" s="0"/>
      <c r="GIV12" s="0"/>
      <c r="GIW12" s="0"/>
      <c r="GIX12" s="0"/>
      <c r="GIY12" s="0"/>
      <c r="GIZ12" s="0"/>
      <c r="GJA12" s="0"/>
      <c r="GJB12" s="0"/>
      <c r="GJC12" s="0"/>
      <c r="GJD12" s="0"/>
      <c r="GJE12" s="0"/>
      <c r="GJF12" s="0"/>
      <c r="GJG12" s="0"/>
      <c r="GJH12" s="0"/>
      <c r="GJI12" s="0"/>
      <c r="GJJ12" s="0"/>
      <c r="GJK12" s="0"/>
      <c r="GJL12" s="0"/>
      <c r="GJM12" s="0"/>
      <c r="GJN12" s="0"/>
      <c r="GJO12" s="0"/>
      <c r="GJP12" s="0"/>
      <c r="GJQ12" s="0"/>
      <c r="GJR12" s="0"/>
      <c r="GJS12" s="0"/>
      <c r="GJT12" s="0"/>
      <c r="GJU12" s="0"/>
      <c r="GJV12" s="0"/>
      <c r="GJW12" s="0"/>
      <c r="GJX12" s="0"/>
      <c r="GJY12" s="0"/>
      <c r="GJZ12" s="0"/>
      <c r="GKA12" s="0"/>
      <c r="GKB12" s="0"/>
      <c r="GKC12" s="0"/>
      <c r="GKD12" s="0"/>
      <c r="GKE12" s="0"/>
      <c r="GKF12" s="0"/>
      <c r="GKG12" s="0"/>
      <c r="GKH12" s="0"/>
      <c r="GKI12" s="0"/>
      <c r="GKJ12" s="0"/>
      <c r="GKK12" s="0"/>
      <c r="GKL12" s="0"/>
      <c r="GKM12" s="0"/>
      <c r="GKN12" s="0"/>
      <c r="GKO12" s="0"/>
      <c r="GKP12" s="0"/>
      <c r="GKQ12" s="0"/>
      <c r="GKR12" s="0"/>
      <c r="GKS12" s="0"/>
      <c r="GKT12" s="0"/>
      <c r="GKU12" s="0"/>
      <c r="GKV12" s="0"/>
      <c r="GKW12" s="0"/>
      <c r="GKX12" s="0"/>
      <c r="GKY12" s="0"/>
      <c r="GKZ12" s="0"/>
      <c r="GLA12" s="0"/>
      <c r="GLB12" s="0"/>
      <c r="GLC12" s="0"/>
      <c r="GLD12" s="0"/>
      <c r="GLE12" s="0"/>
      <c r="GLF12" s="0"/>
      <c r="GLG12" s="0"/>
      <c r="GLH12" s="0"/>
      <c r="GLI12" s="0"/>
      <c r="GLJ12" s="0"/>
      <c r="GLK12" s="0"/>
      <c r="GLL12" s="0"/>
      <c r="GLM12" s="0"/>
      <c r="GLN12" s="0"/>
      <c r="GLO12" s="0"/>
      <c r="GLP12" s="0"/>
      <c r="GLQ12" s="0"/>
      <c r="GLR12" s="0"/>
      <c r="GLS12" s="0"/>
      <c r="GLT12" s="0"/>
      <c r="GLU12" s="0"/>
      <c r="GLV12" s="0"/>
      <c r="GLW12" s="0"/>
      <c r="GLX12" s="0"/>
      <c r="GLY12" s="0"/>
      <c r="GLZ12" s="0"/>
      <c r="GMA12" s="0"/>
      <c r="GMB12" s="0"/>
      <c r="GMC12" s="0"/>
      <c r="GMD12" s="0"/>
      <c r="GME12" s="0"/>
      <c r="GMF12" s="0"/>
      <c r="GMG12" s="0"/>
      <c r="GMH12" s="0"/>
      <c r="GMI12" s="0"/>
      <c r="GMJ12" s="0"/>
      <c r="GMK12" s="0"/>
      <c r="GML12" s="0"/>
      <c r="GMM12" s="0"/>
      <c r="GMN12" s="0"/>
      <c r="GMO12" s="0"/>
      <c r="GMP12" s="0"/>
      <c r="GMQ12" s="0"/>
      <c r="GMR12" s="0"/>
      <c r="GMS12" s="0"/>
      <c r="GMT12" s="0"/>
      <c r="GMU12" s="0"/>
      <c r="GMV12" s="0"/>
      <c r="GMW12" s="0"/>
      <c r="GMX12" s="0"/>
      <c r="GMY12" s="0"/>
      <c r="GMZ12" s="0"/>
      <c r="GNA12" s="0"/>
      <c r="GNB12" s="0"/>
      <c r="GNC12" s="0"/>
      <c r="GND12" s="0"/>
      <c r="GNE12" s="0"/>
      <c r="GNF12" s="0"/>
      <c r="GNG12" s="0"/>
      <c r="GNH12" s="0"/>
      <c r="GNI12" s="0"/>
      <c r="GNJ12" s="0"/>
      <c r="GNK12" s="0"/>
      <c r="GNL12" s="0"/>
      <c r="GNM12" s="0"/>
      <c r="GNN12" s="0"/>
      <c r="GNO12" s="0"/>
      <c r="GNP12" s="0"/>
      <c r="GNQ12" s="0"/>
      <c r="GNR12" s="0"/>
      <c r="GNS12" s="0"/>
      <c r="GNT12" s="0"/>
      <c r="GNU12" s="0"/>
      <c r="GNV12" s="0"/>
      <c r="GNW12" s="0"/>
      <c r="GNX12" s="0"/>
      <c r="GNY12" s="0"/>
      <c r="GNZ12" s="0"/>
      <c r="GOA12" s="0"/>
      <c r="GOB12" s="0"/>
      <c r="GOC12" s="0"/>
      <c r="GOD12" s="0"/>
      <c r="GOE12" s="0"/>
      <c r="GOF12" s="0"/>
      <c r="GOG12" s="0"/>
      <c r="GOH12" s="0"/>
      <c r="GOI12" s="0"/>
      <c r="GOJ12" s="0"/>
      <c r="GOK12" s="0"/>
      <c r="GOL12" s="0"/>
      <c r="GOM12" s="0"/>
      <c r="GON12" s="0"/>
      <c r="GOO12" s="0"/>
      <c r="GOP12" s="0"/>
      <c r="GOQ12" s="0"/>
      <c r="GOR12" s="0"/>
      <c r="GOS12" s="0"/>
      <c r="GOT12" s="0"/>
      <c r="GOU12" s="0"/>
      <c r="GOV12" s="0"/>
      <c r="GOW12" s="0"/>
      <c r="GOX12" s="0"/>
      <c r="GOY12" s="0"/>
      <c r="GOZ12" s="0"/>
      <c r="GPA12" s="0"/>
      <c r="GPB12" s="0"/>
      <c r="GPC12" s="0"/>
      <c r="GPD12" s="0"/>
      <c r="GPE12" s="0"/>
      <c r="GPF12" s="0"/>
      <c r="GPG12" s="0"/>
      <c r="GPH12" s="0"/>
      <c r="GPI12" s="0"/>
      <c r="GPJ12" s="0"/>
      <c r="GPK12" s="0"/>
      <c r="GPL12" s="0"/>
      <c r="GPM12" s="0"/>
      <c r="GPN12" s="0"/>
      <c r="GPO12" s="0"/>
      <c r="GPP12" s="0"/>
      <c r="GPQ12" s="0"/>
      <c r="GPR12" s="0"/>
      <c r="GPS12" s="0"/>
      <c r="GPT12" s="0"/>
      <c r="GPU12" s="0"/>
      <c r="GPV12" s="0"/>
      <c r="GPW12" s="0"/>
      <c r="GPX12" s="0"/>
      <c r="GPY12" s="0"/>
      <c r="GPZ12" s="0"/>
      <c r="GQA12" s="0"/>
      <c r="GQB12" s="0"/>
      <c r="GQC12" s="0"/>
      <c r="GQD12" s="0"/>
      <c r="GQE12" s="0"/>
      <c r="GQF12" s="0"/>
      <c r="GQG12" s="0"/>
      <c r="GQH12" s="0"/>
      <c r="GQI12" s="0"/>
      <c r="GQJ12" s="0"/>
      <c r="GQK12" s="0"/>
      <c r="GQL12" s="0"/>
      <c r="GQM12" s="0"/>
      <c r="GQN12" s="0"/>
      <c r="GQO12" s="0"/>
      <c r="GQP12" s="0"/>
      <c r="GQQ12" s="0"/>
      <c r="GQR12" s="0"/>
      <c r="GQS12" s="0"/>
      <c r="GQT12" s="0"/>
      <c r="GQU12" s="0"/>
      <c r="GQV12" s="0"/>
      <c r="GQW12" s="0"/>
      <c r="GQX12" s="0"/>
      <c r="GQY12" s="0"/>
      <c r="GQZ12" s="0"/>
      <c r="GRA12" s="0"/>
      <c r="GRB12" s="0"/>
      <c r="GRC12" s="0"/>
      <c r="GRD12" s="0"/>
      <c r="GRE12" s="0"/>
      <c r="GRF12" s="0"/>
      <c r="GRG12" s="0"/>
      <c r="GRH12" s="0"/>
      <c r="GRI12" s="0"/>
      <c r="GRJ12" s="0"/>
      <c r="GRK12" s="0"/>
      <c r="GRL12" s="0"/>
      <c r="GRM12" s="0"/>
      <c r="GRN12" s="0"/>
      <c r="GRO12" s="0"/>
      <c r="GRP12" s="0"/>
      <c r="GRQ12" s="0"/>
      <c r="GRR12" s="0"/>
      <c r="GRS12" s="0"/>
      <c r="GRT12" s="0"/>
      <c r="GRU12" s="0"/>
      <c r="GRV12" s="0"/>
      <c r="GRW12" s="0"/>
      <c r="GRX12" s="0"/>
      <c r="GRY12" s="0"/>
      <c r="GRZ12" s="0"/>
      <c r="GSA12" s="0"/>
      <c r="GSB12" s="0"/>
      <c r="GSC12" s="0"/>
      <c r="GSD12" s="0"/>
      <c r="GSE12" s="0"/>
      <c r="GSF12" s="0"/>
      <c r="GSG12" s="0"/>
      <c r="GSH12" s="0"/>
      <c r="GSI12" s="0"/>
      <c r="GSJ12" s="0"/>
      <c r="GSK12" s="0"/>
      <c r="GSL12" s="0"/>
      <c r="GSM12" s="0"/>
      <c r="GSN12" s="0"/>
      <c r="GSO12" s="0"/>
      <c r="GSP12" s="0"/>
      <c r="GSQ12" s="0"/>
      <c r="GSR12" s="0"/>
      <c r="GSS12" s="0"/>
      <c r="GST12" s="0"/>
      <c r="GSU12" s="0"/>
      <c r="GSV12" s="0"/>
      <c r="GSW12" s="0"/>
      <c r="GSX12" s="0"/>
      <c r="GSY12" s="0"/>
      <c r="GSZ12" s="0"/>
      <c r="GTA12" s="0"/>
      <c r="GTB12" s="0"/>
      <c r="GTC12" s="0"/>
      <c r="GTD12" s="0"/>
      <c r="GTE12" s="0"/>
      <c r="GTF12" s="0"/>
      <c r="GTG12" s="0"/>
      <c r="GTH12" s="0"/>
      <c r="GTI12" s="0"/>
      <c r="GTJ12" s="0"/>
      <c r="GTK12" s="0"/>
      <c r="GTL12" s="0"/>
      <c r="GTM12" s="0"/>
      <c r="GTN12" s="0"/>
      <c r="GTO12" s="0"/>
      <c r="GTP12" s="0"/>
      <c r="GTQ12" s="0"/>
      <c r="GTR12" s="0"/>
      <c r="GTS12" s="0"/>
      <c r="GTT12" s="0"/>
      <c r="GTU12" s="0"/>
      <c r="GTV12" s="0"/>
      <c r="GTW12" s="0"/>
      <c r="GTX12" s="0"/>
      <c r="GTY12" s="0"/>
      <c r="GTZ12" s="0"/>
      <c r="GUA12" s="0"/>
      <c r="GUB12" s="0"/>
      <c r="GUC12" s="0"/>
      <c r="GUD12" s="0"/>
      <c r="GUE12" s="0"/>
      <c r="GUF12" s="0"/>
      <c r="GUG12" s="0"/>
      <c r="GUH12" s="0"/>
      <c r="GUI12" s="0"/>
      <c r="GUJ12" s="0"/>
      <c r="GUK12" s="0"/>
      <c r="GUL12" s="0"/>
      <c r="GUM12" s="0"/>
      <c r="GUN12" s="0"/>
      <c r="GUO12" s="0"/>
      <c r="GUP12" s="0"/>
      <c r="GUQ12" s="0"/>
      <c r="GUR12" s="0"/>
      <c r="GUS12" s="0"/>
      <c r="GUT12" s="0"/>
      <c r="GUU12" s="0"/>
      <c r="GUV12" s="0"/>
      <c r="GUW12" s="0"/>
      <c r="GUX12" s="0"/>
      <c r="GUY12" s="0"/>
      <c r="GUZ12" s="0"/>
      <c r="GVA12" s="0"/>
      <c r="GVB12" s="0"/>
      <c r="GVC12" s="0"/>
      <c r="GVD12" s="0"/>
      <c r="GVE12" s="0"/>
      <c r="GVF12" s="0"/>
      <c r="GVG12" s="0"/>
      <c r="GVH12" s="0"/>
      <c r="GVI12" s="0"/>
      <c r="GVJ12" s="0"/>
      <c r="GVK12" s="0"/>
      <c r="GVL12" s="0"/>
      <c r="GVM12" s="0"/>
      <c r="GVN12" s="0"/>
      <c r="GVO12" s="0"/>
      <c r="GVP12" s="0"/>
      <c r="GVQ12" s="0"/>
      <c r="GVR12" s="0"/>
      <c r="GVS12" s="0"/>
      <c r="GVT12" s="0"/>
      <c r="GVU12" s="0"/>
      <c r="GVV12" s="0"/>
      <c r="GVW12" s="0"/>
      <c r="GVX12" s="0"/>
      <c r="GVY12" s="0"/>
      <c r="GVZ12" s="0"/>
      <c r="GWA12" s="0"/>
      <c r="GWB12" s="0"/>
      <c r="GWC12" s="0"/>
      <c r="GWD12" s="0"/>
      <c r="GWE12" s="0"/>
      <c r="GWF12" s="0"/>
      <c r="GWG12" s="0"/>
      <c r="GWH12" s="0"/>
      <c r="GWI12" s="0"/>
      <c r="GWJ12" s="0"/>
      <c r="GWK12" s="0"/>
      <c r="GWL12" s="0"/>
      <c r="GWM12" s="0"/>
      <c r="GWN12" s="0"/>
      <c r="GWO12" s="0"/>
      <c r="GWP12" s="0"/>
      <c r="GWQ12" s="0"/>
      <c r="GWR12" s="0"/>
      <c r="GWS12" s="0"/>
      <c r="GWT12" s="0"/>
      <c r="GWU12" s="0"/>
      <c r="GWV12" s="0"/>
      <c r="GWW12" s="0"/>
      <c r="GWX12" s="0"/>
      <c r="GWY12" s="0"/>
      <c r="GWZ12" s="0"/>
      <c r="GXA12" s="0"/>
      <c r="GXB12" s="0"/>
      <c r="GXC12" s="0"/>
      <c r="GXD12" s="0"/>
      <c r="GXE12" s="0"/>
      <c r="GXF12" s="0"/>
      <c r="GXG12" s="0"/>
      <c r="GXH12" s="0"/>
      <c r="GXI12" s="0"/>
      <c r="GXJ12" s="0"/>
      <c r="GXK12" s="0"/>
      <c r="GXL12" s="0"/>
      <c r="GXM12" s="0"/>
      <c r="GXN12" s="0"/>
      <c r="GXO12" s="0"/>
      <c r="GXP12" s="0"/>
      <c r="GXQ12" s="0"/>
      <c r="GXR12" s="0"/>
      <c r="GXS12" s="0"/>
      <c r="GXT12" s="0"/>
      <c r="GXU12" s="0"/>
      <c r="GXV12" s="0"/>
      <c r="GXW12" s="0"/>
      <c r="GXX12" s="0"/>
      <c r="GXY12" s="0"/>
      <c r="GXZ12" s="0"/>
      <c r="GYA12" s="0"/>
      <c r="GYB12" s="0"/>
      <c r="GYC12" s="0"/>
      <c r="GYD12" s="0"/>
      <c r="GYE12" s="0"/>
      <c r="GYF12" s="0"/>
      <c r="GYG12" s="0"/>
      <c r="GYH12" s="0"/>
      <c r="GYI12" s="0"/>
      <c r="GYJ12" s="0"/>
      <c r="GYK12" s="0"/>
      <c r="GYL12" s="0"/>
      <c r="GYM12" s="0"/>
      <c r="GYN12" s="0"/>
      <c r="GYO12" s="0"/>
      <c r="GYP12" s="0"/>
      <c r="GYQ12" s="0"/>
      <c r="GYR12" s="0"/>
      <c r="GYS12" s="0"/>
      <c r="GYT12" s="0"/>
      <c r="GYU12" s="0"/>
      <c r="GYV12" s="0"/>
      <c r="GYW12" s="0"/>
      <c r="GYX12" s="0"/>
      <c r="GYY12" s="0"/>
      <c r="GYZ12" s="0"/>
      <c r="GZA12" s="0"/>
      <c r="GZB12" s="0"/>
      <c r="GZC12" s="0"/>
      <c r="GZD12" s="0"/>
      <c r="GZE12" s="0"/>
      <c r="GZF12" s="0"/>
      <c r="GZG12" s="0"/>
      <c r="GZH12" s="0"/>
      <c r="GZI12" s="0"/>
      <c r="GZJ12" s="0"/>
      <c r="GZK12" s="0"/>
      <c r="GZL12" s="0"/>
      <c r="GZM12" s="0"/>
      <c r="GZN12" s="0"/>
      <c r="GZO12" s="0"/>
      <c r="GZP12" s="0"/>
      <c r="GZQ12" s="0"/>
      <c r="GZR12" s="0"/>
      <c r="GZS12" s="0"/>
      <c r="GZT12" s="0"/>
      <c r="GZU12" s="0"/>
      <c r="GZV12" s="0"/>
      <c r="GZW12" s="0"/>
      <c r="GZX12" s="0"/>
      <c r="GZY12" s="0"/>
      <c r="GZZ12" s="0"/>
      <c r="HAA12" s="0"/>
      <c r="HAB12" s="0"/>
      <c r="HAC12" s="0"/>
      <c r="HAD12" s="0"/>
      <c r="HAE12" s="0"/>
      <c r="HAF12" s="0"/>
      <c r="HAG12" s="0"/>
      <c r="HAH12" s="0"/>
      <c r="HAI12" s="0"/>
      <c r="HAJ12" s="0"/>
      <c r="HAK12" s="0"/>
      <c r="HAL12" s="0"/>
      <c r="HAM12" s="0"/>
      <c r="HAN12" s="0"/>
      <c r="HAO12" s="0"/>
      <c r="HAP12" s="0"/>
      <c r="HAQ12" s="0"/>
      <c r="HAR12" s="0"/>
      <c r="HAS12" s="0"/>
      <c r="HAT12" s="0"/>
      <c r="HAU12" s="0"/>
      <c r="HAV12" s="0"/>
      <c r="HAW12" s="0"/>
      <c r="HAX12" s="0"/>
      <c r="HAY12" s="0"/>
      <c r="HAZ12" s="0"/>
      <c r="HBA12" s="0"/>
      <c r="HBB12" s="0"/>
      <c r="HBC12" s="0"/>
      <c r="HBD12" s="0"/>
      <c r="HBE12" s="0"/>
      <c r="HBF12" s="0"/>
      <c r="HBG12" s="0"/>
      <c r="HBH12" s="0"/>
      <c r="HBI12" s="0"/>
      <c r="HBJ12" s="0"/>
      <c r="HBK12" s="0"/>
      <c r="HBL12" s="0"/>
      <c r="HBM12" s="0"/>
      <c r="HBN12" s="0"/>
      <c r="HBO12" s="0"/>
      <c r="HBP12" s="0"/>
      <c r="HBQ12" s="0"/>
      <c r="HBR12" s="0"/>
      <c r="HBS12" s="0"/>
      <c r="HBT12" s="0"/>
      <c r="HBU12" s="0"/>
      <c r="HBV12" s="0"/>
      <c r="HBW12" s="0"/>
      <c r="HBX12" s="0"/>
      <c r="HBY12" s="0"/>
      <c r="HBZ12" s="0"/>
      <c r="HCA12" s="0"/>
      <c r="HCB12" s="0"/>
      <c r="HCC12" s="0"/>
      <c r="HCD12" s="0"/>
      <c r="HCE12" s="0"/>
      <c r="HCF12" s="0"/>
      <c r="HCG12" s="0"/>
      <c r="HCH12" s="0"/>
      <c r="HCI12" s="0"/>
      <c r="HCJ12" s="0"/>
      <c r="HCK12" s="0"/>
      <c r="HCL12" s="0"/>
      <c r="HCM12" s="0"/>
      <c r="HCN12" s="0"/>
      <c r="HCO12" s="0"/>
      <c r="HCP12" s="0"/>
      <c r="HCQ12" s="0"/>
      <c r="HCR12" s="0"/>
      <c r="HCS12" s="0"/>
      <c r="HCT12" s="0"/>
      <c r="HCU12" s="0"/>
      <c r="HCV12" s="0"/>
      <c r="HCW12" s="0"/>
      <c r="HCX12" s="0"/>
      <c r="HCY12" s="0"/>
      <c r="HCZ12" s="0"/>
      <c r="HDA12" s="0"/>
      <c r="HDB12" s="0"/>
      <c r="HDC12" s="0"/>
      <c r="HDD12" s="0"/>
      <c r="HDE12" s="0"/>
      <c r="HDF12" s="0"/>
      <c r="HDG12" s="0"/>
      <c r="HDH12" s="0"/>
      <c r="HDI12" s="0"/>
      <c r="HDJ12" s="0"/>
      <c r="HDK12" s="0"/>
      <c r="HDL12" s="0"/>
      <c r="HDM12" s="0"/>
      <c r="HDN12" s="0"/>
      <c r="HDO12" s="0"/>
      <c r="HDP12" s="0"/>
      <c r="HDQ12" s="0"/>
      <c r="HDR12" s="0"/>
      <c r="HDS12" s="0"/>
      <c r="HDT12" s="0"/>
      <c r="HDU12" s="0"/>
      <c r="HDV12" s="0"/>
      <c r="HDW12" s="0"/>
      <c r="HDX12" s="0"/>
      <c r="HDY12" s="0"/>
      <c r="HDZ12" s="0"/>
      <c r="HEA12" s="0"/>
      <c r="HEB12" s="0"/>
      <c r="HEC12" s="0"/>
      <c r="HED12" s="0"/>
      <c r="HEE12" s="0"/>
      <c r="HEF12" s="0"/>
      <c r="HEG12" s="0"/>
      <c r="HEH12" s="0"/>
      <c r="HEI12" s="0"/>
      <c r="HEJ12" s="0"/>
      <c r="HEK12" s="0"/>
      <c r="HEL12" s="0"/>
      <c r="HEM12" s="0"/>
      <c r="HEN12" s="0"/>
      <c r="HEO12" s="0"/>
      <c r="HEP12" s="0"/>
      <c r="HEQ12" s="0"/>
      <c r="HER12" s="0"/>
      <c r="HES12" s="0"/>
      <c r="HET12" s="0"/>
      <c r="HEU12" s="0"/>
      <c r="HEV12" s="0"/>
      <c r="HEW12" s="0"/>
      <c r="HEX12" s="0"/>
      <c r="HEY12" s="0"/>
      <c r="HEZ12" s="0"/>
      <c r="HFA12" s="0"/>
      <c r="HFB12" s="0"/>
      <c r="HFC12" s="0"/>
      <c r="HFD12" s="0"/>
      <c r="HFE12" s="0"/>
      <c r="HFF12" s="0"/>
      <c r="HFG12" s="0"/>
      <c r="HFH12" s="0"/>
      <c r="HFI12" s="0"/>
      <c r="HFJ12" s="0"/>
      <c r="HFK12" s="0"/>
      <c r="HFL12" s="0"/>
      <c r="HFM12" s="0"/>
      <c r="HFN12" s="0"/>
      <c r="HFO12" s="0"/>
      <c r="HFP12" s="0"/>
      <c r="HFQ12" s="0"/>
      <c r="HFR12" s="0"/>
      <c r="HFS12" s="0"/>
      <c r="HFT12" s="0"/>
      <c r="HFU12" s="0"/>
      <c r="HFV12" s="0"/>
      <c r="HFW12" s="0"/>
      <c r="HFX12" s="0"/>
      <c r="HFY12" s="0"/>
      <c r="HFZ12" s="0"/>
      <c r="HGA12" s="0"/>
      <c r="HGB12" s="0"/>
      <c r="HGC12" s="0"/>
      <c r="HGD12" s="0"/>
      <c r="HGE12" s="0"/>
      <c r="HGF12" s="0"/>
      <c r="HGG12" s="0"/>
      <c r="HGH12" s="0"/>
      <c r="HGI12" s="0"/>
      <c r="HGJ12" s="0"/>
      <c r="HGK12" s="0"/>
      <c r="HGL12" s="0"/>
      <c r="HGM12" s="0"/>
      <c r="HGN12" s="0"/>
      <c r="HGO12" s="0"/>
      <c r="HGP12" s="0"/>
      <c r="HGQ12" s="0"/>
      <c r="HGR12" s="0"/>
      <c r="HGS12" s="0"/>
      <c r="HGT12" s="0"/>
      <c r="HGU12" s="0"/>
      <c r="HGV12" s="0"/>
      <c r="HGW12" s="0"/>
      <c r="HGX12" s="0"/>
      <c r="HGY12" s="0"/>
      <c r="HGZ12" s="0"/>
      <c r="HHA12" s="0"/>
      <c r="HHB12" s="0"/>
      <c r="HHC12" s="0"/>
      <c r="HHD12" s="0"/>
      <c r="HHE12" s="0"/>
      <c r="HHF12" s="0"/>
      <c r="HHG12" s="0"/>
      <c r="HHH12" s="0"/>
      <c r="HHI12" s="0"/>
      <c r="HHJ12" s="0"/>
      <c r="HHK12" s="0"/>
      <c r="HHL12" s="0"/>
      <c r="HHM12" s="0"/>
      <c r="HHN12" s="0"/>
      <c r="HHO12" s="0"/>
      <c r="HHP12" s="0"/>
      <c r="HHQ12" s="0"/>
      <c r="HHR12" s="0"/>
      <c r="HHS12" s="0"/>
      <c r="HHT12" s="0"/>
      <c r="HHU12" s="0"/>
      <c r="HHV12" s="0"/>
      <c r="HHW12" s="0"/>
      <c r="HHX12" s="0"/>
      <c r="HHY12" s="0"/>
      <c r="HHZ12" s="0"/>
      <c r="HIA12" s="0"/>
      <c r="HIB12" s="0"/>
      <c r="HIC12" s="0"/>
      <c r="HID12" s="0"/>
      <c r="HIE12" s="0"/>
      <c r="HIF12" s="0"/>
      <c r="HIG12" s="0"/>
      <c r="HIH12" s="0"/>
      <c r="HII12" s="0"/>
      <c r="HIJ12" s="0"/>
      <c r="HIK12" s="0"/>
      <c r="HIL12" s="0"/>
      <c r="HIM12" s="0"/>
      <c r="HIN12" s="0"/>
      <c r="HIO12" s="0"/>
      <c r="HIP12" s="0"/>
      <c r="HIQ12" s="0"/>
      <c r="HIR12" s="0"/>
      <c r="HIS12" s="0"/>
      <c r="HIT12" s="0"/>
      <c r="HIU12" s="0"/>
      <c r="HIV12" s="0"/>
      <c r="HIW12" s="0"/>
      <c r="HIX12" s="0"/>
      <c r="HIY12" s="0"/>
      <c r="HIZ12" s="0"/>
      <c r="HJA12" s="0"/>
      <c r="HJB12" s="0"/>
      <c r="HJC12" s="0"/>
      <c r="HJD12" s="0"/>
      <c r="HJE12" s="0"/>
      <c r="HJF12" s="0"/>
      <c r="HJG12" s="0"/>
      <c r="HJH12" s="0"/>
      <c r="HJI12" s="0"/>
      <c r="HJJ12" s="0"/>
      <c r="HJK12" s="0"/>
      <c r="HJL12" s="0"/>
      <c r="HJM12" s="0"/>
      <c r="HJN12" s="0"/>
      <c r="HJO12" s="0"/>
      <c r="HJP12" s="0"/>
      <c r="HJQ12" s="0"/>
      <c r="HJR12" s="0"/>
      <c r="HJS12" s="0"/>
      <c r="HJT12" s="0"/>
      <c r="HJU12" s="0"/>
      <c r="HJV12" s="0"/>
      <c r="HJW12" s="0"/>
      <c r="HJX12" s="0"/>
      <c r="HJY12" s="0"/>
      <c r="HJZ12" s="0"/>
      <c r="HKA12" s="0"/>
      <c r="HKB12" s="0"/>
      <c r="HKC12" s="0"/>
      <c r="HKD12" s="0"/>
      <c r="HKE12" s="0"/>
      <c r="HKF12" s="0"/>
      <c r="HKG12" s="0"/>
      <c r="HKH12" s="0"/>
      <c r="HKI12" s="0"/>
      <c r="HKJ12" s="0"/>
      <c r="HKK12" s="0"/>
      <c r="HKL12" s="0"/>
      <c r="HKM12" s="0"/>
      <c r="HKN12" s="0"/>
      <c r="HKO12" s="0"/>
      <c r="HKP12" s="0"/>
      <c r="HKQ12" s="0"/>
      <c r="HKR12" s="0"/>
      <c r="HKS12" s="0"/>
      <c r="HKT12" s="0"/>
      <c r="HKU12" s="0"/>
      <c r="HKV12" s="0"/>
      <c r="HKW12" s="0"/>
      <c r="HKX12" s="0"/>
      <c r="HKY12" s="0"/>
      <c r="HKZ12" s="0"/>
      <c r="HLA12" s="0"/>
      <c r="HLB12" s="0"/>
      <c r="HLC12" s="0"/>
      <c r="HLD12" s="0"/>
      <c r="HLE12" s="0"/>
      <c r="HLF12" s="0"/>
      <c r="HLG12" s="0"/>
      <c r="HLH12" s="0"/>
      <c r="HLI12" s="0"/>
      <c r="HLJ12" s="0"/>
      <c r="HLK12" s="0"/>
      <c r="HLL12" s="0"/>
      <c r="HLM12" s="0"/>
      <c r="HLN12" s="0"/>
      <c r="HLO12" s="0"/>
      <c r="HLP12" s="0"/>
      <c r="HLQ12" s="0"/>
      <c r="HLR12" s="0"/>
      <c r="HLS12" s="0"/>
      <c r="HLT12" s="0"/>
      <c r="HLU12" s="0"/>
      <c r="HLV12" s="0"/>
      <c r="HLW12" s="0"/>
      <c r="HLX12" s="0"/>
      <c r="HLY12" s="0"/>
      <c r="HLZ12" s="0"/>
      <c r="HMA12" s="0"/>
      <c r="HMB12" s="0"/>
      <c r="HMC12" s="0"/>
      <c r="HMD12" s="0"/>
      <c r="HME12" s="0"/>
      <c r="HMF12" s="0"/>
      <c r="HMG12" s="0"/>
      <c r="HMH12" s="0"/>
      <c r="HMI12" s="0"/>
      <c r="HMJ12" s="0"/>
      <c r="HMK12" s="0"/>
      <c r="HML12" s="0"/>
      <c r="HMM12" s="0"/>
      <c r="HMN12" s="0"/>
      <c r="HMO12" s="0"/>
      <c r="HMP12" s="0"/>
      <c r="HMQ12" s="0"/>
      <c r="HMR12" s="0"/>
      <c r="HMS12" s="0"/>
      <c r="HMT12" s="0"/>
      <c r="HMU12" s="0"/>
      <c r="HMV12" s="0"/>
      <c r="HMW12" s="0"/>
      <c r="HMX12" s="0"/>
      <c r="HMY12" s="0"/>
      <c r="HMZ12" s="0"/>
      <c r="HNA12" s="0"/>
      <c r="HNB12" s="0"/>
      <c r="HNC12" s="0"/>
      <c r="HND12" s="0"/>
      <c r="HNE12" s="0"/>
      <c r="HNF12" s="0"/>
      <c r="HNG12" s="0"/>
      <c r="HNH12" s="0"/>
      <c r="HNI12" s="0"/>
      <c r="HNJ12" s="0"/>
      <c r="HNK12" s="0"/>
      <c r="HNL12" s="0"/>
      <c r="HNM12" s="0"/>
      <c r="HNN12" s="0"/>
      <c r="HNO12" s="0"/>
      <c r="HNP12" s="0"/>
      <c r="HNQ12" s="0"/>
      <c r="HNR12" s="0"/>
      <c r="HNS12" s="0"/>
      <c r="HNT12" s="0"/>
      <c r="HNU12" s="0"/>
      <c r="HNV12" s="0"/>
      <c r="HNW12" s="0"/>
      <c r="HNX12" s="0"/>
      <c r="HNY12" s="0"/>
      <c r="HNZ12" s="0"/>
      <c r="HOA12" s="0"/>
      <c r="HOB12" s="0"/>
      <c r="HOC12" s="0"/>
      <c r="HOD12" s="0"/>
      <c r="HOE12" s="0"/>
      <c r="HOF12" s="0"/>
      <c r="HOG12" s="0"/>
      <c r="HOH12" s="0"/>
      <c r="HOI12" s="0"/>
      <c r="HOJ12" s="0"/>
      <c r="HOK12" s="0"/>
      <c r="HOL12" s="0"/>
      <c r="HOM12" s="0"/>
      <c r="HON12" s="0"/>
      <c r="HOO12" s="0"/>
      <c r="HOP12" s="0"/>
      <c r="HOQ12" s="0"/>
      <c r="HOR12" s="0"/>
      <c r="HOS12" s="0"/>
      <c r="HOT12" s="0"/>
      <c r="HOU12" s="0"/>
      <c r="HOV12" s="0"/>
      <c r="HOW12" s="0"/>
      <c r="HOX12" s="0"/>
      <c r="HOY12" s="0"/>
      <c r="HOZ12" s="0"/>
      <c r="HPA12" s="0"/>
      <c r="HPB12" s="0"/>
      <c r="HPC12" s="0"/>
      <c r="HPD12" s="0"/>
      <c r="HPE12" s="0"/>
      <c r="HPF12" s="0"/>
      <c r="HPG12" s="0"/>
      <c r="HPH12" s="0"/>
      <c r="HPI12" s="0"/>
      <c r="HPJ12" s="0"/>
      <c r="HPK12" s="0"/>
      <c r="HPL12" s="0"/>
      <c r="HPM12" s="0"/>
      <c r="HPN12" s="0"/>
      <c r="HPO12" s="0"/>
      <c r="HPP12" s="0"/>
      <c r="HPQ12" s="0"/>
      <c r="HPR12" s="0"/>
      <c r="HPS12" s="0"/>
      <c r="HPT12" s="0"/>
      <c r="HPU12" s="0"/>
      <c r="HPV12" s="0"/>
      <c r="HPW12" s="0"/>
      <c r="HPX12" s="0"/>
      <c r="HPY12" s="0"/>
      <c r="HPZ12" s="0"/>
      <c r="HQA12" s="0"/>
      <c r="HQB12" s="0"/>
      <c r="HQC12" s="0"/>
      <c r="HQD12" s="0"/>
      <c r="HQE12" s="0"/>
      <c r="HQF12" s="0"/>
      <c r="HQG12" s="0"/>
      <c r="HQH12" s="0"/>
      <c r="HQI12" s="0"/>
      <c r="HQJ12" s="0"/>
      <c r="HQK12" s="0"/>
      <c r="HQL12" s="0"/>
      <c r="HQM12" s="0"/>
      <c r="HQN12" s="0"/>
      <c r="HQO12" s="0"/>
      <c r="HQP12" s="0"/>
      <c r="HQQ12" s="0"/>
      <c r="HQR12" s="0"/>
      <c r="HQS12" s="0"/>
      <c r="HQT12" s="0"/>
      <c r="HQU12" s="0"/>
      <c r="HQV12" s="0"/>
      <c r="HQW12" s="0"/>
      <c r="HQX12" s="0"/>
      <c r="HQY12" s="0"/>
      <c r="HQZ12" s="0"/>
      <c r="HRA12" s="0"/>
      <c r="HRB12" s="0"/>
      <c r="HRC12" s="0"/>
      <c r="HRD12" s="0"/>
      <c r="HRE12" s="0"/>
      <c r="HRF12" s="0"/>
      <c r="HRG12" s="0"/>
      <c r="HRH12" s="0"/>
      <c r="HRI12" s="0"/>
      <c r="HRJ12" s="0"/>
      <c r="HRK12" s="0"/>
      <c r="HRL12" s="0"/>
      <c r="HRM12" s="0"/>
      <c r="HRN12" s="0"/>
      <c r="HRO12" s="0"/>
      <c r="HRP12" s="0"/>
      <c r="HRQ12" s="0"/>
      <c r="HRR12" s="0"/>
      <c r="HRS12" s="0"/>
      <c r="HRT12" s="0"/>
      <c r="HRU12" s="0"/>
      <c r="HRV12" s="0"/>
      <c r="HRW12" s="0"/>
      <c r="HRX12" s="0"/>
      <c r="HRY12" s="0"/>
      <c r="HRZ12" s="0"/>
      <c r="HSA12" s="0"/>
      <c r="HSB12" s="0"/>
      <c r="HSC12" s="0"/>
      <c r="HSD12" s="0"/>
      <c r="HSE12" s="0"/>
      <c r="HSF12" s="0"/>
      <c r="HSG12" s="0"/>
      <c r="HSH12" s="0"/>
      <c r="HSI12" s="0"/>
      <c r="HSJ12" s="0"/>
      <c r="HSK12" s="0"/>
      <c r="HSL12" s="0"/>
      <c r="HSM12" s="0"/>
      <c r="HSN12" s="0"/>
      <c r="HSO12" s="0"/>
      <c r="HSP12" s="0"/>
      <c r="HSQ12" s="0"/>
      <c r="HSR12" s="0"/>
      <c r="HSS12" s="0"/>
      <c r="HST12" s="0"/>
      <c r="HSU12" s="0"/>
      <c r="HSV12" s="0"/>
      <c r="HSW12" s="0"/>
      <c r="HSX12" s="0"/>
      <c r="HSY12" s="0"/>
      <c r="HSZ12" s="0"/>
      <c r="HTA12" s="0"/>
      <c r="HTB12" s="0"/>
      <c r="HTC12" s="0"/>
      <c r="HTD12" s="0"/>
      <c r="HTE12" s="0"/>
      <c r="HTF12" s="0"/>
      <c r="HTG12" s="0"/>
      <c r="HTH12" s="0"/>
      <c r="HTI12" s="0"/>
      <c r="HTJ12" s="0"/>
      <c r="HTK12" s="0"/>
      <c r="HTL12" s="0"/>
      <c r="HTM12" s="0"/>
      <c r="HTN12" s="0"/>
      <c r="HTO12" s="0"/>
      <c r="HTP12" s="0"/>
      <c r="HTQ12" s="0"/>
      <c r="HTR12" s="0"/>
      <c r="HTS12" s="0"/>
      <c r="HTT12" s="0"/>
      <c r="HTU12" s="0"/>
      <c r="HTV12" s="0"/>
      <c r="HTW12" s="0"/>
      <c r="HTX12" s="0"/>
      <c r="HTY12" s="0"/>
      <c r="HTZ12" s="0"/>
      <c r="HUA12" s="0"/>
      <c r="HUB12" s="0"/>
      <c r="HUC12" s="0"/>
      <c r="HUD12" s="0"/>
      <c r="HUE12" s="0"/>
      <c r="HUF12" s="0"/>
      <c r="HUG12" s="0"/>
      <c r="HUH12" s="0"/>
      <c r="HUI12" s="0"/>
      <c r="HUJ12" s="0"/>
      <c r="HUK12" s="0"/>
      <c r="HUL12" s="0"/>
      <c r="HUM12" s="0"/>
      <c r="HUN12" s="0"/>
      <c r="HUO12" s="0"/>
      <c r="HUP12" s="0"/>
      <c r="HUQ12" s="0"/>
      <c r="HUR12" s="0"/>
      <c r="HUS12" s="0"/>
      <c r="HUT12" s="0"/>
      <c r="HUU12" s="0"/>
      <c r="HUV12" s="0"/>
      <c r="HUW12" s="0"/>
      <c r="HUX12" s="0"/>
      <c r="HUY12" s="0"/>
      <c r="HUZ12" s="0"/>
      <c r="HVA12" s="0"/>
      <c r="HVB12" s="0"/>
      <c r="HVC12" s="0"/>
      <c r="HVD12" s="0"/>
      <c r="HVE12" s="0"/>
      <c r="HVF12" s="0"/>
      <c r="HVG12" s="0"/>
      <c r="HVH12" s="0"/>
      <c r="HVI12" s="0"/>
      <c r="HVJ12" s="0"/>
      <c r="HVK12" s="0"/>
      <c r="HVL12" s="0"/>
      <c r="HVM12" s="0"/>
      <c r="HVN12" s="0"/>
      <c r="HVO12" s="0"/>
      <c r="HVP12" s="0"/>
      <c r="HVQ12" s="0"/>
      <c r="HVR12" s="0"/>
      <c r="HVS12" s="0"/>
      <c r="HVT12" s="0"/>
      <c r="HVU12" s="0"/>
      <c r="HVV12" s="0"/>
      <c r="HVW12" s="0"/>
      <c r="HVX12" s="0"/>
      <c r="HVY12" s="0"/>
      <c r="HVZ12" s="0"/>
      <c r="HWA12" s="0"/>
      <c r="HWB12" s="0"/>
      <c r="HWC12" s="0"/>
      <c r="HWD12" s="0"/>
      <c r="HWE12" s="0"/>
      <c r="HWF12" s="0"/>
      <c r="HWG12" s="0"/>
      <c r="HWH12" s="0"/>
      <c r="HWI12" s="0"/>
      <c r="HWJ12" s="0"/>
      <c r="HWK12" s="0"/>
      <c r="HWL12" s="0"/>
      <c r="HWM12" s="0"/>
      <c r="HWN12" s="0"/>
      <c r="HWO12" s="0"/>
      <c r="HWP12" s="0"/>
      <c r="HWQ12" s="0"/>
      <c r="HWR12" s="0"/>
      <c r="HWS12" s="0"/>
      <c r="HWT12" s="0"/>
      <c r="HWU12" s="0"/>
      <c r="HWV12" s="0"/>
      <c r="HWW12" s="0"/>
      <c r="HWX12" s="0"/>
      <c r="HWY12" s="0"/>
      <c r="HWZ12" s="0"/>
      <c r="HXA12" s="0"/>
      <c r="HXB12" s="0"/>
      <c r="HXC12" s="0"/>
      <c r="HXD12" s="0"/>
      <c r="HXE12" s="0"/>
      <c r="HXF12" s="0"/>
      <c r="HXG12" s="0"/>
      <c r="HXH12" s="0"/>
      <c r="HXI12" s="0"/>
      <c r="HXJ12" s="0"/>
      <c r="HXK12" s="0"/>
      <c r="HXL12" s="0"/>
      <c r="HXM12" s="0"/>
      <c r="HXN12" s="0"/>
      <c r="HXO12" s="0"/>
      <c r="HXP12" s="0"/>
      <c r="HXQ12" s="0"/>
      <c r="HXR12" s="0"/>
      <c r="HXS12" s="0"/>
      <c r="HXT12" s="0"/>
      <c r="HXU12" s="0"/>
      <c r="HXV12" s="0"/>
      <c r="HXW12" s="0"/>
      <c r="HXX12" s="0"/>
      <c r="HXY12" s="0"/>
      <c r="HXZ12" s="0"/>
      <c r="HYA12" s="0"/>
      <c r="HYB12" s="0"/>
      <c r="HYC12" s="0"/>
      <c r="HYD12" s="0"/>
      <c r="HYE12" s="0"/>
      <c r="HYF12" s="0"/>
      <c r="HYG12" s="0"/>
      <c r="HYH12" s="0"/>
      <c r="HYI12" s="0"/>
      <c r="HYJ12" s="0"/>
      <c r="HYK12" s="0"/>
      <c r="HYL12" s="0"/>
      <c r="HYM12" s="0"/>
      <c r="HYN12" s="0"/>
      <c r="HYO12" s="0"/>
      <c r="HYP12" s="0"/>
      <c r="HYQ12" s="0"/>
      <c r="HYR12" s="0"/>
      <c r="HYS12" s="0"/>
      <c r="HYT12" s="0"/>
      <c r="HYU12" s="0"/>
      <c r="HYV12" s="0"/>
      <c r="HYW12" s="0"/>
      <c r="HYX12" s="0"/>
      <c r="HYY12" s="0"/>
      <c r="HYZ12" s="0"/>
      <c r="HZA12" s="0"/>
      <c r="HZB12" s="0"/>
      <c r="HZC12" s="0"/>
      <c r="HZD12" s="0"/>
      <c r="HZE12" s="0"/>
      <c r="HZF12" s="0"/>
      <c r="HZG12" s="0"/>
      <c r="HZH12" s="0"/>
      <c r="HZI12" s="0"/>
      <c r="HZJ12" s="0"/>
      <c r="HZK12" s="0"/>
      <c r="HZL12" s="0"/>
      <c r="HZM12" s="0"/>
      <c r="HZN12" s="0"/>
      <c r="HZO12" s="0"/>
      <c r="HZP12" s="0"/>
      <c r="HZQ12" s="0"/>
      <c r="HZR12" s="0"/>
      <c r="HZS12" s="0"/>
      <c r="HZT12" s="0"/>
      <c r="HZU12" s="0"/>
      <c r="HZV12" s="0"/>
      <c r="HZW12" s="0"/>
      <c r="HZX12" s="0"/>
      <c r="HZY12" s="0"/>
      <c r="HZZ12" s="0"/>
      <c r="IAA12" s="0"/>
      <c r="IAB12" s="0"/>
      <c r="IAC12" s="0"/>
      <c r="IAD12" s="0"/>
      <c r="IAE12" s="0"/>
      <c r="IAF12" s="0"/>
      <c r="IAG12" s="0"/>
      <c r="IAH12" s="0"/>
      <c r="IAI12" s="0"/>
      <c r="IAJ12" s="0"/>
      <c r="IAK12" s="0"/>
      <c r="IAL12" s="0"/>
      <c r="IAM12" s="0"/>
      <c r="IAN12" s="0"/>
      <c r="IAO12" s="0"/>
      <c r="IAP12" s="0"/>
      <c r="IAQ12" s="0"/>
      <c r="IAR12" s="0"/>
      <c r="IAS12" s="0"/>
      <c r="IAT12" s="0"/>
      <c r="IAU12" s="0"/>
      <c r="IAV12" s="0"/>
      <c r="IAW12" s="0"/>
      <c r="IAX12" s="0"/>
      <c r="IAY12" s="0"/>
      <c r="IAZ12" s="0"/>
      <c r="IBA12" s="0"/>
      <c r="IBB12" s="0"/>
      <c r="IBC12" s="0"/>
      <c r="IBD12" s="0"/>
      <c r="IBE12" s="0"/>
      <c r="IBF12" s="0"/>
      <c r="IBG12" s="0"/>
      <c r="IBH12" s="0"/>
      <c r="IBI12" s="0"/>
      <c r="IBJ12" s="0"/>
      <c r="IBK12" s="0"/>
      <c r="IBL12" s="0"/>
      <c r="IBM12" s="0"/>
      <c r="IBN12" s="0"/>
      <c r="IBO12" s="0"/>
      <c r="IBP12" s="0"/>
      <c r="IBQ12" s="0"/>
      <c r="IBR12" s="0"/>
      <c r="IBS12" s="0"/>
      <c r="IBT12" s="0"/>
      <c r="IBU12" s="0"/>
      <c r="IBV12" s="0"/>
      <c r="IBW12" s="0"/>
      <c r="IBX12" s="0"/>
      <c r="IBY12" s="0"/>
      <c r="IBZ12" s="0"/>
      <c r="ICA12" s="0"/>
      <c r="ICB12" s="0"/>
      <c r="ICC12" s="0"/>
      <c r="ICD12" s="0"/>
      <c r="ICE12" s="0"/>
      <c r="ICF12" s="0"/>
      <c r="ICG12" s="0"/>
      <c r="ICH12" s="0"/>
      <c r="ICI12" s="0"/>
      <c r="ICJ12" s="0"/>
      <c r="ICK12" s="0"/>
      <c r="ICL12" s="0"/>
      <c r="ICM12" s="0"/>
      <c r="ICN12" s="0"/>
      <c r="ICO12" s="0"/>
      <c r="ICP12" s="0"/>
      <c r="ICQ12" s="0"/>
      <c r="ICR12" s="0"/>
      <c r="ICS12" s="0"/>
      <c r="ICT12" s="0"/>
      <c r="ICU12" s="0"/>
      <c r="ICV12" s="0"/>
      <c r="ICW12" s="0"/>
      <c r="ICX12" s="0"/>
      <c r="ICY12" s="0"/>
      <c r="ICZ12" s="0"/>
      <c r="IDA12" s="0"/>
      <c r="IDB12" s="0"/>
      <c r="IDC12" s="0"/>
      <c r="IDD12" s="0"/>
      <c r="IDE12" s="0"/>
      <c r="IDF12" s="0"/>
      <c r="IDG12" s="0"/>
      <c r="IDH12" s="0"/>
      <c r="IDI12" s="0"/>
      <c r="IDJ12" s="0"/>
      <c r="IDK12" s="0"/>
      <c r="IDL12" s="0"/>
      <c r="IDM12" s="0"/>
      <c r="IDN12" s="0"/>
      <c r="IDO12" s="0"/>
      <c r="IDP12" s="0"/>
      <c r="IDQ12" s="0"/>
      <c r="IDR12" s="0"/>
      <c r="IDS12" s="0"/>
      <c r="IDT12" s="0"/>
      <c r="IDU12" s="0"/>
      <c r="IDV12" s="0"/>
      <c r="IDW12" s="0"/>
      <c r="IDX12" s="0"/>
      <c r="IDY12" s="0"/>
      <c r="IDZ12" s="0"/>
      <c r="IEA12" s="0"/>
      <c r="IEB12" s="0"/>
      <c r="IEC12" s="0"/>
      <c r="IED12" s="0"/>
      <c r="IEE12" s="0"/>
      <c r="IEF12" s="0"/>
      <c r="IEG12" s="0"/>
      <c r="IEH12" s="0"/>
      <c r="IEI12" s="0"/>
      <c r="IEJ12" s="0"/>
      <c r="IEK12" s="0"/>
      <c r="IEL12" s="0"/>
      <c r="IEM12" s="0"/>
      <c r="IEN12" s="0"/>
      <c r="IEO12" s="0"/>
      <c r="IEP12" s="0"/>
      <c r="IEQ12" s="0"/>
      <c r="IER12" s="0"/>
      <c r="IES12" s="0"/>
      <c r="IET12" s="0"/>
      <c r="IEU12" s="0"/>
      <c r="IEV12" s="0"/>
      <c r="IEW12" s="0"/>
      <c r="IEX12" s="0"/>
      <c r="IEY12" s="0"/>
      <c r="IEZ12" s="0"/>
      <c r="IFA12" s="0"/>
      <c r="IFB12" s="0"/>
      <c r="IFC12" s="0"/>
      <c r="IFD12" s="0"/>
      <c r="IFE12" s="0"/>
      <c r="IFF12" s="0"/>
      <c r="IFG12" s="0"/>
      <c r="IFH12" s="0"/>
      <c r="IFI12" s="0"/>
      <c r="IFJ12" s="0"/>
      <c r="IFK12" s="0"/>
      <c r="IFL12" s="0"/>
      <c r="IFM12" s="0"/>
      <c r="IFN12" s="0"/>
      <c r="IFO12" s="0"/>
      <c r="IFP12" s="0"/>
      <c r="IFQ12" s="0"/>
      <c r="IFR12" s="0"/>
      <c r="IFS12" s="0"/>
      <c r="IFT12" s="0"/>
      <c r="IFU12" s="0"/>
      <c r="IFV12" s="0"/>
      <c r="IFW12" s="0"/>
      <c r="IFX12" s="0"/>
      <c r="IFY12" s="0"/>
      <c r="IFZ12" s="0"/>
      <c r="IGA12" s="0"/>
      <c r="IGB12" s="0"/>
      <c r="IGC12" s="0"/>
      <c r="IGD12" s="0"/>
      <c r="IGE12" s="0"/>
      <c r="IGF12" s="0"/>
      <c r="IGG12" s="0"/>
      <c r="IGH12" s="0"/>
      <c r="IGI12" s="0"/>
      <c r="IGJ12" s="0"/>
      <c r="IGK12" s="0"/>
      <c r="IGL12" s="0"/>
      <c r="IGM12" s="0"/>
      <c r="IGN12" s="0"/>
      <c r="IGO12" s="0"/>
      <c r="IGP12" s="0"/>
      <c r="IGQ12" s="0"/>
      <c r="IGR12" s="0"/>
      <c r="IGS12" s="0"/>
      <c r="IGT12" s="0"/>
      <c r="IGU12" s="0"/>
      <c r="IGV12" s="0"/>
      <c r="IGW12" s="0"/>
      <c r="IGX12" s="0"/>
      <c r="IGY12" s="0"/>
      <c r="IGZ12" s="0"/>
      <c r="IHA12" s="0"/>
      <c r="IHB12" s="0"/>
      <c r="IHC12" s="0"/>
      <c r="IHD12" s="0"/>
      <c r="IHE12" s="0"/>
      <c r="IHF12" s="0"/>
      <c r="IHG12" s="0"/>
      <c r="IHH12" s="0"/>
      <c r="IHI12" s="0"/>
      <c r="IHJ12" s="0"/>
      <c r="IHK12" s="0"/>
      <c r="IHL12" s="0"/>
      <c r="IHM12" s="0"/>
      <c r="IHN12" s="0"/>
      <c r="IHO12" s="0"/>
      <c r="IHP12" s="0"/>
      <c r="IHQ12" s="0"/>
      <c r="IHR12" s="0"/>
      <c r="IHS12" s="0"/>
      <c r="IHT12" s="0"/>
      <c r="IHU12" s="0"/>
      <c r="IHV12" s="0"/>
      <c r="IHW12" s="0"/>
      <c r="IHX12" s="0"/>
      <c r="IHY12" s="0"/>
      <c r="IHZ12" s="0"/>
      <c r="IIA12" s="0"/>
      <c r="IIB12" s="0"/>
      <c r="IIC12" s="0"/>
      <c r="IID12" s="0"/>
      <c r="IIE12" s="0"/>
      <c r="IIF12" s="0"/>
      <c r="IIG12" s="0"/>
      <c r="IIH12" s="0"/>
      <c r="III12" s="0"/>
      <c r="IIJ12" s="0"/>
      <c r="IIK12" s="0"/>
      <c r="IIL12" s="0"/>
      <c r="IIM12" s="0"/>
      <c r="IIN12" s="0"/>
      <c r="IIO12" s="0"/>
      <c r="IIP12" s="0"/>
      <c r="IIQ12" s="0"/>
      <c r="IIR12" s="0"/>
      <c r="IIS12" s="0"/>
      <c r="IIT12" s="0"/>
      <c r="IIU12" s="0"/>
      <c r="IIV12" s="0"/>
      <c r="IIW12" s="0"/>
      <c r="IIX12" s="0"/>
      <c r="IIY12" s="0"/>
      <c r="IIZ12" s="0"/>
      <c r="IJA12" s="0"/>
      <c r="IJB12" s="0"/>
      <c r="IJC12" s="0"/>
      <c r="IJD12" s="0"/>
      <c r="IJE12" s="0"/>
      <c r="IJF12" s="0"/>
      <c r="IJG12" s="0"/>
      <c r="IJH12" s="0"/>
      <c r="IJI12" s="0"/>
      <c r="IJJ12" s="0"/>
      <c r="IJK12" s="0"/>
      <c r="IJL12" s="0"/>
      <c r="IJM12" s="0"/>
      <c r="IJN12" s="0"/>
      <c r="IJO12" s="0"/>
      <c r="IJP12" s="0"/>
      <c r="IJQ12" s="0"/>
      <c r="IJR12" s="0"/>
      <c r="IJS12" s="0"/>
      <c r="IJT12" s="0"/>
      <c r="IJU12" s="0"/>
      <c r="IJV12" s="0"/>
      <c r="IJW12" s="0"/>
      <c r="IJX12" s="0"/>
      <c r="IJY12" s="0"/>
      <c r="IJZ12" s="0"/>
      <c r="IKA12" s="0"/>
      <c r="IKB12" s="0"/>
      <c r="IKC12" s="0"/>
      <c r="IKD12" s="0"/>
      <c r="IKE12" s="0"/>
      <c r="IKF12" s="0"/>
      <c r="IKG12" s="0"/>
      <c r="IKH12" s="0"/>
      <c r="IKI12" s="0"/>
      <c r="IKJ12" s="0"/>
      <c r="IKK12" s="0"/>
      <c r="IKL12" s="0"/>
      <c r="IKM12" s="0"/>
      <c r="IKN12" s="0"/>
      <c r="IKO12" s="0"/>
      <c r="IKP12" s="0"/>
      <c r="IKQ12" s="0"/>
      <c r="IKR12" s="0"/>
      <c r="IKS12" s="0"/>
      <c r="IKT12" s="0"/>
      <c r="IKU12" s="0"/>
      <c r="IKV12" s="0"/>
      <c r="IKW12" s="0"/>
      <c r="IKX12" s="0"/>
      <c r="IKY12" s="0"/>
      <c r="IKZ12" s="0"/>
      <c r="ILA12" s="0"/>
      <c r="ILB12" s="0"/>
      <c r="ILC12" s="0"/>
      <c r="ILD12" s="0"/>
      <c r="ILE12" s="0"/>
      <c r="ILF12" s="0"/>
      <c r="ILG12" s="0"/>
      <c r="ILH12" s="0"/>
      <c r="ILI12" s="0"/>
      <c r="ILJ12" s="0"/>
      <c r="ILK12" s="0"/>
      <c r="ILL12" s="0"/>
      <c r="ILM12" s="0"/>
      <c r="ILN12" s="0"/>
      <c r="ILO12" s="0"/>
      <c r="ILP12" s="0"/>
      <c r="ILQ12" s="0"/>
      <c r="ILR12" s="0"/>
      <c r="ILS12" s="0"/>
      <c r="ILT12" s="0"/>
      <c r="ILU12" s="0"/>
      <c r="ILV12" s="0"/>
      <c r="ILW12" s="0"/>
      <c r="ILX12" s="0"/>
      <c r="ILY12" s="0"/>
      <c r="ILZ12" s="0"/>
      <c r="IMA12" s="0"/>
      <c r="IMB12" s="0"/>
      <c r="IMC12" s="0"/>
      <c r="IMD12" s="0"/>
      <c r="IME12" s="0"/>
      <c r="IMF12" s="0"/>
      <c r="IMG12" s="0"/>
      <c r="IMH12" s="0"/>
      <c r="IMI12" s="0"/>
      <c r="IMJ12" s="0"/>
      <c r="IMK12" s="0"/>
      <c r="IML12" s="0"/>
      <c r="IMM12" s="0"/>
      <c r="IMN12" s="0"/>
      <c r="IMO12" s="0"/>
      <c r="IMP12" s="0"/>
      <c r="IMQ12" s="0"/>
      <c r="IMR12" s="0"/>
      <c r="IMS12" s="0"/>
      <c r="IMT12" s="0"/>
      <c r="IMU12" s="0"/>
      <c r="IMV12" s="0"/>
      <c r="IMW12" s="0"/>
      <c r="IMX12" s="0"/>
      <c r="IMY12" s="0"/>
      <c r="IMZ12" s="0"/>
      <c r="INA12" s="0"/>
      <c r="INB12" s="0"/>
      <c r="INC12" s="0"/>
      <c r="IND12" s="0"/>
      <c r="INE12" s="0"/>
      <c r="INF12" s="0"/>
      <c r="ING12" s="0"/>
      <c r="INH12" s="0"/>
      <c r="INI12" s="0"/>
      <c r="INJ12" s="0"/>
      <c r="INK12" s="0"/>
      <c r="INL12" s="0"/>
      <c r="INM12" s="0"/>
      <c r="INN12" s="0"/>
      <c r="INO12" s="0"/>
      <c r="INP12" s="0"/>
      <c r="INQ12" s="0"/>
      <c r="INR12" s="0"/>
      <c r="INS12" s="0"/>
      <c r="INT12" s="0"/>
      <c r="INU12" s="0"/>
      <c r="INV12" s="0"/>
      <c r="INW12" s="0"/>
      <c r="INX12" s="0"/>
      <c r="INY12" s="0"/>
      <c r="INZ12" s="0"/>
      <c r="IOA12" s="0"/>
      <c r="IOB12" s="0"/>
      <c r="IOC12" s="0"/>
      <c r="IOD12" s="0"/>
      <c r="IOE12" s="0"/>
      <c r="IOF12" s="0"/>
      <c r="IOG12" s="0"/>
      <c r="IOH12" s="0"/>
      <c r="IOI12" s="0"/>
      <c r="IOJ12" s="0"/>
      <c r="IOK12" s="0"/>
      <c r="IOL12" s="0"/>
      <c r="IOM12" s="0"/>
      <c r="ION12" s="0"/>
      <c r="IOO12" s="0"/>
      <c r="IOP12" s="0"/>
      <c r="IOQ12" s="0"/>
      <c r="IOR12" s="0"/>
      <c r="IOS12" s="0"/>
      <c r="IOT12" s="0"/>
      <c r="IOU12" s="0"/>
      <c r="IOV12" s="0"/>
      <c r="IOW12" s="0"/>
      <c r="IOX12" s="0"/>
      <c r="IOY12" s="0"/>
      <c r="IOZ12" s="0"/>
      <c r="IPA12" s="0"/>
      <c r="IPB12" s="0"/>
      <c r="IPC12" s="0"/>
      <c r="IPD12" s="0"/>
      <c r="IPE12" s="0"/>
      <c r="IPF12" s="0"/>
      <c r="IPG12" s="0"/>
      <c r="IPH12" s="0"/>
      <c r="IPI12" s="0"/>
      <c r="IPJ12" s="0"/>
      <c r="IPK12" s="0"/>
      <c r="IPL12" s="0"/>
      <c r="IPM12" s="0"/>
      <c r="IPN12" s="0"/>
      <c r="IPO12" s="0"/>
      <c r="IPP12" s="0"/>
      <c r="IPQ12" s="0"/>
      <c r="IPR12" s="0"/>
      <c r="IPS12" s="0"/>
      <c r="IPT12" s="0"/>
      <c r="IPU12" s="0"/>
      <c r="IPV12" s="0"/>
      <c r="IPW12" s="0"/>
      <c r="IPX12" s="0"/>
      <c r="IPY12" s="0"/>
      <c r="IPZ12" s="0"/>
      <c r="IQA12" s="0"/>
      <c r="IQB12" s="0"/>
      <c r="IQC12" s="0"/>
      <c r="IQD12" s="0"/>
      <c r="IQE12" s="0"/>
      <c r="IQF12" s="0"/>
      <c r="IQG12" s="0"/>
      <c r="IQH12" s="0"/>
      <c r="IQI12" s="0"/>
      <c r="IQJ12" s="0"/>
      <c r="IQK12" s="0"/>
      <c r="IQL12" s="0"/>
      <c r="IQM12" s="0"/>
      <c r="IQN12" s="0"/>
      <c r="IQO12" s="0"/>
      <c r="IQP12" s="0"/>
      <c r="IQQ12" s="0"/>
      <c r="IQR12" s="0"/>
      <c r="IQS12" s="0"/>
      <c r="IQT12" s="0"/>
      <c r="IQU12" s="0"/>
      <c r="IQV12" s="0"/>
      <c r="IQW12" s="0"/>
      <c r="IQX12" s="0"/>
      <c r="IQY12" s="0"/>
      <c r="IQZ12" s="0"/>
      <c r="IRA12" s="0"/>
      <c r="IRB12" s="0"/>
      <c r="IRC12" s="0"/>
      <c r="IRD12" s="0"/>
      <c r="IRE12" s="0"/>
      <c r="IRF12" s="0"/>
      <c r="IRG12" s="0"/>
      <c r="IRH12" s="0"/>
      <c r="IRI12" s="0"/>
      <c r="IRJ12" s="0"/>
      <c r="IRK12" s="0"/>
      <c r="IRL12" s="0"/>
      <c r="IRM12" s="0"/>
      <c r="IRN12" s="0"/>
      <c r="IRO12" s="0"/>
      <c r="IRP12" s="0"/>
      <c r="IRQ12" s="0"/>
      <c r="IRR12" s="0"/>
      <c r="IRS12" s="0"/>
      <c r="IRT12" s="0"/>
      <c r="IRU12" s="0"/>
      <c r="IRV12" s="0"/>
      <c r="IRW12" s="0"/>
      <c r="IRX12" s="0"/>
      <c r="IRY12" s="0"/>
      <c r="IRZ12" s="0"/>
      <c r="ISA12" s="0"/>
      <c r="ISB12" s="0"/>
      <c r="ISC12" s="0"/>
      <c r="ISD12" s="0"/>
      <c r="ISE12" s="0"/>
      <c r="ISF12" s="0"/>
      <c r="ISG12" s="0"/>
      <c r="ISH12" s="0"/>
      <c r="ISI12" s="0"/>
      <c r="ISJ12" s="0"/>
      <c r="ISK12" s="0"/>
      <c r="ISL12" s="0"/>
      <c r="ISM12" s="0"/>
      <c r="ISN12" s="0"/>
      <c r="ISO12" s="0"/>
      <c r="ISP12" s="0"/>
      <c r="ISQ12" s="0"/>
      <c r="ISR12" s="0"/>
      <c r="ISS12" s="0"/>
      <c r="IST12" s="0"/>
      <c r="ISU12" s="0"/>
      <c r="ISV12" s="0"/>
      <c r="ISW12" s="0"/>
      <c r="ISX12" s="0"/>
      <c r="ISY12" s="0"/>
      <c r="ISZ12" s="0"/>
      <c r="ITA12" s="0"/>
      <c r="ITB12" s="0"/>
      <c r="ITC12" s="0"/>
      <c r="ITD12" s="0"/>
      <c r="ITE12" s="0"/>
      <c r="ITF12" s="0"/>
      <c r="ITG12" s="0"/>
      <c r="ITH12" s="0"/>
      <c r="ITI12" s="0"/>
      <c r="ITJ12" s="0"/>
      <c r="ITK12" s="0"/>
      <c r="ITL12" s="0"/>
      <c r="ITM12" s="0"/>
      <c r="ITN12" s="0"/>
      <c r="ITO12" s="0"/>
      <c r="ITP12" s="0"/>
      <c r="ITQ12" s="0"/>
      <c r="ITR12" s="0"/>
      <c r="ITS12" s="0"/>
      <c r="ITT12" s="0"/>
      <c r="ITU12" s="0"/>
      <c r="ITV12" s="0"/>
      <c r="ITW12" s="0"/>
      <c r="ITX12" s="0"/>
      <c r="ITY12" s="0"/>
      <c r="ITZ12" s="0"/>
      <c r="IUA12" s="0"/>
      <c r="IUB12" s="0"/>
      <c r="IUC12" s="0"/>
      <c r="IUD12" s="0"/>
      <c r="IUE12" s="0"/>
      <c r="IUF12" s="0"/>
      <c r="IUG12" s="0"/>
      <c r="IUH12" s="0"/>
      <c r="IUI12" s="0"/>
      <c r="IUJ12" s="0"/>
      <c r="IUK12" s="0"/>
      <c r="IUL12" s="0"/>
      <c r="IUM12" s="0"/>
      <c r="IUN12" s="0"/>
      <c r="IUO12" s="0"/>
      <c r="IUP12" s="0"/>
      <c r="IUQ12" s="0"/>
      <c r="IUR12" s="0"/>
      <c r="IUS12" s="0"/>
      <c r="IUT12" s="0"/>
      <c r="IUU12" s="0"/>
      <c r="IUV12" s="0"/>
      <c r="IUW12" s="0"/>
      <c r="IUX12" s="0"/>
      <c r="IUY12" s="0"/>
      <c r="IUZ12" s="0"/>
      <c r="IVA12" s="0"/>
      <c r="IVB12" s="0"/>
      <c r="IVC12" s="0"/>
      <c r="IVD12" s="0"/>
      <c r="IVE12" s="0"/>
      <c r="IVF12" s="0"/>
      <c r="IVG12" s="0"/>
      <c r="IVH12" s="0"/>
      <c r="IVI12" s="0"/>
      <c r="IVJ12" s="0"/>
      <c r="IVK12" s="0"/>
      <c r="IVL12" s="0"/>
      <c r="IVM12" s="0"/>
      <c r="IVN12" s="0"/>
      <c r="IVO12" s="0"/>
      <c r="IVP12" s="0"/>
      <c r="IVQ12" s="0"/>
      <c r="IVR12" s="0"/>
      <c r="IVS12" s="0"/>
      <c r="IVT12" s="0"/>
      <c r="IVU12" s="0"/>
      <c r="IVV12" s="0"/>
      <c r="IVW12" s="0"/>
      <c r="IVX12" s="0"/>
      <c r="IVY12" s="0"/>
      <c r="IVZ12" s="0"/>
      <c r="IWA12" s="0"/>
      <c r="IWB12" s="0"/>
      <c r="IWC12" s="0"/>
      <c r="IWD12" s="0"/>
      <c r="IWE12" s="0"/>
      <c r="IWF12" s="0"/>
      <c r="IWG12" s="0"/>
      <c r="IWH12" s="0"/>
      <c r="IWI12" s="0"/>
      <c r="IWJ12" s="0"/>
      <c r="IWK12" s="0"/>
      <c r="IWL12" s="0"/>
      <c r="IWM12" s="0"/>
      <c r="IWN12" s="0"/>
      <c r="IWO12" s="0"/>
      <c r="IWP12" s="0"/>
      <c r="IWQ12" s="0"/>
      <c r="IWR12" s="0"/>
      <c r="IWS12" s="0"/>
      <c r="IWT12" s="0"/>
      <c r="IWU12" s="0"/>
      <c r="IWV12" s="0"/>
      <c r="IWW12" s="0"/>
      <c r="IWX12" s="0"/>
      <c r="IWY12" s="0"/>
      <c r="IWZ12" s="0"/>
      <c r="IXA12" s="0"/>
      <c r="IXB12" s="0"/>
      <c r="IXC12" s="0"/>
      <c r="IXD12" s="0"/>
      <c r="IXE12" s="0"/>
      <c r="IXF12" s="0"/>
      <c r="IXG12" s="0"/>
      <c r="IXH12" s="0"/>
      <c r="IXI12" s="0"/>
      <c r="IXJ12" s="0"/>
      <c r="IXK12" s="0"/>
      <c r="IXL12" s="0"/>
      <c r="IXM12" s="0"/>
      <c r="IXN12" s="0"/>
      <c r="IXO12" s="0"/>
      <c r="IXP12" s="0"/>
      <c r="IXQ12" s="0"/>
      <c r="IXR12" s="0"/>
      <c r="IXS12" s="0"/>
      <c r="IXT12" s="0"/>
      <c r="IXU12" s="0"/>
      <c r="IXV12" s="0"/>
      <c r="IXW12" s="0"/>
      <c r="IXX12" s="0"/>
      <c r="IXY12" s="0"/>
      <c r="IXZ12" s="0"/>
      <c r="IYA12" s="0"/>
      <c r="IYB12" s="0"/>
      <c r="IYC12" s="0"/>
      <c r="IYD12" s="0"/>
      <c r="IYE12" s="0"/>
      <c r="IYF12" s="0"/>
      <c r="IYG12" s="0"/>
      <c r="IYH12" s="0"/>
      <c r="IYI12" s="0"/>
      <c r="IYJ12" s="0"/>
      <c r="IYK12" s="0"/>
      <c r="IYL12" s="0"/>
      <c r="IYM12" s="0"/>
      <c r="IYN12" s="0"/>
      <c r="IYO12" s="0"/>
      <c r="IYP12" s="0"/>
      <c r="IYQ12" s="0"/>
      <c r="IYR12" s="0"/>
      <c r="IYS12" s="0"/>
      <c r="IYT12" s="0"/>
      <c r="IYU12" s="0"/>
      <c r="IYV12" s="0"/>
      <c r="IYW12" s="0"/>
      <c r="IYX12" s="0"/>
      <c r="IYY12" s="0"/>
      <c r="IYZ12" s="0"/>
      <c r="IZA12" s="0"/>
      <c r="IZB12" s="0"/>
      <c r="IZC12" s="0"/>
      <c r="IZD12" s="0"/>
      <c r="IZE12" s="0"/>
      <c r="IZF12" s="0"/>
      <c r="IZG12" s="0"/>
      <c r="IZH12" s="0"/>
      <c r="IZI12" s="0"/>
      <c r="IZJ12" s="0"/>
      <c r="IZK12" s="0"/>
      <c r="IZL12" s="0"/>
      <c r="IZM12" s="0"/>
      <c r="IZN12" s="0"/>
      <c r="IZO12" s="0"/>
      <c r="IZP12" s="0"/>
      <c r="IZQ12" s="0"/>
      <c r="IZR12" s="0"/>
      <c r="IZS12" s="0"/>
      <c r="IZT12" s="0"/>
      <c r="IZU12" s="0"/>
      <c r="IZV12" s="0"/>
      <c r="IZW12" s="0"/>
      <c r="IZX12" s="0"/>
      <c r="IZY12" s="0"/>
      <c r="IZZ12" s="0"/>
      <c r="JAA12" s="0"/>
      <c r="JAB12" s="0"/>
      <c r="JAC12" s="0"/>
      <c r="JAD12" s="0"/>
      <c r="JAE12" s="0"/>
      <c r="JAF12" s="0"/>
      <c r="JAG12" s="0"/>
      <c r="JAH12" s="0"/>
      <c r="JAI12" s="0"/>
      <c r="JAJ12" s="0"/>
      <c r="JAK12" s="0"/>
      <c r="JAL12" s="0"/>
      <c r="JAM12" s="0"/>
      <c r="JAN12" s="0"/>
      <c r="JAO12" s="0"/>
      <c r="JAP12" s="0"/>
      <c r="JAQ12" s="0"/>
      <c r="JAR12" s="0"/>
      <c r="JAS12" s="0"/>
      <c r="JAT12" s="0"/>
      <c r="JAU12" s="0"/>
      <c r="JAV12" s="0"/>
      <c r="JAW12" s="0"/>
      <c r="JAX12" s="0"/>
      <c r="JAY12" s="0"/>
      <c r="JAZ12" s="0"/>
      <c r="JBA12" s="0"/>
      <c r="JBB12" s="0"/>
      <c r="JBC12" s="0"/>
      <c r="JBD12" s="0"/>
      <c r="JBE12" s="0"/>
      <c r="JBF12" s="0"/>
      <c r="JBG12" s="0"/>
      <c r="JBH12" s="0"/>
      <c r="JBI12" s="0"/>
      <c r="JBJ12" s="0"/>
      <c r="JBK12" s="0"/>
      <c r="JBL12" s="0"/>
      <c r="JBM12" s="0"/>
      <c r="JBN12" s="0"/>
      <c r="JBO12" s="0"/>
      <c r="JBP12" s="0"/>
      <c r="JBQ12" s="0"/>
      <c r="JBR12" s="0"/>
      <c r="JBS12" s="0"/>
      <c r="JBT12" s="0"/>
      <c r="JBU12" s="0"/>
      <c r="JBV12" s="0"/>
      <c r="JBW12" s="0"/>
      <c r="JBX12" s="0"/>
      <c r="JBY12" s="0"/>
      <c r="JBZ12" s="0"/>
      <c r="JCA12" s="0"/>
      <c r="JCB12" s="0"/>
      <c r="JCC12" s="0"/>
      <c r="JCD12" s="0"/>
      <c r="JCE12" s="0"/>
      <c r="JCF12" s="0"/>
      <c r="JCG12" s="0"/>
      <c r="JCH12" s="0"/>
      <c r="JCI12" s="0"/>
      <c r="JCJ12" s="0"/>
      <c r="JCK12" s="0"/>
      <c r="JCL12" s="0"/>
      <c r="JCM12" s="0"/>
      <c r="JCN12" s="0"/>
      <c r="JCO12" s="0"/>
      <c r="JCP12" s="0"/>
      <c r="JCQ12" s="0"/>
      <c r="JCR12" s="0"/>
      <c r="JCS12" s="0"/>
      <c r="JCT12" s="0"/>
      <c r="JCU12" s="0"/>
      <c r="JCV12" s="0"/>
      <c r="JCW12" s="0"/>
      <c r="JCX12" s="0"/>
      <c r="JCY12" s="0"/>
      <c r="JCZ12" s="0"/>
      <c r="JDA12" s="0"/>
      <c r="JDB12" s="0"/>
      <c r="JDC12" s="0"/>
      <c r="JDD12" s="0"/>
      <c r="JDE12" s="0"/>
      <c r="JDF12" s="0"/>
      <c r="JDG12" s="0"/>
      <c r="JDH12" s="0"/>
      <c r="JDI12" s="0"/>
      <c r="JDJ12" s="0"/>
      <c r="JDK12" s="0"/>
      <c r="JDL12" s="0"/>
      <c r="JDM12" s="0"/>
      <c r="JDN12" s="0"/>
      <c r="JDO12" s="0"/>
      <c r="JDP12" s="0"/>
      <c r="JDQ12" s="0"/>
      <c r="JDR12" s="0"/>
      <c r="JDS12" s="0"/>
      <c r="JDT12" s="0"/>
      <c r="JDU12" s="0"/>
      <c r="JDV12" s="0"/>
      <c r="JDW12" s="0"/>
      <c r="JDX12" s="0"/>
      <c r="JDY12" s="0"/>
      <c r="JDZ12" s="0"/>
      <c r="JEA12" s="0"/>
      <c r="JEB12" s="0"/>
      <c r="JEC12" s="0"/>
      <c r="JED12" s="0"/>
      <c r="JEE12" s="0"/>
      <c r="JEF12" s="0"/>
      <c r="JEG12" s="0"/>
      <c r="JEH12" s="0"/>
      <c r="JEI12" s="0"/>
      <c r="JEJ12" s="0"/>
      <c r="JEK12" s="0"/>
      <c r="JEL12" s="0"/>
      <c r="JEM12" s="0"/>
      <c r="JEN12" s="0"/>
      <c r="JEO12" s="0"/>
      <c r="JEP12" s="0"/>
      <c r="JEQ12" s="0"/>
      <c r="JER12" s="0"/>
      <c r="JES12" s="0"/>
      <c r="JET12" s="0"/>
      <c r="JEU12" s="0"/>
      <c r="JEV12" s="0"/>
      <c r="JEW12" s="0"/>
      <c r="JEX12" s="0"/>
      <c r="JEY12" s="0"/>
      <c r="JEZ12" s="0"/>
      <c r="JFA12" s="0"/>
      <c r="JFB12" s="0"/>
      <c r="JFC12" s="0"/>
      <c r="JFD12" s="0"/>
      <c r="JFE12" s="0"/>
      <c r="JFF12" s="0"/>
      <c r="JFG12" s="0"/>
      <c r="JFH12" s="0"/>
      <c r="JFI12" s="0"/>
      <c r="JFJ12" s="0"/>
      <c r="JFK12" s="0"/>
      <c r="JFL12" s="0"/>
      <c r="JFM12" s="0"/>
      <c r="JFN12" s="0"/>
      <c r="JFO12" s="0"/>
      <c r="JFP12" s="0"/>
      <c r="JFQ12" s="0"/>
      <c r="JFR12" s="0"/>
      <c r="JFS12" s="0"/>
      <c r="JFT12" s="0"/>
      <c r="JFU12" s="0"/>
      <c r="JFV12" s="0"/>
      <c r="JFW12" s="0"/>
      <c r="JFX12" s="0"/>
      <c r="JFY12" s="0"/>
      <c r="JFZ12" s="0"/>
      <c r="JGA12" s="0"/>
      <c r="JGB12" s="0"/>
      <c r="JGC12" s="0"/>
      <c r="JGD12" s="0"/>
      <c r="JGE12" s="0"/>
      <c r="JGF12" s="0"/>
      <c r="JGG12" s="0"/>
      <c r="JGH12" s="0"/>
      <c r="JGI12" s="0"/>
      <c r="JGJ12" s="0"/>
      <c r="JGK12" s="0"/>
      <c r="JGL12" s="0"/>
      <c r="JGM12" s="0"/>
      <c r="JGN12" s="0"/>
      <c r="JGO12" s="0"/>
      <c r="JGP12" s="0"/>
      <c r="JGQ12" s="0"/>
      <c r="JGR12" s="0"/>
      <c r="JGS12" s="0"/>
      <c r="JGT12" s="0"/>
      <c r="JGU12" s="0"/>
      <c r="JGV12" s="0"/>
      <c r="JGW12" s="0"/>
      <c r="JGX12" s="0"/>
      <c r="JGY12" s="0"/>
      <c r="JGZ12" s="0"/>
      <c r="JHA12" s="0"/>
      <c r="JHB12" s="0"/>
      <c r="JHC12" s="0"/>
      <c r="JHD12" s="0"/>
      <c r="JHE12" s="0"/>
      <c r="JHF12" s="0"/>
      <c r="JHG12" s="0"/>
      <c r="JHH12" s="0"/>
      <c r="JHI12" s="0"/>
      <c r="JHJ12" s="0"/>
      <c r="JHK12" s="0"/>
      <c r="JHL12" s="0"/>
      <c r="JHM12" s="0"/>
      <c r="JHN12" s="0"/>
      <c r="JHO12" s="0"/>
      <c r="JHP12" s="0"/>
      <c r="JHQ12" s="0"/>
      <c r="JHR12" s="0"/>
      <c r="JHS12" s="0"/>
      <c r="JHT12" s="0"/>
      <c r="JHU12" s="0"/>
      <c r="JHV12" s="0"/>
      <c r="JHW12" s="0"/>
      <c r="JHX12" s="0"/>
      <c r="JHY12" s="0"/>
      <c r="JHZ12" s="0"/>
      <c r="JIA12" s="0"/>
      <c r="JIB12" s="0"/>
      <c r="JIC12" s="0"/>
      <c r="JID12" s="0"/>
      <c r="JIE12" s="0"/>
      <c r="JIF12" s="0"/>
      <c r="JIG12" s="0"/>
      <c r="JIH12" s="0"/>
      <c r="JII12" s="0"/>
      <c r="JIJ12" s="0"/>
      <c r="JIK12" s="0"/>
      <c r="JIL12" s="0"/>
      <c r="JIM12" s="0"/>
      <c r="JIN12" s="0"/>
      <c r="JIO12" s="0"/>
      <c r="JIP12" s="0"/>
      <c r="JIQ12" s="0"/>
      <c r="JIR12" s="0"/>
      <c r="JIS12" s="0"/>
      <c r="JIT12" s="0"/>
      <c r="JIU12" s="0"/>
      <c r="JIV12" s="0"/>
      <c r="JIW12" s="0"/>
      <c r="JIX12" s="0"/>
      <c r="JIY12" s="0"/>
      <c r="JIZ12" s="0"/>
      <c r="JJA12" s="0"/>
      <c r="JJB12" s="0"/>
      <c r="JJC12" s="0"/>
      <c r="JJD12" s="0"/>
      <c r="JJE12" s="0"/>
      <c r="JJF12" s="0"/>
      <c r="JJG12" s="0"/>
      <c r="JJH12" s="0"/>
      <c r="JJI12" s="0"/>
      <c r="JJJ12" s="0"/>
      <c r="JJK12" s="0"/>
      <c r="JJL12" s="0"/>
      <c r="JJM12" s="0"/>
      <c r="JJN12" s="0"/>
      <c r="JJO12" s="0"/>
      <c r="JJP12" s="0"/>
      <c r="JJQ12" s="0"/>
      <c r="JJR12" s="0"/>
      <c r="JJS12" s="0"/>
      <c r="JJT12" s="0"/>
      <c r="JJU12" s="0"/>
      <c r="JJV12" s="0"/>
      <c r="JJW12" s="0"/>
      <c r="JJX12" s="0"/>
      <c r="JJY12" s="0"/>
      <c r="JJZ12" s="0"/>
      <c r="JKA12" s="0"/>
      <c r="JKB12" s="0"/>
      <c r="JKC12" s="0"/>
      <c r="JKD12" s="0"/>
      <c r="JKE12" s="0"/>
      <c r="JKF12" s="0"/>
      <c r="JKG12" s="0"/>
      <c r="JKH12" s="0"/>
      <c r="JKI12" s="0"/>
      <c r="JKJ12" s="0"/>
      <c r="JKK12" s="0"/>
      <c r="JKL12" s="0"/>
      <c r="JKM12" s="0"/>
      <c r="JKN12" s="0"/>
      <c r="JKO12" s="0"/>
      <c r="JKP12" s="0"/>
      <c r="JKQ12" s="0"/>
      <c r="JKR12" s="0"/>
      <c r="JKS12" s="0"/>
      <c r="JKT12" s="0"/>
      <c r="JKU12" s="0"/>
      <c r="JKV12" s="0"/>
      <c r="JKW12" s="0"/>
      <c r="JKX12" s="0"/>
      <c r="JKY12" s="0"/>
      <c r="JKZ12" s="0"/>
      <c r="JLA12" s="0"/>
      <c r="JLB12" s="0"/>
      <c r="JLC12" s="0"/>
      <c r="JLD12" s="0"/>
      <c r="JLE12" s="0"/>
      <c r="JLF12" s="0"/>
      <c r="JLG12" s="0"/>
      <c r="JLH12" s="0"/>
      <c r="JLI12" s="0"/>
      <c r="JLJ12" s="0"/>
      <c r="JLK12" s="0"/>
      <c r="JLL12" s="0"/>
      <c r="JLM12" s="0"/>
      <c r="JLN12" s="0"/>
      <c r="JLO12" s="0"/>
      <c r="JLP12" s="0"/>
      <c r="JLQ12" s="0"/>
      <c r="JLR12" s="0"/>
      <c r="JLS12" s="0"/>
      <c r="JLT12" s="0"/>
      <c r="JLU12" s="0"/>
      <c r="JLV12" s="0"/>
      <c r="JLW12" s="0"/>
      <c r="JLX12" s="0"/>
      <c r="JLY12" s="0"/>
      <c r="JLZ12" s="0"/>
      <c r="JMA12" s="0"/>
      <c r="JMB12" s="0"/>
      <c r="JMC12" s="0"/>
      <c r="JMD12" s="0"/>
      <c r="JME12" s="0"/>
      <c r="JMF12" s="0"/>
      <c r="JMG12" s="0"/>
      <c r="JMH12" s="0"/>
      <c r="JMI12" s="0"/>
      <c r="JMJ12" s="0"/>
      <c r="JMK12" s="0"/>
      <c r="JML12" s="0"/>
      <c r="JMM12" s="0"/>
      <c r="JMN12" s="0"/>
      <c r="JMO12" s="0"/>
      <c r="JMP12" s="0"/>
      <c r="JMQ12" s="0"/>
      <c r="JMR12" s="0"/>
      <c r="JMS12" s="0"/>
      <c r="JMT12" s="0"/>
      <c r="JMU12" s="0"/>
      <c r="JMV12" s="0"/>
      <c r="JMW12" s="0"/>
      <c r="JMX12" s="0"/>
      <c r="JMY12" s="0"/>
      <c r="JMZ12" s="0"/>
      <c r="JNA12" s="0"/>
      <c r="JNB12" s="0"/>
      <c r="JNC12" s="0"/>
      <c r="JND12" s="0"/>
      <c r="JNE12" s="0"/>
      <c r="JNF12" s="0"/>
      <c r="JNG12" s="0"/>
      <c r="JNH12" s="0"/>
      <c r="JNI12" s="0"/>
      <c r="JNJ12" s="0"/>
      <c r="JNK12" s="0"/>
      <c r="JNL12" s="0"/>
      <c r="JNM12" s="0"/>
      <c r="JNN12" s="0"/>
      <c r="JNO12" s="0"/>
      <c r="JNP12" s="0"/>
      <c r="JNQ12" s="0"/>
      <c r="JNR12" s="0"/>
      <c r="JNS12" s="0"/>
      <c r="JNT12" s="0"/>
      <c r="JNU12" s="0"/>
      <c r="JNV12" s="0"/>
      <c r="JNW12" s="0"/>
      <c r="JNX12" s="0"/>
      <c r="JNY12" s="0"/>
      <c r="JNZ12" s="0"/>
      <c r="JOA12" s="0"/>
      <c r="JOB12" s="0"/>
      <c r="JOC12" s="0"/>
      <c r="JOD12" s="0"/>
      <c r="JOE12" s="0"/>
      <c r="JOF12" s="0"/>
      <c r="JOG12" s="0"/>
      <c r="JOH12" s="0"/>
      <c r="JOI12" s="0"/>
      <c r="JOJ12" s="0"/>
      <c r="JOK12" s="0"/>
      <c r="JOL12" s="0"/>
      <c r="JOM12" s="0"/>
      <c r="JON12" s="0"/>
      <c r="JOO12" s="0"/>
      <c r="JOP12" s="0"/>
      <c r="JOQ12" s="0"/>
      <c r="JOR12" s="0"/>
      <c r="JOS12" s="0"/>
      <c r="JOT12" s="0"/>
      <c r="JOU12" s="0"/>
      <c r="JOV12" s="0"/>
      <c r="JOW12" s="0"/>
      <c r="JOX12" s="0"/>
      <c r="JOY12" s="0"/>
      <c r="JOZ12" s="0"/>
      <c r="JPA12" s="0"/>
      <c r="JPB12" s="0"/>
      <c r="JPC12" s="0"/>
      <c r="JPD12" s="0"/>
      <c r="JPE12" s="0"/>
      <c r="JPF12" s="0"/>
      <c r="JPG12" s="0"/>
      <c r="JPH12" s="0"/>
      <c r="JPI12" s="0"/>
      <c r="JPJ12" s="0"/>
      <c r="JPK12" s="0"/>
      <c r="JPL12" s="0"/>
      <c r="JPM12" s="0"/>
      <c r="JPN12" s="0"/>
      <c r="JPO12" s="0"/>
      <c r="JPP12" s="0"/>
      <c r="JPQ12" s="0"/>
      <c r="JPR12" s="0"/>
      <c r="JPS12" s="0"/>
      <c r="JPT12" s="0"/>
      <c r="JPU12" s="0"/>
      <c r="JPV12" s="0"/>
      <c r="JPW12" s="0"/>
      <c r="JPX12" s="0"/>
      <c r="JPY12" s="0"/>
      <c r="JPZ12" s="0"/>
      <c r="JQA12" s="0"/>
      <c r="JQB12" s="0"/>
      <c r="JQC12" s="0"/>
      <c r="JQD12" s="0"/>
      <c r="JQE12" s="0"/>
      <c r="JQF12" s="0"/>
      <c r="JQG12" s="0"/>
      <c r="JQH12" s="0"/>
      <c r="JQI12" s="0"/>
      <c r="JQJ12" s="0"/>
      <c r="JQK12" s="0"/>
      <c r="JQL12" s="0"/>
      <c r="JQM12" s="0"/>
      <c r="JQN12" s="0"/>
      <c r="JQO12" s="0"/>
      <c r="JQP12" s="0"/>
      <c r="JQQ12" s="0"/>
      <c r="JQR12" s="0"/>
      <c r="JQS12" s="0"/>
      <c r="JQT12" s="0"/>
      <c r="JQU12" s="0"/>
      <c r="JQV12" s="0"/>
      <c r="JQW12" s="0"/>
      <c r="JQX12" s="0"/>
      <c r="JQY12" s="0"/>
      <c r="JQZ12" s="0"/>
      <c r="JRA12" s="0"/>
      <c r="JRB12" s="0"/>
      <c r="JRC12" s="0"/>
      <c r="JRD12" s="0"/>
      <c r="JRE12" s="0"/>
      <c r="JRF12" s="0"/>
      <c r="JRG12" s="0"/>
      <c r="JRH12" s="0"/>
      <c r="JRI12" s="0"/>
      <c r="JRJ12" s="0"/>
      <c r="JRK12" s="0"/>
      <c r="JRL12" s="0"/>
      <c r="JRM12" s="0"/>
      <c r="JRN12" s="0"/>
      <c r="JRO12" s="0"/>
      <c r="JRP12" s="0"/>
      <c r="JRQ12" s="0"/>
      <c r="JRR12" s="0"/>
      <c r="JRS12" s="0"/>
      <c r="JRT12" s="0"/>
      <c r="JRU12" s="0"/>
      <c r="JRV12" s="0"/>
      <c r="JRW12" s="0"/>
      <c r="JRX12" s="0"/>
      <c r="JRY12" s="0"/>
      <c r="JRZ12" s="0"/>
      <c r="JSA12" s="0"/>
      <c r="JSB12" s="0"/>
      <c r="JSC12" s="0"/>
      <c r="JSD12" s="0"/>
      <c r="JSE12" s="0"/>
      <c r="JSF12" s="0"/>
      <c r="JSG12" s="0"/>
      <c r="JSH12" s="0"/>
      <c r="JSI12" s="0"/>
      <c r="JSJ12" s="0"/>
      <c r="JSK12" s="0"/>
      <c r="JSL12" s="0"/>
      <c r="JSM12" s="0"/>
      <c r="JSN12" s="0"/>
      <c r="JSO12" s="0"/>
      <c r="JSP12" s="0"/>
      <c r="JSQ12" s="0"/>
      <c r="JSR12" s="0"/>
      <c r="JSS12" s="0"/>
      <c r="JST12" s="0"/>
      <c r="JSU12" s="0"/>
      <c r="JSV12" s="0"/>
      <c r="JSW12" s="0"/>
      <c r="JSX12" s="0"/>
      <c r="JSY12" s="0"/>
      <c r="JSZ12" s="0"/>
      <c r="JTA12" s="0"/>
      <c r="JTB12" s="0"/>
      <c r="JTC12" s="0"/>
      <c r="JTD12" s="0"/>
      <c r="JTE12" s="0"/>
      <c r="JTF12" s="0"/>
      <c r="JTG12" s="0"/>
      <c r="JTH12" s="0"/>
      <c r="JTI12" s="0"/>
      <c r="JTJ12" s="0"/>
      <c r="JTK12" s="0"/>
      <c r="JTL12" s="0"/>
      <c r="JTM12" s="0"/>
      <c r="JTN12" s="0"/>
      <c r="JTO12" s="0"/>
      <c r="JTP12" s="0"/>
      <c r="JTQ12" s="0"/>
      <c r="JTR12" s="0"/>
      <c r="JTS12" s="0"/>
      <c r="JTT12" s="0"/>
      <c r="JTU12" s="0"/>
      <c r="JTV12" s="0"/>
      <c r="JTW12" s="0"/>
      <c r="JTX12" s="0"/>
      <c r="JTY12" s="0"/>
      <c r="JTZ12" s="0"/>
      <c r="JUA12" s="0"/>
      <c r="JUB12" s="0"/>
      <c r="JUC12" s="0"/>
      <c r="JUD12" s="0"/>
      <c r="JUE12" s="0"/>
      <c r="JUF12" s="0"/>
      <c r="JUG12" s="0"/>
      <c r="JUH12" s="0"/>
      <c r="JUI12" s="0"/>
      <c r="JUJ12" s="0"/>
      <c r="JUK12" s="0"/>
      <c r="JUL12" s="0"/>
      <c r="JUM12" s="0"/>
      <c r="JUN12" s="0"/>
      <c r="JUO12" s="0"/>
      <c r="JUP12" s="0"/>
      <c r="JUQ12" s="0"/>
      <c r="JUR12" s="0"/>
      <c r="JUS12" s="0"/>
      <c r="JUT12" s="0"/>
      <c r="JUU12" s="0"/>
      <c r="JUV12" s="0"/>
      <c r="JUW12" s="0"/>
      <c r="JUX12" s="0"/>
      <c r="JUY12" s="0"/>
      <c r="JUZ12" s="0"/>
      <c r="JVA12" s="0"/>
      <c r="JVB12" s="0"/>
      <c r="JVC12" s="0"/>
      <c r="JVD12" s="0"/>
      <c r="JVE12" s="0"/>
      <c r="JVF12" s="0"/>
      <c r="JVG12" s="0"/>
      <c r="JVH12" s="0"/>
      <c r="JVI12" s="0"/>
      <c r="JVJ12" s="0"/>
      <c r="JVK12" s="0"/>
      <c r="JVL12" s="0"/>
      <c r="JVM12" s="0"/>
      <c r="JVN12" s="0"/>
      <c r="JVO12" s="0"/>
      <c r="JVP12" s="0"/>
      <c r="JVQ12" s="0"/>
      <c r="JVR12" s="0"/>
      <c r="JVS12" s="0"/>
      <c r="JVT12" s="0"/>
      <c r="JVU12" s="0"/>
      <c r="JVV12" s="0"/>
      <c r="JVW12" s="0"/>
      <c r="JVX12" s="0"/>
      <c r="JVY12" s="0"/>
      <c r="JVZ12" s="0"/>
      <c r="JWA12" s="0"/>
      <c r="JWB12" s="0"/>
      <c r="JWC12" s="0"/>
      <c r="JWD12" s="0"/>
      <c r="JWE12" s="0"/>
      <c r="JWF12" s="0"/>
      <c r="JWG12" s="0"/>
      <c r="JWH12" s="0"/>
      <c r="JWI12" s="0"/>
      <c r="JWJ12" s="0"/>
      <c r="JWK12" s="0"/>
      <c r="JWL12" s="0"/>
      <c r="JWM12" s="0"/>
      <c r="JWN12" s="0"/>
      <c r="JWO12" s="0"/>
      <c r="JWP12" s="0"/>
      <c r="JWQ12" s="0"/>
      <c r="JWR12" s="0"/>
      <c r="JWS12" s="0"/>
      <c r="JWT12" s="0"/>
      <c r="JWU12" s="0"/>
      <c r="JWV12" s="0"/>
      <c r="JWW12" s="0"/>
      <c r="JWX12" s="0"/>
      <c r="JWY12" s="0"/>
      <c r="JWZ12" s="0"/>
      <c r="JXA12" s="0"/>
      <c r="JXB12" s="0"/>
      <c r="JXC12" s="0"/>
      <c r="JXD12" s="0"/>
      <c r="JXE12" s="0"/>
      <c r="JXF12" s="0"/>
      <c r="JXG12" s="0"/>
      <c r="JXH12" s="0"/>
      <c r="JXI12" s="0"/>
      <c r="JXJ12" s="0"/>
      <c r="JXK12" s="0"/>
      <c r="JXL12" s="0"/>
      <c r="JXM12" s="0"/>
      <c r="JXN12" s="0"/>
      <c r="JXO12" s="0"/>
      <c r="JXP12" s="0"/>
      <c r="JXQ12" s="0"/>
      <c r="JXR12" s="0"/>
      <c r="JXS12" s="0"/>
      <c r="JXT12" s="0"/>
      <c r="JXU12" s="0"/>
      <c r="JXV12" s="0"/>
      <c r="JXW12" s="0"/>
      <c r="JXX12" s="0"/>
      <c r="JXY12" s="0"/>
      <c r="JXZ12" s="0"/>
      <c r="JYA12" s="0"/>
      <c r="JYB12" s="0"/>
      <c r="JYC12" s="0"/>
      <c r="JYD12" s="0"/>
      <c r="JYE12" s="0"/>
      <c r="JYF12" s="0"/>
      <c r="JYG12" s="0"/>
      <c r="JYH12" s="0"/>
      <c r="JYI12" s="0"/>
      <c r="JYJ12" s="0"/>
      <c r="JYK12" s="0"/>
      <c r="JYL12" s="0"/>
      <c r="JYM12" s="0"/>
      <c r="JYN12" s="0"/>
      <c r="JYO12" s="0"/>
      <c r="JYP12" s="0"/>
      <c r="JYQ12" s="0"/>
      <c r="JYR12" s="0"/>
      <c r="JYS12" s="0"/>
      <c r="JYT12" s="0"/>
      <c r="JYU12" s="0"/>
      <c r="JYV12" s="0"/>
      <c r="JYW12" s="0"/>
      <c r="JYX12" s="0"/>
      <c r="JYY12" s="0"/>
      <c r="JYZ12" s="0"/>
      <c r="JZA12" s="0"/>
      <c r="JZB12" s="0"/>
      <c r="JZC12" s="0"/>
      <c r="JZD12" s="0"/>
      <c r="JZE12" s="0"/>
      <c r="JZF12" s="0"/>
      <c r="JZG12" s="0"/>
      <c r="JZH12" s="0"/>
      <c r="JZI12" s="0"/>
      <c r="JZJ12" s="0"/>
      <c r="JZK12" s="0"/>
      <c r="JZL12" s="0"/>
      <c r="JZM12" s="0"/>
      <c r="JZN12" s="0"/>
      <c r="JZO12" s="0"/>
      <c r="JZP12" s="0"/>
      <c r="JZQ12" s="0"/>
      <c r="JZR12" s="0"/>
      <c r="JZS12" s="0"/>
      <c r="JZT12" s="0"/>
      <c r="JZU12" s="0"/>
      <c r="JZV12" s="0"/>
      <c r="JZW12" s="0"/>
      <c r="JZX12" s="0"/>
      <c r="JZY12" s="0"/>
      <c r="JZZ12" s="0"/>
      <c r="KAA12" s="0"/>
      <c r="KAB12" s="0"/>
      <c r="KAC12" s="0"/>
      <c r="KAD12" s="0"/>
      <c r="KAE12" s="0"/>
      <c r="KAF12" s="0"/>
      <c r="KAG12" s="0"/>
      <c r="KAH12" s="0"/>
      <c r="KAI12" s="0"/>
      <c r="KAJ12" s="0"/>
      <c r="KAK12" s="0"/>
      <c r="KAL12" s="0"/>
      <c r="KAM12" s="0"/>
      <c r="KAN12" s="0"/>
      <c r="KAO12" s="0"/>
      <c r="KAP12" s="0"/>
      <c r="KAQ12" s="0"/>
      <c r="KAR12" s="0"/>
      <c r="KAS12" s="0"/>
      <c r="KAT12" s="0"/>
      <c r="KAU12" s="0"/>
      <c r="KAV12" s="0"/>
      <c r="KAW12" s="0"/>
      <c r="KAX12" s="0"/>
      <c r="KAY12" s="0"/>
      <c r="KAZ12" s="0"/>
      <c r="KBA12" s="0"/>
      <c r="KBB12" s="0"/>
      <c r="KBC12" s="0"/>
      <c r="KBD12" s="0"/>
      <c r="KBE12" s="0"/>
      <c r="KBF12" s="0"/>
      <c r="KBG12" s="0"/>
      <c r="KBH12" s="0"/>
      <c r="KBI12" s="0"/>
      <c r="KBJ12" s="0"/>
      <c r="KBK12" s="0"/>
      <c r="KBL12" s="0"/>
      <c r="KBM12" s="0"/>
      <c r="KBN12" s="0"/>
      <c r="KBO12" s="0"/>
      <c r="KBP12" s="0"/>
      <c r="KBQ12" s="0"/>
      <c r="KBR12" s="0"/>
      <c r="KBS12" s="0"/>
      <c r="KBT12" s="0"/>
      <c r="KBU12" s="0"/>
      <c r="KBV12" s="0"/>
      <c r="KBW12" s="0"/>
      <c r="KBX12" s="0"/>
      <c r="KBY12" s="0"/>
      <c r="KBZ12" s="0"/>
      <c r="KCA12" s="0"/>
      <c r="KCB12" s="0"/>
      <c r="KCC12" s="0"/>
      <c r="KCD12" s="0"/>
      <c r="KCE12" s="0"/>
      <c r="KCF12" s="0"/>
      <c r="KCG12" s="0"/>
      <c r="KCH12" s="0"/>
      <c r="KCI12" s="0"/>
      <c r="KCJ12" s="0"/>
      <c r="KCK12" s="0"/>
      <c r="KCL12" s="0"/>
      <c r="KCM12" s="0"/>
      <c r="KCN12" s="0"/>
      <c r="KCO12" s="0"/>
      <c r="KCP12" s="0"/>
      <c r="KCQ12" s="0"/>
      <c r="KCR12" s="0"/>
      <c r="KCS12" s="0"/>
      <c r="KCT12" s="0"/>
      <c r="KCU12" s="0"/>
      <c r="KCV12" s="0"/>
      <c r="KCW12" s="0"/>
      <c r="KCX12" s="0"/>
      <c r="KCY12" s="0"/>
      <c r="KCZ12" s="0"/>
      <c r="KDA12" s="0"/>
      <c r="KDB12" s="0"/>
      <c r="KDC12" s="0"/>
      <c r="KDD12" s="0"/>
      <c r="KDE12" s="0"/>
      <c r="KDF12" s="0"/>
      <c r="KDG12" s="0"/>
      <c r="KDH12" s="0"/>
      <c r="KDI12" s="0"/>
      <c r="KDJ12" s="0"/>
      <c r="KDK12" s="0"/>
      <c r="KDL12" s="0"/>
      <c r="KDM12" s="0"/>
      <c r="KDN12" s="0"/>
      <c r="KDO12" s="0"/>
      <c r="KDP12" s="0"/>
      <c r="KDQ12" s="0"/>
      <c r="KDR12" s="0"/>
      <c r="KDS12" s="0"/>
      <c r="KDT12" s="0"/>
      <c r="KDU12" s="0"/>
      <c r="KDV12" s="0"/>
      <c r="KDW12" s="0"/>
      <c r="KDX12" s="0"/>
      <c r="KDY12" s="0"/>
      <c r="KDZ12" s="0"/>
      <c r="KEA12" s="0"/>
      <c r="KEB12" s="0"/>
      <c r="KEC12" s="0"/>
      <c r="KED12" s="0"/>
      <c r="KEE12" s="0"/>
      <c r="KEF12" s="0"/>
      <c r="KEG12" s="0"/>
      <c r="KEH12" s="0"/>
      <c r="KEI12" s="0"/>
      <c r="KEJ12" s="0"/>
      <c r="KEK12" s="0"/>
      <c r="KEL12" s="0"/>
      <c r="KEM12" s="0"/>
      <c r="KEN12" s="0"/>
      <c r="KEO12" s="0"/>
      <c r="KEP12" s="0"/>
      <c r="KEQ12" s="0"/>
      <c r="KER12" s="0"/>
      <c r="KES12" s="0"/>
      <c r="KET12" s="0"/>
      <c r="KEU12" s="0"/>
      <c r="KEV12" s="0"/>
      <c r="KEW12" s="0"/>
      <c r="KEX12" s="0"/>
      <c r="KEY12" s="0"/>
      <c r="KEZ12" s="0"/>
      <c r="KFA12" s="0"/>
      <c r="KFB12" s="0"/>
      <c r="KFC12" s="0"/>
      <c r="KFD12" s="0"/>
      <c r="KFE12" s="0"/>
      <c r="KFF12" s="0"/>
      <c r="KFG12" s="0"/>
      <c r="KFH12" s="0"/>
      <c r="KFI12" s="0"/>
      <c r="KFJ12" s="0"/>
      <c r="KFK12" s="0"/>
      <c r="KFL12" s="0"/>
      <c r="KFM12" s="0"/>
      <c r="KFN12" s="0"/>
      <c r="KFO12" s="0"/>
      <c r="KFP12" s="0"/>
      <c r="KFQ12" s="0"/>
      <c r="KFR12" s="0"/>
      <c r="KFS12" s="0"/>
      <c r="KFT12" s="0"/>
      <c r="KFU12" s="0"/>
      <c r="KFV12" s="0"/>
      <c r="KFW12" s="0"/>
      <c r="KFX12" s="0"/>
      <c r="KFY12" s="0"/>
      <c r="KFZ12" s="0"/>
      <c r="KGA12" s="0"/>
      <c r="KGB12" s="0"/>
      <c r="KGC12" s="0"/>
      <c r="KGD12" s="0"/>
      <c r="KGE12" s="0"/>
      <c r="KGF12" s="0"/>
      <c r="KGG12" s="0"/>
      <c r="KGH12" s="0"/>
      <c r="KGI12" s="0"/>
      <c r="KGJ12" s="0"/>
      <c r="KGK12" s="0"/>
      <c r="KGL12" s="0"/>
      <c r="KGM12" s="0"/>
      <c r="KGN12" s="0"/>
      <c r="KGO12" s="0"/>
      <c r="KGP12" s="0"/>
      <c r="KGQ12" s="0"/>
      <c r="KGR12" s="0"/>
      <c r="KGS12" s="0"/>
      <c r="KGT12" s="0"/>
      <c r="KGU12" s="0"/>
      <c r="KGV12" s="0"/>
      <c r="KGW12" s="0"/>
      <c r="KGX12" s="0"/>
      <c r="KGY12" s="0"/>
      <c r="KGZ12" s="0"/>
      <c r="KHA12" s="0"/>
      <c r="KHB12" s="0"/>
      <c r="KHC12" s="0"/>
      <c r="KHD12" s="0"/>
      <c r="KHE12" s="0"/>
      <c r="KHF12" s="0"/>
      <c r="KHG12" s="0"/>
      <c r="KHH12" s="0"/>
      <c r="KHI12" s="0"/>
      <c r="KHJ12" s="0"/>
      <c r="KHK12" s="0"/>
      <c r="KHL12" s="0"/>
      <c r="KHM12" s="0"/>
      <c r="KHN12" s="0"/>
      <c r="KHO12" s="0"/>
      <c r="KHP12" s="0"/>
      <c r="KHQ12" s="0"/>
      <c r="KHR12" s="0"/>
      <c r="KHS12" s="0"/>
      <c r="KHT12" s="0"/>
      <c r="KHU12" s="0"/>
      <c r="KHV12" s="0"/>
      <c r="KHW12" s="0"/>
      <c r="KHX12" s="0"/>
      <c r="KHY12" s="0"/>
      <c r="KHZ12" s="0"/>
      <c r="KIA12" s="0"/>
      <c r="KIB12" s="0"/>
      <c r="KIC12" s="0"/>
      <c r="KID12" s="0"/>
      <c r="KIE12" s="0"/>
      <c r="KIF12" s="0"/>
      <c r="KIG12" s="0"/>
      <c r="KIH12" s="0"/>
      <c r="KII12" s="0"/>
      <c r="KIJ12" s="0"/>
      <c r="KIK12" s="0"/>
      <c r="KIL12" s="0"/>
      <c r="KIM12" s="0"/>
      <c r="KIN12" s="0"/>
      <c r="KIO12" s="0"/>
      <c r="KIP12" s="0"/>
      <c r="KIQ12" s="0"/>
      <c r="KIR12" s="0"/>
      <c r="KIS12" s="0"/>
      <c r="KIT12" s="0"/>
      <c r="KIU12" s="0"/>
      <c r="KIV12" s="0"/>
      <c r="KIW12" s="0"/>
      <c r="KIX12" s="0"/>
      <c r="KIY12" s="0"/>
      <c r="KIZ12" s="0"/>
      <c r="KJA12" s="0"/>
      <c r="KJB12" s="0"/>
      <c r="KJC12" s="0"/>
      <c r="KJD12" s="0"/>
      <c r="KJE12" s="0"/>
      <c r="KJF12" s="0"/>
      <c r="KJG12" s="0"/>
      <c r="KJH12" s="0"/>
      <c r="KJI12" s="0"/>
      <c r="KJJ12" s="0"/>
      <c r="KJK12" s="0"/>
      <c r="KJL12" s="0"/>
      <c r="KJM12" s="0"/>
      <c r="KJN12" s="0"/>
      <c r="KJO12" s="0"/>
      <c r="KJP12" s="0"/>
      <c r="KJQ12" s="0"/>
      <c r="KJR12" s="0"/>
      <c r="KJS12" s="0"/>
      <c r="KJT12" s="0"/>
      <c r="KJU12" s="0"/>
      <c r="KJV12" s="0"/>
      <c r="KJW12" s="0"/>
      <c r="KJX12" s="0"/>
      <c r="KJY12" s="0"/>
      <c r="KJZ12" s="0"/>
      <c r="KKA12" s="0"/>
      <c r="KKB12" s="0"/>
      <c r="KKC12" s="0"/>
      <c r="KKD12" s="0"/>
      <c r="KKE12" s="0"/>
      <c r="KKF12" s="0"/>
      <c r="KKG12" s="0"/>
      <c r="KKH12" s="0"/>
      <c r="KKI12" s="0"/>
      <c r="KKJ12" s="0"/>
      <c r="KKK12" s="0"/>
      <c r="KKL12" s="0"/>
      <c r="KKM12" s="0"/>
      <c r="KKN12" s="0"/>
      <c r="KKO12" s="0"/>
      <c r="KKP12" s="0"/>
      <c r="KKQ12" s="0"/>
      <c r="KKR12" s="0"/>
      <c r="KKS12" s="0"/>
      <c r="KKT12" s="0"/>
      <c r="KKU12" s="0"/>
      <c r="KKV12" s="0"/>
      <c r="KKW12" s="0"/>
      <c r="KKX12" s="0"/>
      <c r="KKY12" s="0"/>
      <c r="KKZ12" s="0"/>
      <c r="KLA12" s="0"/>
      <c r="KLB12" s="0"/>
      <c r="KLC12" s="0"/>
      <c r="KLD12" s="0"/>
      <c r="KLE12" s="0"/>
      <c r="KLF12" s="0"/>
      <c r="KLG12" s="0"/>
      <c r="KLH12" s="0"/>
      <c r="KLI12" s="0"/>
      <c r="KLJ12" s="0"/>
      <c r="KLK12" s="0"/>
      <c r="KLL12" s="0"/>
      <c r="KLM12" s="0"/>
      <c r="KLN12" s="0"/>
      <c r="KLO12" s="0"/>
      <c r="KLP12" s="0"/>
      <c r="KLQ12" s="0"/>
      <c r="KLR12" s="0"/>
      <c r="KLS12" s="0"/>
      <c r="KLT12" s="0"/>
      <c r="KLU12" s="0"/>
      <c r="KLV12" s="0"/>
      <c r="KLW12" s="0"/>
      <c r="KLX12" s="0"/>
      <c r="KLY12" s="0"/>
      <c r="KLZ12" s="0"/>
      <c r="KMA12" s="0"/>
      <c r="KMB12" s="0"/>
      <c r="KMC12" s="0"/>
      <c r="KMD12" s="0"/>
      <c r="KME12" s="0"/>
      <c r="KMF12" s="0"/>
      <c r="KMG12" s="0"/>
      <c r="KMH12" s="0"/>
      <c r="KMI12" s="0"/>
      <c r="KMJ12" s="0"/>
      <c r="KMK12" s="0"/>
      <c r="KML12" s="0"/>
      <c r="KMM12" s="0"/>
      <c r="KMN12" s="0"/>
      <c r="KMO12" s="0"/>
      <c r="KMP12" s="0"/>
      <c r="KMQ12" s="0"/>
      <c r="KMR12" s="0"/>
      <c r="KMS12" s="0"/>
      <c r="KMT12" s="0"/>
      <c r="KMU12" s="0"/>
      <c r="KMV12" s="0"/>
      <c r="KMW12" s="0"/>
      <c r="KMX12" s="0"/>
      <c r="KMY12" s="0"/>
      <c r="KMZ12" s="0"/>
      <c r="KNA12" s="0"/>
      <c r="KNB12" s="0"/>
      <c r="KNC12" s="0"/>
      <c r="KND12" s="0"/>
      <c r="KNE12" s="0"/>
      <c r="KNF12" s="0"/>
      <c r="KNG12" s="0"/>
      <c r="KNH12" s="0"/>
      <c r="KNI12" s="0"/>
      <c r="KNJ12" s="0"/>
      <c r="KNK12" s="0"/>
      <c r="KNL12" s="0"/>
      <c r="KNM12" s="0"/>
      <c r="KNN12" s="0"/>
      <c r="KNO12" s="0"/>
      <c r="KNP12" s="0"/>
      <c r="KNQ12" s="0"/>
      <c r="KNR12" s="0"/>
      <c r="KNS12" s="0"/>
      <c r="KNT12" s="0"/>
      <c r="KNU12" s="0"/>
      <c r="KNV12" s="0"/>
      <c r="KNW12" s="0"/>
      <c r="KNX12" s="0"/>
      <c r="KNY12" s="0"/>
      <c r="KNZ12" s="0"/>
      <c r="KOA12" s="0"/>
      <c r="KOB12" s="0"/>
      <c r="KOC12" s="0"/>
      <c r="KOD12" s="0"/>
      <c r="KOE12" s="0"/>
      <c r="KOF12" s="0"/>
      <c r="KOG12" s="0"/>
      <c r="KOH12" s="0"/>
      <c r="KOI12" s="0"/>
      <c r="KOJ12" s="0"/>
      <c r="KOK12" s="0"/>
      <c r="KOL12" s="0"/>
      <c r="KOM12" s="0"/>
      <c r="KON12" s="0"/>
      <c r="KOO12" s="0"/>
      <c r="KOP12" s="0"/>
      <c r="KOQ12" s="0"/>
      <c r="KOR12" s="0"/>
      <c r="KOS12" s="0"/>
      <c r="KOT12" s="0"/>
      <c r="KOU12" s="0"/>
      <c r="KOV12" s="0"/>
      <c r="KOW12" s="0"/>
      <c r="KOX12" s="0"/>
      <c r="KOY12" s="0"/>
      <c r="KOZ12" s="0"/>
      <c r="KPA12" s="0"/>
      <c r="KPB12" s="0"/>
      <c r="KPC12" s="0"/>
      <c r="KPD12" s="0"/>
      <c r="KPE12" s="0"/>
      <c r="KPF12" s="0"/>
      <c r="KPG12" s="0"/>
      <c r="KPH12" s="0"/>
      <c r="KPI12" s="0"/>
      <c r="KPJ12" s="0"/>
      <c r="KPK12" s="0"/>
      <c r="KPL12" s="0"/>
      <c r="KPM12" s="0"/>
      <c r="KPN12" s="0"/>
      <c r="KPO12" s="0"/>
      <c r="KPP12" s="0"/>
      <c r="KPQ12" s="0"/>
      <c r="KPR12" s="0"/>
      <c r="KPS12" s="0"/>
      <c r="KPT12" s="0"/>
      <c r="KPU12" s="0"/>
      <c r="KPV12" s="0"/>
      <c r="KPW12" s="0"/>
      <c r="KPX12" s="0"/>
      <c r="KPY12" s="0"/>
      <c r="KPZ12" s="0"/>
      <c r="KQA12" s="0"/>
      <c r="KQB12" s="0"/>
      <c r="KQC12" s="0"/>
      <c r="KQD12" s="0"/>
      <c r="KQE12" s="0"/>
      <c r="KQF12" s="0"/>
      <c r="KQG12" s="0"/>
      <c r="KQH12" s="0"/>
      <c r="KQI12" s="0"/>
      <c r="KQJ12" s="0"/>
      <c r="KQK12" s="0"/>
      <c r="KQL12" s="0"/>
      <c r="KQM12" s="0"/>
      <c r="KQN12" s="0"/>
      <c r="KQO12" s="0"/>
      <c r="KQP12" s="0"/>
      <c r="KQQ12" s="0"/>
      <c r="KQR12" s="0"/>
      <c r="KQS12" s="0"/>
      <c r="KQT12" s="0"/>
      <c r="KQU12" s="0"/>
      <c r="KQV12" s="0"/>
      <c r="KQW12" s="0"/>
      <c r="KQX12" s="0"/>
      <c r="KQY12" s="0"/>
      <c r="KQZ12" s="0"/>
      <c r="KRA12" s="0"/>
      <c r="KRB12" s="0"/>
      <c r="KRC12" s="0"/>
      <c r="KRD12" s="0"/>
      <c r="KRE12" s="0"/>
      <c r="KRF12" s="0"/>
      <c r="KRG12" s="0"/>
      <c r="KRH12" s="0"/>
      <c r="KRI12" s="0"/>
      <c r="KRJ12" s="0"/>
      <c r="KRK12" s="0"/>
      <c r="KRL12" s="0"/>
      <c r="KRM12" s="0"/>
      <c r="KRN12" s="0"/>
      <c r="KRO12" s="0"/>
      <c r="KRP12" s="0"/>
      <c r="KRQ12" s="0"/>
      <c r="KRR12" s="0"/>
      <c r="KRS12" s="0"/>
      <c r="KRT12" s="0"/>
      <c r="KRU12" s="0"/>
      <c r="KRV12" s="0"/>
      <c r="KRW12" s="0"/>
      <c r="KRX12" s="0"/>
      <c r="KRY12" s="0"/>
      <c r="KRZ12" s="0"/>
      <c r="KSA12" s="0"/>
      <c r="KSB12" s="0"/>
      <c r="KSC12" s="0"/>
      <c r="KSD12" s="0"/>
      <c r="KSE12" s="0"/>
      <c r="KSF12" s="0"/>
      <c r="KSG12" s="0"/>
      <c r="KSH12" s="0"/>
      <c r="KSI12" s="0"/>
      <c r="KSJ12" s="0"/>
      <c r="KSK12" s="0"/>
      <c r="KSL12" s="0"/>
      <c r="KSM12" s="0"/>
      <c r="KSN12" s="0"/>
      <c r="KSO12" s="0"/>
      <c r="KSP12" s="0"/>
      <c r="KSQ12" s="0"/>
      <c r="KSR12" s="0"/>
      <c r="KSS12" s="0"/>
      <c r="KST12" s="0"/>
      <c r="KSU12" s="0"/>
      <c r="KSV12" s="0"/>
      <c r="KSW12" s="0"/>
      <c r="KSX12" s="0"/>
      <c r="KSY12" s="0"/>
      <c r="KSZ12" s="0"/>
      <c r="KTA12" s="0"/>
      <c r="KTB12" s="0"/>
      <c r="KTC12" s="0"/>
      <c r="KTD12" s="0"/>
      <c r="KTE12" s="0"/>
      <c r="KTF12" s="0"/>
      <c r="KTG12" s="0"/>
      <c r="KTH12" s="0"/>
      <c r="KTI12" s="0"/>
      <c r="KTJ12" s="0"/>
      <c r="KTK12" s="0"/>
      <c r="KTL12" s="0"/>
      <c r="KTM12" s="0"/>
      <c r="KTN12" s="0"/>
      <c r="KTO12" s="0"/>
      <c r="KTP12" s="0"/>
      <c r="KTQ12" s="0"/>
      <c r="KTR12" s="0"/>
      <c r="KTS12" s="0"/>
      <c r="KTT12" s="0"/>
      <c r="KTU12" s="0"/>
      <c r="KTV12" s="0"/>
      <c r="KTW12" s="0"/>
      <c r="KTX12" s="0"/>
      <c r="KTY12" s="0"/>
      <c r="KTZ12" s="0"/>
      <c r="KUA12" s="0"/>
      <c r="KUB12" s="0"/>
      <c r="KUC12" s="0"/>
      <c r="KUD12" s="0"/>
      <c r="KUE12" s="0"/>
      <c r="KUF12" s="0"/>
      <c r="KUG12" s="0"/>
      <c r="KUH12" s="0"/>
      <c r="KUI12" s="0"/>
      <c r="KUJ12" s="0"/>
      <c r="KUK12" s="0"/>
      <c r="KUL12" s="0"/>
      <c r="KUM12" s="0"/>
      <c r="KUN12" s="0"/>
      <c r="KUO12" s="0"/>
      <c r="KUP12" s="0"/>
      <c r="KUQ12" s="0"/>
      <c r="KUR12" s="0"/>
      <c r="KUS12" s="0"/>
      <c r="KUT12" s="0"/>
      <c r="KUU12" s="0"/>
      <c r="KUV12" s="0"/>
      <c r="KUW12" s="0"/>
      <c r="KUX12" s="0"/>
      <c r="KUY12" s="0"/>
      <c r="KUZ12" s="0"/>
      <c r="KVA12" s="0"/>
      <c r="KVB12" s="0"/>
      <c r="KVC12" s="0"/>
      <c r="KVD12" s="0"/>
      <c r="KVE12" s="0"/>
      <c r="KVF12" s="0"/>
      <c r="KVG12" s="0"/>
      <c r="KVH12" s="0"/>
      <c r="KVI12" s="0"/>
      <c r="KVJ12" s="0"/>
      <c r="KVK12" s="0"/>
      <c r="KVL12" s="0"/>
      <c r="KVM12" s="0"/>
      <c r="KVN12" s="0"/>
      <c r="KVO12" s="0"/>
      <c r="KVP12" s="0"/>
      <c r="KVQ12" s="0"/>
      <c r="KVR12" s="0"/>
      <c r="KVS12" s="0"/>
      <c r="KVT12" s="0"/>
      <c r="KVU12" s="0"/>
      <c r="KVV12" s="0"/>
      <c r="KVW12" s="0"/>
      <c r="KVX12" s="0"/>
      <c r="KVY12" s="0"/>
      <c r="KVZ12" s="0"/>
      <c r="KWA12" s="0"/>
      <c r="KWB12" s="0"/>
      <c r="KWC12" s="0"/>
      <c r="KWD12" s="0"/>
      <c r="KWE12" s="0"/>
      <c r="KWF12" s="0"/>
      <c r="KWG12" s="0"/>
      <c r="KWH12" s="0"/>
      <c r="KWI12" s="0"/>
      <c r="KWJ12" s="0"/>
      <c r="KWK12" s="0"/>
      <c r="KWL12" s="0"/>
      <c r="KWM12" s="0"/>
      <c r="KWN12" s="0"/>
      <c r="KWO12" s="0"/>
      <c r="KWP12" s="0"/>
      <c r="KWQ12" s="0"/>
      <c r="KWR12" s="0"/>
      <c r="KWS12" s="0"/>
      <c r="KWT12" s="0"/>
      <c r="KWU12" s="0"/>
      <c r="KWV12" s="0"/>
      <c r="KWW12" s="0"/>
      <c r="KWX12" s="0"/>
      <c r="KWY12" s="0"/>
      <c r="KWZ12" s="0"/>
      <c r="KXA12" s="0"/>
      <c r="KXB12" s="0"/>
      <c r="KXC12" s="0"/>
      <c r="KXD12" s="0"/>
      <c r="KXE12" s="0"/>
      <c r="KXF12" s="0"/>
      <c r="KXG12" s="0"/>
      <c r="KXH12" s="0"/>
      <c r="KXI12" s="0"/>
      <c r="KXJ12" s="0"/>
      <c r="KXK12" s="0"/>
      <c r="KXL12" s="0"/>
      <c r="KXM12" s="0"/>
      <c r="KXN12" s="0"/>
      <c r="KXO12" s="0"/>
      <c r="KXP12" s="0"/>
      <c r="KXQ12" s="0"/>
      <c r="KXR12" s="0"/>
      <c r="KXS12" s="0"/>
      <c r="KXT12" s="0"/>
      <c r="KXU12" s="0"/>
      <c r="KXV12" s="0"/>
      <c r="KXW12" s="0"/>
      <c r="KXX12" s="0"/>
      <c r="KXY12" s="0"/>
      <c r="KXZ12" s="0"/>
      <c r="KYA12" s="0"/>
      <c r="KYB12" s="0"/>
      <c r="KYC12" s="0"/>
      <c r="KYD12" s="0"/>
      <c r="KYE12" s="0"/>
      <c r="KYF12" s="0"/>
      <c r="KYG12" s="0"/>
      <c r="KYH12" s="0"/>
      <c r="KYI12" s="0"/>
      <c r="KYJ12" s="0"/>
      <c r="KYK12" s="0"/>
      <c r="KYL12" s="0"/>
      <c r="KYM12" s="0"/>
      <c r="KYN12" s="0"/>
      <c r="KYO12" s="0"/>
      <c r="KYP12" s="0"/>
      <c r="KYQ12" s="0"/>
      <c r="KYR12" s="0"/>
      <c r="KYS12" s="0"/>
      <c r="KYT12" s="0"/>
      <c r="KYU12" s="0"/>
      <c r="KYV12" s="0"/>
      <c r="KYW12" s="0"/>
      <c r="KYX12" s="0"/>
      <c r="KYY12" s="0"/>
      <c r="KYZ12" s="0"/>
      <c r="KZA12" s="0"/>
      <c r="KZB12" s="0"/>
      <c r="KZC12" s="0"/>
      <c r="KZD12" s="0"/>
      <c r="KZE12" s="0"/>
      <c r="KZF12" s="0"/>
      <c r="KZG12" s="0"/>
      <c r="KZH12" s="0"/>
      <c r="KZI12" s="0"/>
      <c r="KZJ12" s="0"/>
      <c r="KZK12" s="0"/>
      <c r="KZL12" s="0"/>
      <c r="KZM12" s="0"/>
      <c r="KZN12" s="0"/>
      <c r="KZO12" s="0"/>
      <c r="KZP12" s="0"/>
      <c r="KZQ12" s="0"/>
      <c r="KZR12" s="0"/>
      <c r="KZS12" s="0"/>
      <c r="KZT12" s="0"/>
      <c r="KZU12" s="0"/>
      <c r="KZV12" s="0"/>
      <c r="KZW12" s="0"/>
      <c r="KZX12" s="0"/>
      <c r="KZY12" s="0"/>
      <c r="KZZ12" s="0"/>
      <c r="LAA12" s="0"/>
      <c r="LAB12" s="0"/>
      <c r="LAC12" s="0"/>
      <c r="LAD12" s="0"/>
      <c r="LAE12" s="0"/>
      <c r="LAF12" s="0"/>
      <c r="LAG12" s="0"/>
      <c r="LAH12" s="0"/>
      <c r="LAI12" s="0"/>
      <c r="LAJ12" s="0"/>
      <c r="LAK12" s="0"/>
      <c r="LAL12" s="0"/>
      <c r="LAM12" s="0"/>
      <c r="LAN12" s="0"/>
      <c r="LAO12" s="0"/>
      <c r="LAP12" s="0"/>
      <c r="LAQ12" s="0"/>
      <c r="LAR12" s="0"/>
      <c r="LAS12" s="0"/>
      <c r="LAT12" s="0"/>
      <c r="LAU12" s="0"/>
      <c r="LAV12" s="0"/>
      <c r="LAW12" s="0"/>
      <c r="LAX12" s="0"/>
      <c r="LAY12" s="0"/>
      <c r="LAZ12" s="0"/>
      <c r="LBA12" s="0"/>
      <c r="LBB12" s="0"/>
      <c r="LBC12" s="0"/>
      <c r="LBD12" s="0"/>
      <c r="LBE12" s="0"/>
      <c r="LBF12" s="0"/>
      <c r="LBG12" s="0"/>
      <c r="LBH12" s="0"/>
      <c r="LBI12" s="0"/>
      <c r="LBJ12" s="0"/>
      <c r="LBK12" s="0"/>
      <c r="LBL12" s="0"/>
      <c r="LBM12" s="0"/>
      <c r="LBN12" s="0"/>
      <c r="LBO12" s="0"/>
      <c r="LBP12" s="0"/>
      <c r="LBQ12" s="0"/>
      <c r="LBR12" s="0"/>
      <c r="LBS12" s="0"/>
      <c r="LBT12" s="0"/>
      <c r="LBU12" s="0"/>
      <c r="LBV12" s="0"/>
      <c r="LBW12" s="0"/>
      <c r="LBX12" s="0"/>
      <c r="LBY12" s="0"/>
      <c r="LBZ12" s="0"/>
      <c r="LCA12" s="0"/>
      <c r="LCB12" s="0"/>
      <c r="LCC12" s="0"/>
      <c r="LCD12" s="0"/>
      <c r="LCE12" s="0"/>
      <c r="LCF12" s="0"/>
      <c r="LCG12" s="0"/>
      <c r="LCH12" s="0"/>
      <c r="LCI12" s="0"/>
      <c r="LCJ12" s="0"/>
      <c r="LCK12" s="0"/>
      <c r="LCL12" s="0"/>
      <c r="LCM12" s="0"/>
      <c r="LCN12" s="0"/>
      <c r="LCO12" s="0"/>
      <c r="LCP12" s="0"/>
      <c r="LCQ12" s="0"/>
      <c r="LCR12" s="0"/>
      <c r="LCS12" s="0"/>
      <c r="LCT12" s="0"/>
      <c r="LCU12" s="0"/>
      <c r="LCV12" s="0"/>
      <c r="LCW12" s="0"/>
      <c r="LCX12" s="0"/>
      <c r="LCY12" s="0"/>
      <c r="LCZ12" s="0"/>
      <c r="LDA12" s="0"/>
      <c r="LDB12" s="0"/>
      <c r="LDC12" s="0"/>
      <c r="LDD12" s="0"/>
      <c r="LDE12" s="0"/>
      <c r="LDF12" s="0"/>
      <c r="LDG12" s="0"/>
      <c r="LDH12" s="0"/>
      <c r="LDI12" s="0"/>
      <c r="LDJ12" s="0"/>
      <c r="LDK12" s="0"/>
      <c r="LDL12" s="0"/>
      <c r="LDM12" s="0"/>
      <c r="LDN12" s="0"/>
      <c r="LDO12" s="0"/>
      <c r="LDP12" s="0"/>
      <c r="LDQ12" s="0"/>
      <c r="LDR12" s="0"/>
      <c r="LDS12" s="0"/>
      <c r="LDT12" s="0"/>
      <c r="LDU12" s="0"/>
      <c r="LDV12" s="0"/>
      <c r="LDW12" s="0"/>
      <c r="LDX12" s="0"/>
      <c r="LDY12" s="0"/>
      <c r="LDZ12" s="0"/>
      <c r="LEA12" s="0"/>
      <c r="LEB12" s="0"/>
      <c r="LEC12" s="0"/>
      <c r="LED12" s="0"/>
      <c r="LEE12" s="0"/>
      <c r="LEF12" s="0"/>
      <c r="LEG12" s="0"/>
      <c r="LEH12" s="0"/>
      <c r="LEI12" s="0"/>
      <c r="LEJ12" s="0"/>
      <c r="LEK12" s="0"/>
      <c r="LEL12" s="0"/>
      <c r="LEM12" s="0"/>
      <c r="LEN12" s="0"/>
      <c r="LEO12" s="0"/>
      <c r="LEP12" s="0"/>
      <c r="LEQ12" s="0"/>
      <c r="LER12" s="0"/>
      <c r="LES12" s="0"/>
      <c r="LET12" s="0"/>
      <c r="LEU12" s="0"/>
      <c r="LEV12" s="0"/>
      <c r="LEW12" s="0"/>
      <c r="LEX12" s="0"/>
      <c r="LEY12" s="0"/>
      <c r="LEZ12" s="0"/>
      <c r="LFA12" s="0"/>
      <c r="LFB12" s="0"/>
      <c r="LFC12" s="0"/>
      <c r="LFD12" s="0"/>
      <c r="LFE12" s="0"/>
      <c r="LFF12" s="0"/>
      <c r="LFG12" s="0"/>
      <c r="LFH12" s="0"/>
      <c r="LFI12" s="0"/>
      <c r="LFJ12" s="0"/>
      <c r="LFK12" s="0"/>
      <c r="LFL12" s="0"/>
      <c r="LFM12" s="0"/>
      <c r="LFN12" s="0"/>
      <c r="LFO12" s="0"/>
      <c r="LFP12" s="0"/>
      <c r="LFQ12" s="0"/>
      <c r="LFR12" s="0"/>
      <c r="LFS12" s="0"/>
      <c r="LFT12" s="0"/>
      <c r="LFU12" s="0"/>
      <c r="LFV12" s="0"/>
      <c r="LFW12" s="0"/>
      <c r="LFX12" s="0"/>
      <c r="LFY12" s="0"/>
      <c r="LFZ12" s="0"/>
      <c r="LGA12" s="0"/>
      <c r="LGB12" s="0"/>
      <c r="LGC12" s="0"/>
      <c r="LGD12" s="0"/>
      <c r="LGE12" s="0"/>
      <c r="LGF12" s="0"/>
      <c r="LGG12" s="0"/>
      <c r="LGH12" s="0"/>
      <c r="LGI12" s="0"/>
      <c r="LGJ12" s="0"/>
      <c r="LGK12" s="0"/>
      <c r="LGL12" s="0"/>
      <c r="LGM12" s="0"/>
      <c r="LGN12" s="0"/>
      <c r="LGO12" s="0"/>
      <c r="LGP12" s="0"/>
      <c r="LGQ12" s="0"/>
      <c r="LGR12" s="0"/>
      <c r="LGS12" s="0"/>
      <c r="LGT12" s="0"/>
      <c r="LGU12" s="0"/>
      <c r="LGV12" s="0"/>
      <c r="LGW12" s="0"/>
      <c r="LGX12" s="0"/>
      <c r="LGY12" s="0"/>
      <c r="LGZ12" s="0"/>
      <c r="LHA12" s="0"/>
      <c r="LHB12" s="0"/>
      <c r="LHC12" s="0"/>
      <c r="LHD12" s="0"/>
      <c r="LHE12" s="0"/>
      <c r="LHF12" s="0"/>
      <c r="LHG12" s="0"/>
      <c r="LHH12" s="0"/>
      <c r="LHI12" s="0"/>
      <c r="LHJ12" s="0"/>
      <c r="LHK12" s="0"/>
      <c r="LHL12" s="0"/>
      <c r="LHM12" s="0"/>
      <c r="LHN12" s="0"/>
      <c r="LHO12" s="0"/>
      <c r="LHP12" s="0"/>
      <c r="LHQ12" s="0"/>
      <c r="LHR12" s="0"/>
      <c r="LHS12" s="0"/>
      <c r="LHT12" s="0"/>
      <c r="LHU12" s="0"/>
      <c r="LHV12" s="0"/>
      <c r="LHW12" s="0"/>
      <c r="LHX12" s="0"/>
      <c r="LHY12" s="0"/>
      <c r="LHZ12" s="0"/>
      <c r="LIA12" s="0"/>
      <c r="LIB12" s="0"/>
      <c r="LIC12" s="0"/>
      <c r="LID12" s="0"/>
      <c r="LIE12" s="0"/>
      <c r="LIF12" s="0"/>
      <c r="LIG12" s="0"/>
      <c r="LIH12" s="0"/>
      <c r="LII12" s="0"/>
      <c r="LIJ12" s="0"/>
      <c r="LIK12" s="0"/>
      <c r="LIL12" s="0"/>
      <c r="LIM12" s="0"/>
      <c r="LIN12" s="0"/>
      <c r="LIO12" s="0"/>
      <c r="LIP12" s="0"/>
      <c r="LIQ12" s="0"/>
      <c r="LIR12" s="0"/>
      <c r="LIS12" s="0"/>
      <c r="LIT12" s="0"/>
      <c r="LIU12" s="0"/>
      <c r="LIV12" s="0"/>
      <c r="LIW12" s="0"/>
      <c r="LIX12" s="0"/>
      <c r="LIY12" s="0"/>
      <c r="LIZ12" s="0"/>
      <c r="LJA12" s="0"/>
      <c r="LJB12" s="0"/>
      <c r="LJC12" s="0"/>
      <c r="LJD12" s="0"/>
      <c r="LJE12" s="0"/>
      <c r="LJF12" s="0"/>
      <c r="LJG12" s="0"/>
      <c r="LJH12" s="0"/>
      <c r="LJI12" s="0"/>
      <c r="LJJ12" s="0"/>
      <c r="LJK12" s="0"/>
      <c r="LJL12" s="0"/>
      <c r="LJM12" s="0"/>
      <c r="LJN12" s="0"/>
      <c r="LJO12" s="0"/>
      <c r="LJP12" s="0"/>
      <c r="LJQ12" s="0"/>
      <c r="LJR12" s="0"/>
      <c r="LJS12" s="0"/>
      <c r="LJT12" s="0"/>
      <c r="LJU12" s="0"/>
      <c r="LJV12" s="0"/>
      <c r="LJW12" s="0"/>
      <c r="LJX12" s="0"/>
      <c r="LJY12" s="0"/>
      <c r="LJZ12" s="0"/>
      <c r="LKA12" s="0"/>
      <c r="LKB12" s="0"/>
      <c r="LKC12" s="0"/>
      <c r="LKD12" s="0"/>
      <c r="LKE12" s="0"/>
      <c r="LKF12" s="0"/>
      <c r="LKG12" s="0"/>
      <c r="LKH12" s="0"/>
      <c r="LKI12" s="0"/>
      <c r="LKJ12" s="0"/>
      <c r="LKK12" s="0"/>
      <c r="LKL12" s="0"/>
      <c r="LKM12" s="0"/>
      <c r="LKN12" s="0"/>
      <c r="LKO12" s="0"/>
      <c r="LKP12" s="0"/>
      <c r="LKQ12" s="0"/>
      <c r="LKR12" s="0"/>
      <c r="LKS12" s="0"/>
      <c r="LKT12" s="0"/>
      <c r="LKU12" s="0"/>
      <c r="LKV12" s="0"/>
      <c r="LKW12" s="0"/>
      <c r="LKX12" s="0"/>
      <c r="LKY12" s="0"/>
      <c r="LKZ12" s="0"/>
      <c r="LLA12" s="0"/>
      <c r="LLB12" s="0"/>
      <c r="LLC12" s="0"/>
      <c r="LLD12" s="0"/>
      <c r="LLE12" s="0"/>
      <c r="LLF12" s="0"/>
      <c r="LLG12" s="0"/>
      <c r="LLH12" s="0"/>
      <c r="LLI12" s="0"/>
      <c r="LLJ12" s="0"/>
      <c r="LLK12" s="0"/>
      <c r="LLL12" s="0"/>
      <c r="LLM12" s="0"/>
      <c r="LLN12" s="0"/>
      <c r="LLO12" s="0"/>
      <c r="LLP12" s="0"/>
      <c r="LLQ12" s="0"/>
      <c r="LLR12" s="0"/>
      <c r="LLS12" s="0"/>
      <c r="LLT12" s="0"/>
      <c r="LLU12" s="0"/>
      <c r="LLV12" s="0"/>
      <c r="LLW12" s="0"/>
      <c r="LLX12" s="0"/>
      <c r="LLY12" s="0"/>
      <c r="LLZ12" s="0"/>
      <c r="LMA12" s="0"/>
      <c r="LMB12" s="0"/>
      <c r="LMC12" s="0"/>
      <c r="LMD12" s="0"/>
      <c r="LME12" s="0"/>
      <c r="LMF12" s="0"/>
      <c r="LMG12" s="0"/>
      <c r="LMH12" s="0"/>
      <c r="LMI12" s="0"/>
      <c r="LMJ12" s="0"/>
      <c r="LMK12" s="0"/>
      <c r="LML12" s="0"/>
      <c r="LMM12" s="0"/>
      <c r="LMN12" s="0"/>
      <c r="LMO12" s="0"/>
      <c r="LMP12" s="0"/>
      <c r="LMQ12" s="0"/>
      <c r="LMR12" s="0"/>
      <c r="LMS12" s="0"/>
      <c r="LMT12" s="0"/>
      <c r="LMU12" s="0"/>
      <c r="LMV12" s="0"/>
      <c r="LMW12" s="0"/>
      <c r="LMX12" s="0"/>
      <c r="LMY12" s="0"/>
      <c r="LMZ12" s="0"/>
      <c r="LNA12" s="0"/>
      <c r="LNB12" s="0"/>
      <c r="LNC12" s="0"/>
      <c r="LND12" s="0"/>
      <c r="LNE12" s="0"/>
      <c r="LNF12" s="0"/>
      <c r="LNG12" s="0"/>
      <c r="LNH12" s="0"/>
      <c r="LNI12" s="0"/>
      <c r="LNJ12" s="0"/>
      <c r="LNK12" s="0"/>
      <c r="LNL12" s="0"/>
      <c r="LNM12" s="0"/>
      <c r="LNN12" s="0"/>
      <c r="LNO12" s="0"/>
      <c r="LNP12" s="0"/>
      <c r="LNQ12" s="0"/>
      <c r="LNR12" s="0"/>
      <c r="LNS12" s="0"/>
      <c r="LNT12" s="0"/>
      <c r="LNU12" s="0"/>
      <c r="LNV12" s="0"/>
      <c r="LNW12" s="0"/>
      <c r="LNX12" s="0"/>
      <c r="LNY12" s="0"/>
      <c r="LNZ12" s="0"/>
      <c r="LOA12" s="0"/>
      <c r="LOB12" s="0"/>
      <c r="LOC12" s="0"/>
      <c r="LOD12" s="0"/>
      <c r="LOE12" s="0"/>
      <c r="LOF12" s="0"/>
      <c r="LOG12" s="0"/>
      <c r="LOH12" s="0"/>
      <c r="LOI12" s="0"/>
      <c r="LOJ12" s="0"/>
      <c r="LOK12" s="0"/>
      <c r="LOL12" s="0"/>
      <c r="LOM12" s="0"/>
      <c r="LON12" s="0"/>
      <c r="LOO12" s="0"/>
      <c r="LOP12" s="0"/>
      <c r="LOQ12" s="0"/>
      <c r="LOR12" s="0"/>
      <c r="LOS12" s="0"/>
      <c r="LOT12" s="0"/>
      <c r="LOU12" s="0"/>
      <c r="LOV12" s="0"/>
      <c r="LOW12" s="0"/>
      <c r="LOX12" s="0"/>
      <c r="LOY12" s="0"/>
      <c r="LOZ12" s="0"/>
      <c r="LPA12" s="0"/>
      <c r="LPB12" s="0"/>
      <c r="LPC12" s="0"/>
      <c r="LPD12" s="0"/>
      <c r="LPE12" s="0"/>
      <c r="LPF12" s="0"/>
      <c r="LPG12" s="0"/>
      <c r="LPH12" s="0"/>
      <c r="LPI12" s="0"/>
      <c r="LPJ12" s="0"/>
      <c r="LPK12" s="0"/>
      <c r="LPL12" s="0"/>
      <c r="LPM12" s="0"/>
      <c r="LPN12" s="0"/>
      <c r="LPO12" s="0"/>
      <c r="LPP12" s="0"/>
      <c r="LPQ12" s="0"/>
      <c r="LPR12" s="0"/>
      <c r="LPS12" s="0"/>
      <c r="LPT12" s="0"/>
      <c r="LPU12" s="0"/>
      <c r="LPV12" s="0"/>
      <c r="LPW12" s="0"/>
      <c r="LPX12" s="0"/>
      <c r="LPY12" s="0"/>
      <c r="LPZ12" s="0"/>
      <c r="LQA12" s="0"/>
      <c r="LQB12" s="0"/>
      <c r="LQC12" s="0"/>
      <c r="LQD12" s="0"/>
      <c r="LQE12" s="0"/>
      <c r="LQF12" s="0"/>
      <c r="LQG12" s="0"/>
      <c r="LQH12" s="0"/>
      <c r="LQI12" s="0"/>
      <c r="LQJ12" s="0"/>
      <c r="LQK12" s="0"/>
      <c r="LQL12" s="0"/>
      <c r="LQM12" s="0"/>
      <c r="LQN12" s="0"/>
      <c r="LQO12" s="0"/>
      <c r="LQP12" s="0"/>
      <c r="LQQ12" s="0"/>
      <c r="LQR12" s="0"/>
      <c r="LQS12" s="0"/>
      <c r="LQT12" s="0"/>
      <c r="LQU12" s="0"/>
      <c r="LQV12" s="0"/>
      <c r="LQW12" s="0"/>
      <c r="LQX12" s="0"/>
      <c r="LQY12" s="0"/>
      <c r="LQZ12" s="0"/>
      <c r="LRA12" s="0"/>
      <c r="LRB12" s="0"/>
      <c r="LRC12" s="0"/>
      <c r="LRD12" s="0"/>
      <c r="LRE12" s="0"/>
      <c r="LRF12" s="0"/>
      <c r="LRG12" s="0"/>
      <c r="LRH12" s="0"/>
      <c r="LRI12" s="0"/>
      <c r="LRJ12" s="0"/>
      <c r="LRK12" s="0"/>
      <c r="LRL12" s="0"/>
      <c r="LRM12" s="0"/>
      <c r="LRN12" s="0"/>
      <c r="LRO12" s="0"/>
      <c r="LRP12" s="0"/>
      <c r="LRQ12" s="0"/>
      <c r="LRR12" s="0"/>
      <c r="LRS12" s="0"/>
      <c r="LRT12" s="0"/>
      <c r="LRU12" s="0"/>
      <c r="LRV12" s="0"/>
      <c r="LRW12" s="0"/>
      <c r="LRX12" s="0"/>
      <c r="LRY12" s="0"/>
      <c r="LRZ12" s="0"/>
      <c r="LSA12" s="0"/>
      <c r="LSB12" s="0"/>
      <c r="LSC12" s="0"/>
      <c r="LSD12" s="0"/>
      <c r="LSE12" s="0"/>
      <c r="LSF12" s="0"/>
      <c r="LSG12" s="0"/>
      <c r="LSH12" s="0"/>
      <c r="LSI12" s="0"/>
      <c r="LSJ12" s="0"/>
      <c r="LSK12" s="0"/>
      <c r="LSL12" s="0"/>
      <c r="LSM12" s="0"/>
      <c r="LSN12" s="0"/>
      <c r="LSO12" s="0"/>
      <c r="LSP12" s="0"/>
      <c r="LSQ12" s="0"/>
      <c r="LSR12" s="0"/>
      <c r="LSS12" s="0"/>
      <c r="LST12" s="0"/>
      <c r="LSU12" s="0"/>
      <c r="LSV12" s="0"/>
      <c r="LSW12" s="0"/>
      <c r="LSX12" s="0"/>
      <c r="LSY12" s="0"/>
      <c r="LSZ12" s="0"/>
      <c r="LTA12" s="0"/>
      <c r="LTB12" s="0"/>
      <c r="LTC12" s="0"/>
      <c r="LTD12" s="0"/>
      <c r="LTE12" s="0"/>
      <c r="LTF12" s="0"/>
      <c r="LTG12" s="0"/>
      <c r="LTH12" s="0"/>
      <c r="LTI12" s="0"/>
      <c r="LTJ12" s="0"/>
      <c r="LTK12" s="0"/>
      <c r="LTL12" s="0"/>
      <c r="LTM12" s="0"/>
      <c r="LTN12" s="0"/>
      <c r="LTO12" s="0"/>
      <c r="LTP12" s="0"/>
      <c r="LTQ12" s="0"/>
      <c r="LTR12" s="0"/>
      <c r="LTS12" s="0"/>
      <c r="LTT12" s="0"/>
      <c r="LTU12" s="0"/>
      <c r="LTV12" s="0"/>
      <c r="LTW12" s="0"/>
      <c r="LTX12" s="0"/>
      <c r="LTY12" s="0"/>
      <c r="LTZ12" s="0"/>
      <c r="LUA12" s="0"/>
      <c r="LUB12" s="0"/>
      <c r="LUC12" s="0"/>
      <c r="LUD12" s="0"/>
      <c r="LUE12" s="0"/>
      <c r="LUF12" s="0"/>
      <c r="LUG12" s="0"/>
      <c r="LUH12" s="0"/>
      <c r="LUI12" s="0"/>
      <c r="LUJ12" s="0"/>
      <c r="LUK12" s="0"/>
      <c r="LUL12" s="0"/>
      <c r="LUM12" s="0"/>
      <c r="LUN12" s="0"/>
      <c r="LUO12" s="0"/>
      <c r="LUP12" s="0"/>
      <c r="LUQ12" s="0"/>
      <c r="LUR12" s="0"/>
      <c r="LUS12" s="0"/>
      <c r="LUT12" s="0"/>
      <c r="LUU12" s="0"/>
      <c r="LUV12" s="0"/>
      <c r="LUW12" s="0"/>
      <c r="LUX12" s="0"/>
      <c r="LUY12" s="0"/>
      <c r="LUZ12" s="0"/>
      <c r="LVA12" s="0"/>
      <c r="LVB12" s="0"/>
      <c r="LVC12" s="0"/>
      <c r="LVD12" s="0"/>
      <c r="LVE12" s="0"/>
      <c r="LVF12" s="0"/>
      <c r="LVG12" s="0"/>
      <c r="LVH12" s="0"/>
      <c r="LVI12" s="0"/>
      <c r="LVJ12" s="0"/>
      <c r="LVK12" s="0"/>
      <c r="LVL12" s="0"/>
      <c r="LVM12" s="0"/>
      <c r="LVN12" s="0"/>
      <c r="LVO12" s="0"/>
      <c r="LVP12" s="0"/>
      <c r="LVQ12" s="0"/>
      <c r="LVR12" s="0"/>
      <c r="LVS12" s="0"/>
      <c r="LVT12" s="0"/>
      <c r="LVU12" s="0"/>
      <c r="LVV12" s="0"/>
      <c r="LVW12" s="0"/>
      <c r="LVX12" s="0"/>
      <c r="LVY12" s="0"/>
      <c r="LVZ12" s="0"/>
      <c r="LWA12" s="0"/>
      <c r="LWB12" s="0"/>
      <c r="LWC12" s="0"/>
      <c r="LWD12" s="0"/>
      <c r="LWE12" s="0"/>
      <c r="LWF12" s="0"/>
      <c r="LWG12" s="0"/>
      <c r="LWH12" s="0"/>
      <c r="LWI12" s="0"/>
      <c r="LWJ12" s="0"/>
      <c r="LWK12" s="0"/>
      <c r="LWL12" s="0"/>
      <c r="LWM12" s="0"/>
      <c r="LWN12" s="0"/>
      <c r="LWO12" s="0"/>
      <c r="LWP12" s="0"/>
      <c r="LWQ12" s="0"/>
      <c r="LWR12" s="0"/>
      <c r="LWS12" s="0"/>
      <c r="LWT12" s="0"/>
      <c r="LWU12" s="0"/>
      <c r="LWV12" s="0"/>
      <c r="LWW12" s="0"/>
      <c r="LWX12" s="0"/>
      <c r="LWY12" s="0"/>
      <c r="LWZ12" s="0"/>
      <c r="LXA12" s="0"/>
      <c r="LXB12" s="0"/>
      <c r="LXC12" s="0"/>
      <c r="LXD12" s="0"/>
      <c r="LXE12" s="0"/>
      <c r="LXF12" s="0"/>
      <c r="LXG12" s="0"/>
      <c r="LXH12" s="0"/>
      <c r="LXI12" s="0"/>
      <c r="LXJ12" s="0"/>
      <c r="LXK12" s="0"/>
      <c r="LXL12" s="0"/>
      <c r="LXM12" s="0"/>
      <c r="LXN12" s="0"/>
      <c r="LXO12" s="0"/>
      <c r="LXP12" s="0"/>
      <c r="LXQ12" s="0"/>
      <c r="LXR12" s="0"/>
      <c r="LXS12" s="0"/>
      <c r="LXT12" s="0"/>
      <c r="LXU12" s="0"/>
      <c r="LXV12" s="0"/>
      <c r="LXW12" s="0"/>
      <c r="LXX12" s="0"/>
      <c r="LXY12" s="0"/>
      <c r="LXZ12" s="0"/>
      <c r="LYA12" s="0"/>
      <c r="LYB12" s="0"/>
      <c r="LYC12" s="0"/>
      <c r="LYD12" s="0"/>
      <c r="LYE12" s="0"/>
      <c r="LYF12" s="0"/>
      <c r="LYG12" s="0"/>
      <c r="LYH12" s="0"/>
      <c r="LYI12" s="0"/>
      <c r="LYJ12" s="0"/>
      <c r="LYK12" s="0"/>
      <c r="LYL12" s="0"/>
      <c r="LYM12" s="0"/>
      <c r="LYN12" s="0"/>
      <c r="LYO12" s="0"/>
      <c r="LYP12" s="0"/>
      <c r="LYQ12" s="0"/>
      <c r="LYR12" s="0"/>
      <c r="LYS12" s="0"/>
      <c r="LYT12" s="0"/>
      <c r="LYU12" s="0"/>
      <c r="LYV12" s="0"/>
      <c r="LYW12" s="0"/>
      <c r="LYX12" s="0"/>
      <c r="LYY12" s="0"/>
      <c r="LYZ12" s="0"/>
      <c r="LZA12" s="0"/>
      <c r="LZB12" s="0"/>
      <c r="LZC12" s="0"/>
      <c r="LZD12" s="0"/>
      <c r="LZE12" s="0"/>
      <c r="LZF12" s="0"/>
      <c r="LZG12" s="0"/>
      <c r="LZH12" s="0"/>
      <c r="LZI12" s="0"/>
      <c r="LZJ12" s="0"/>
      <c r="LZK12" s="0"/>
      <c r="LZL12" s="0"/>
      <c r="LZM12" s="0"/>
      <c r="LZN12" s="0"/>
      <c r="LZO12" s="0"/>
      <c r="LZP12" s="0"/>
      <c r="LZQ12" s="0"/>
      <c r="LZR12" s="0"/>
      <c r="LZS12" s="0"/>
      <c r="LZT12" s="0"/>
      <c r="LZU12" s="0"/>
      <c r="LZV12" s="0"/>
      <c r="LZW12" s="0"/>
      <c r="LZX12" s="0"/>
      <c r="LZY12" s="0"/>
      <c r="LZZ12" s="0"/>
      <c r="MAA12" s="0"/>
      <c r="MAB12" s="0"/>
      <c r="MAC12" s="0"/>
      <c r="MAD12" s="0"/>
      <c r="MAE12" s="0"/>
      <c r="MAF12" s="0"/>
      <c r="MAG12" s="0"/>
      <c r="MAH12" s="0"/>
      <c r="MAI12" s="0"/>
      <c r="MAJ12" s="0"/>
      <c r="MAK12" s="0"/>
      <c r="MAL12" s="0"/>
      <c r="MAM12" s="0"/>
      <c r="MAN12" s="0"/>
      <c r="MAO12" s="0"/>
      <c r="MAP12" s="0"/>
      <c r="MAQ12" s="0"/>
      <c r="MAR12" s="0"/>
      <c r="MAS12" s="0"/>
      <c r="MAT12" s="0"/>
      <c r="MAU12" s="0"/>
      <c r="MAV12" s="0"/>
      <c r="MAW12" s="0"/>
      <c r="MAX12" s="0"/>
      <c r="MAY12" s="0"/>
      <c r="MAZ12" s="0"/>
      <c r="MBA12" s="0"/>
      <c r="MBB12" s="0"/>
      <c r="MBC12" s="0"/>
      <c r="MBD12" s="0"/>
      <c r="MBE12" s="0"/>
      <c r="MBF12" s="0"/>
      <c r="MBG12" s="0"/>
      <c r="MBH12" s="0"/>
      <c r="MBI12" s="0"/>
      <c r="MBJ12" s="0"/>
      <c r="MBK12" s="0"/>
      <c r="MBL12" s="0"/>
      <c r="MBM12" s="0"/>
      <c r="MBN12" s="0"/>
      <c r="MBO12" s="0"/>
      <c r="MBP12" s="0"/>
      <c r="MBQ12" s="0"/>
      <c r="MBR12" s="0"/>
      <c r="MBS12" s="0"/>
      <c r="MBT12" s="0"/>
      <c r="MBU12" s="0"/>
      <c r="MBV12" s="0"/>
      <c r="MBW12" s="0"/>
      <c r="MBX12" s="0"/>
      <c r="MBY12" s="0"/>
      <c r="MBZ12" s="0"/>
      <c r="MCA12" s="0"/>
      <c r="MCB12" s="0"/>
      <c r="MCC12" s="0"/>
      <c r="MCD12" s="0"/>
      <c r="MCE12" s="0"/>
      <c r="MCF12" s="0"/>
      <c r="MCG12" s="0"/>
      <c r="MCH12" s="0"/>
      <c r="MCI12" s="0"/>
      <c r="MCJ12" s="0"/>
      <c r="MCK12" s="0"/>
      <c r="MCL12" s="0"/>
      <c r="MCM12" s="0"/>
      <c r="MCN12" s="0"/>
      <c r="MCO12" s="0"/>
      <c r="MCP12" s="0"/>
      <c r="MCQ12" s="0"/>
      <c r="MCR12" s="0"/>
      <c r="MCS12" s="0"/>
      <c r="MCT12" s="0"/>
      <c r="MCU12" s="0"/>
      <c r="MCV12" s="0"/>
      <c r="MCW12" s="0"/>
      <c r="MCX12" s="0"/>
      <c r="MCY12" s="0"/>
      <c r="MCZ12" s="0"/>
      <c r="MDA12" s="0"/>
      <c r="MDB12" s="0"/>
      <c r="MDC12" s="0"/>
      <c r="MDD12" s="0"/>
      <c r="MDE12" s="0"/>
      <c r="MDF12" s="0"/>
      <c r="MDG12" s="0"/>
      <c r="MDH12" s="0"/>
      <c r="MDI12" s="0"/>
      <c r="MDJ12" s="0"/>
      <c r="MDK12" s="0"/>
      <c r="MDL12" s="0"/>
      <c r="MDM12" s="0"/>
      <c r="MDN12" s="0"/>
      <c r="MDO12" s="0"/>
      <c r="MDP12" s="0"/>
      <c r="MDQ12" s="0"/>
      <c r="MDR12" s="0"/>
      <c r="MDS12" s="0"/>
      <c r="MDT12" s="0"/>
      <c r="MDU12" s="0"/>
      <c r="MDV12" s="0"/>
      <c r="MDW12" s="0"/>
      <c r="MDX12" s="0"/>
      <c r="MDY12" s="0"/>
      <c r="MDZ12" s="0"/>
      <c r="MEA12" s="0"/>
      <c r="MEB12" s="0"/>
      <c r="MEC12" s="0"/>
      <c r="MED12" s="0"/>
      <c r="MEE12" s="0"/>
      <c r="MEF12" s="0"/>
      <c r="MEG12" s="0"/>
      <c r="MEH12" s="0"/>
      <c r="MEI12" s="0"/>
      <c r="MEJ12" s="0"/>
      <c r="MEK12" s="0"/>
      <c r="MEL12" s="0"/>
      <c r="MEM12" s="0"/>
      <c r="MEN12" s="0"/>
      <c r="MEO12" s="0"/>
      <c r="MEP12" s="0"/>
      <c r="MEQ12" s="0"/>
      <c r="MER12" s="0"/>
      <c r="MES12" s="0"/>
      <c r="MET12" s="0"/>
      <c r="MEU12" s="0"/>
      <c r="MEV12" s="0"/>
      <c r="MEW12" s="0"/>
      <c r="MEX12" s="0"/>
      <c r="MEY12" s="0"/>
      <c r="MEZ12" s="0"/>
      <c r="MFA12" s="0"/>
      <c r="MFB12" s="0"/>
      <c r="MFC12" s="0"/>
      <c r="MFD12" s="0"/>
      <c r="MFE12" s="0"/>
      <c r="MFF12" s="0"/>
      <c r="MFG12" s="0"/>
      <c r="MFH12" s="0"/>
      <c r="MFI12" s="0"/>
      <c r="MFJ12" s="0"/>
      <c r="MFK12" s="0"/>
      <c r="MFL12" s="0"/>
      <c r="MFM12" s="0"/>
      <c r="MFN12" s="0"/>
      <c r="MFO12" s="0"/>
      <c r="MFP12" s="0"/>
      <c r="MFQ12" s="0"/>
      <c r="MFR12" s="0"/>
      <c r="MFS12" s="0"/>
      <c r="MFT12" s="0"/>
      <c r="MFU12" s="0"/>
      <c r="MFV12" s="0"/>
      <c r="MFW12" s="0"/>
      <c r="MFX12" s="0"/>
      <c r="MFY12" s="0"/>
      <c r="MFZ12" s="0"/>
      <c r="MGA12" s="0"/>
      <c r="MGB12" s="0"/>
      <c r="MGC12" s="0"/>
      <c r="MGD12" s="0"/>
      <c r="MGE12" s="0"/>
      <c r="MGF12" s="0"/>
      <c r="MGG12" s="0"/>
      <c r="MGH12" s="0"/>
      <c r="MGI12" s="0"/>
      <c r="MGJ12" s="0"/>
      <c r="MGK12" s="0"/>
      <c r="MGL12" s="0"/>
      <c r="MGM12" s="0"/>
      <c r="MGN12" s="0"/>
      <c r="MGO12" s="0"/>
      <c r="MGP12" s="0"/>
      <c r="MGQ12" s="0"/>
      <c r="MGR12" s="0"/>
      <c r="MGS12" s="0"/>
      <c r="MGT12" s="0"/>
      <c r="MGU12" s="0"/>
      <c r="MGV12" s="0"/>
      <c r="MGW12" s="0"/>
      <c r="MGX12" s="0"/>
      <c r="MGY12" s="0"/>
      <c r="MGZ12" s="0"/>
      <c r="MHA12" s="0"/>
      <c r="MHB12" s="0"/>
      <c r="MHC12" s="0"/>
      <c r="MHD12" s="0"/>
      <c r="MHE12" s="0"/>
      <c r="MHF12" s="0"/>
      <c r="MHG12" s="0"/>
      <c r="MHH12" s="0"/>
      <c r="MHI12" s="0"/>
      <c r="MHJ12" s="0"/>
      <c r="MHK12" s="0"/>
      <c r="MHL12" s="0"/>
      <c r="MHM12" s="0"/>
      <c r="MHN12" s="0"/>
      <c r="MHO12" s="0"/>
      <c r="MHP12" s="0"/>
      <c r="MHQ12" s="0"/>
      <c r="MHR12" s="0"/>
      <c r="MHS12" s="0"/>
      <c r="MHT12" s="0"/>
      <c r="MHU12" s="0"/>
      <c r="MHV12" s="0"/>
      <c r="MHW12" s="0"/>
      <c r="MHX12" s="0"/>
      <c r="MHY12" s="0"/>
      <c r="MHZ12" s="0"/>
      <c r="MIA12" s="0"/>
      <c r="MIB12" s="0"/>
      <c r="MIC12" s="0"/>
      <c r="MID12" s="0"/>
      <c r="MIE12" s="0"/>
      <c r="MIF12" s="0"/>
      <c r="MIG12" s="0"/>
      <c r="MIH12" s="0"/>
      <c r="MII12" s="0"/>
      <c r="MIJ12" s="0"/>
      <c r="MIK12" s="0"/>
      <c r="MIL12" s="0"/>
      <c r="MIM12" s="0"/>
      <c r="MIN12" s="0"/>
      <c r="MIO12" s="0"/>
      <c r="MIP12" s="0"/>
      <c r="MIQ12" s="0"/>
      <c r="MIR12" s="0"/>
      <c r="MIS12" s="0"/>
      <c r="MIT12" s="0"/>
      <c r="MIU12" s="0"/>
      <c r="MIV12" s="0"/>
      <c r="MIW12" s="0"/>
      <c r="MIX12" s="0"/>
      <c r="MIY12" s="0"/>
      <c r="MIZ12" s="0"/>
      <c r="MJA12" s="0"/>
      <c r="MJB12" s="0"/>
      <c r="MJC12" s="0"/>
      <c r="MJD12" s="0"/>
      <c r="MJE12" s="0"/>
      <c r="MJF12" s="0"/>
      <c r="MJG12" s="0"/>
      <c r="MJH12" s="0"/>
      <c r="MJI12" s="0"/>
      <c r="MJJ12" s="0"/>
      <c r="MJK12" s="0"/>
      <c r="MJL12" s="0"/>
      <c r="MJM12" s="0"/>
      <c r="MJN12" s="0"/>
      <c r="MJO12" s="0"/>
      <c r="MJP12" s="0"/>
      <c r="MJQ12" s="0"/>
      <c r="MJR12" s="0"/>
      <c r="MJS12" s="0"/>
      <c r="MJT12" s="0"/>
      <c r="MJU12" s="0"/>
      <c r="MJV12" s="0"/>
      <c r="MJW12" s="0"/>
      <c r="MJX12" s="0"/>
      <c r="MJY12" s="0"/>
      <c r="MJZ12" s="0"/>
      <c r="MKA12" s="0"/>
      <c r="MKB12" s="0"/>
      <c r="MKC12" s="0"/>
      <c r="MKD12" s="0"/>
      <c r="MKE12" s="0"/>
      <c r="MKF12" s="0"/>
      <c r="MKG12" s="0"/>
      <c r="MKH12" s="0"/>
      <c r="MKI12" s="0"/>
      <c r="MKJ12" s="0"/>
      <c r="MKK12" s="0"/>
      <c r="MKL12" s="0"/>
      <c r="MKM12" s="0"/>
      <c r="MKN12" s="0"/>
      <c r="MKO12" s="0"/>
      <c r="MKP12" s="0"/>
      <c r="MKQ12" s="0"/>
      <c r="MKR12" s="0"/>
      <c r="MKS12" s="0"/>
      <c r="MKT12" s="0"/>
      <c r="MKU12" s="0"/>
      <c r="MKV12" s="0"/>
      <c r="MKW12" s="0"/>
      <c r="MKX12" s="0"/>
      <c r="MKY12" s="0"/>
      <c r="MKZ12" s="0"/>
      <c r="MLA12" s="0"/>
      <c r="MLB12" s="0"/>
      <c r="MLC12" s="0"/>
      <c r="MLD12" s="0"/>
      <c r="MLE12" s="0"/>
      <c r="MLF12" s="0"/>
      <c r="MLG12" s="0"/>
      <c r="MLH12" s="0"/>
      <c r="MLI12" s="0"/>
      <c r="MLJ12" s="0"/>
      <c r="MLK12" s="0"/>
      <c r="MLL12" s="0"/>
      <c r="MLM12" s="0"/>
      <c r="MLN12" s="0"/>
      <c r="MLO12" s="0"/>
      <c r="MLP12" s="0"/>
      <c r="MLQ12" s="0"/>
      <c r="MLR12" s="0"/>
      <c r="MLS12" s="0"/>
      <c r="MLT12" s="0"/>
      <c r="MLU12" s="0"/>
      <c r="MLV12" s="0"/>
      <c r="MLW12" s="0"/>
      <c r="MLX12" s="0"/>
      <c r="MLY12" s="0"/>
      <c r="MLZ12" s="0"/>
      <c r="MMA12" s="0"/>
      <c r="MMB12" s="0"/>
      <c r="MMC12" s="0"/>
      <c r="MMD12" s="0"/>
      <c r="MME12" s="0"/>
      <c r="MMF12" s="0"/>
      <c r="MMG12" s="0"/>
      <c r="MMH12" s="0"/>
      <c r="MMI12" s="0"/>
      <c r="MMJ12" s="0"/>
      <c r="MMK12" s="0"/>
      <c r="MML12" s="0"/>
      <c r="MMM12" s="0"/>
      <c r="MMN12" s="0"/>
      <c r="MMO12" s="0"/>
      <c r="MMP12" s="0"/>
      <c r="MMQ12" s="0"/>
      <c r="MMR12" s="0"/>
      <c r="MMS12" s="0"/>
      <c r="MMT12" s="0"/>
      <c r="MMU12" s="0"/>
      <c r="MMV12" s="0"/>
      <c r="MMW12" s="0"/>
      <c r="MMX12" s="0"/>
      <c r="MMY12" s="0"/>
      <c r="MMZ12" s="0"/>
      <c r="MNA12" s="0"/>
      <c r="MNB12" s="0"/>
      <c r="MNC12" s="0"/>
      <c r="MND12" s="0"/>
      <c r="MNE12" s="0"/>
      <c r="MNF12" s="0"/>
      <c r="MNG12" s="0"/>
      <c r="MNH12" s="0"/>
      <c r="MNI12" s="0"/>
      <c r="MNJ12" s="0"/>
      <c r="MNK12" s="0"/>
      <c r="MNL12" s="0"/>
      <c r="MNM12" s="0"/>
      <c r="MNN12" s="0"/>
      <c r="MNO12" s="0"/>
      <c r="MNP12" s="0"/>
      <c r="MNQ12" s="0"/>
      <c r="MNR12" s="0"/>
      <c r="MNS12" s="0"/>
      <c r="MNT12" s="0"/>
      <c r="MNU12" s="0"/>
      <c r="MNV12" s="0"/>
      <c r="MNW12" s="0"/>
      <c r="MNX12" s="0"/>
      <c r="MNY12" s="0"/>
      <c r="MNZ12" s="0"/>
      <c r="MOA12" s="0"/>
      <c r="MOB12" s="0"/>
      <c r="MOC12" s="0"/>
      <c r="MOD12" s="0"/>
      <c r="MOE12" s="0"/>
      <c r="MOF12" s="0"/>
      <c r="MOG12" s="0"/>
      <c r="MOH12" s="0"/>
      <c r="MOI12" s="0"/>
      <c r="MOJ12" s="0"/>
      <c r="MOK12" s="0"/>
      <c r="MOL12" s="0"/>
      <c r="MOM12" s="0"/>
      <c r="MON12" s="0"/>
      <c r="MOO12" s="0"/>
      <c r="MOP12" s="0"/>
      <c r="MOQ12" s="0"/>
      <c r="MOR12" s="0"/>
      <c r="MOS12" s="0"/>
      <c r="MOT12" s="0"/>
      <c r="MOU12" s="0"/>
      <c r="MOV12" s="0"/>
      <c r="MOW12" s="0"/>
      <c r="MOX12" s="0"/>
      <c r="MOY12" s="0"/>
      <c r="MOZ12" s="0"/>
      <c r="MPA12" s="0"/>
      <c r="MPB12" s="0"/>
      <c r="MPC12" s="0"/>
      <c r="MPD12" s="0"/>
      <c r="MPE12" s="0"/>
      <c r="MPF12" s="0"/>
      <c r="MPG12" s="0"/>
      <c r="MPH12" s="0"/>
      <c r="MPI12" s="0"/>
      <c r="MPJ12" s="0"/>
      <c r="MPK12" s="0"/>
      <c r="MPL12" s="0"/>
      <c r="MPM12" s="0"/>
      <c r="MPN12" s="0"/>
      <c r="MPO12" s="0"/>
      <c r="MPP12" s="0"/>
      <c r="MPQ12" s="0"/>
      <c r="MPR12" s="0"/>
      <c r="MPS12" s="0"/>
      <c r="MPT12" s="0"/>
      <c r="MPU12" s="0"/>
      <c r="MPV12" s="0"/>
      <c r="MPW12" s="0"/>
      <c r="MPX12" s="0"/>
      <c r="MPY12" s="0"/>
      <c r="MPZ12" s="0"/>
      <c r="MQA12" s="0"/>
      <c r="MQB12" s="0"/>
      <c r="MQC12" s="0"/>
      <c r="MQD12" s="0"/>
      <c r="MQE12" s="0"/>
      <c r="MQF12" s="0"/>
      <c r="MQG12" s="0"/>
      <c r="MQH12" s="0"/>
      <c r="MQI12" s="0"/>
      <c r="MQJ12" s="0"/>
      <c r="MQK12" s="0"/>
      <c r="MQL12" s="0"/>
      <c r="MQM12" s="0"/>
      <c r="MQN12" s="0"/>
      <c r="MQO12" s="0"/>
      <c r="MQP12" s="0"/>
      <c r="MQQ12" s="0"/>
      <c r="MQR12" s="0"/>
      <c r="MQS12" s="0"/>
      <c r="MQT12" s="0"/>
      <c r="MQU12" s="0"/>
      <c r="MQV12" s="0"/>
      <c r="MQW12" s="0"/>
      <c r="MQX12" s="0"/>
      <c r="MQY12" s="0"/>
      <c r="MQZ12" s="0"/>
      <c r="MRA12" s="0"/>
      <c r="MRB12" s="0"/>
      <c r="MRC12" s="0"/>
      <c r="MRD12" s="0"/>
      <c r="MRE12" s="0"/>
      <c r="MRF12" s="0"/>
      <c r="MRG12" s="0"/>
      <c r="MRH12" s="0"/>
      <c r="MRI12" s="0"/>
      <c r="MRJ12" s="0"/>
      <c r="MRK12" s="0"/>
      <c r="MRL12" s="0"/>
      <c r="MRM12" s="0"/>
      <c r="MRN12" s="0"/>
      <c r="MRO12" s="0"/>
      <c r="MRP12" s="0"/>
      <c r="MRQ12" s="0"/>
      <c r="MRR12" s="0"/>
      <c r="MRS12" s="0"/>
      <c r="MRT12" s="0"/>
      <c r="MRU12" s="0"/>
      <c r="MRV12" s="0"/>
      <c r="MRW12" s="0"/>
      <c r="MRX12" s="0"/>
      <c r="MRY12" s="0"/>
      <c r="MRZ12" s="0"/>
      <c r="MSA12" s="0"/>
      <c r="MSB12" s="0"/>
      <c r="MSC12" s="0"/>
      <c r="MSD12" s="0"/>
      <c r="MSE12" s="0"/>
      <c r="MSF12" s="0"/>
      <c r="MSG12" s="0"/>
      <c r="MSH12" s="0"/>
      <c r="MSI12" s="0"/>
      <c r="MSJ12" s="0"/>
      <c r="MSK12" s="0"/>
      <c r="MSL12" s="0"/>
      <c r="MSM12" s="0"/>
      <c r="MSN12" s="0"/>
      <c r="MSO12" s="0"/>
      <c r="MSP12" s="0"/>
      <c r="MSQ12" s="0"/>
      <c r="MSR12" s="0"/>
      <c r="MSS12" s="0"/>
      <c r="MST12" s="0"/>
      <c r="MSU12" s="0"/>
      <c r="MSV12" s="0"/>
      <c r="MSW12" s="0"/>
      <c r="MSX12" s="0"/>
      <c r="MSY12" s="0"/>
      <c r="MSZ12" s="0"/>
      <c r="MTA12" s="0"/>
      <c r="MTB12" s="0"/>
      <c r="MTC12" s="0"/>
      <c r="MTD12" s="0"/>
      <c r="MTE12" s="0"/>
      <c r="MTF12" s="0"/>
      <c r="MTG12" s="0"/>
      <c r="MTH12" s="0"/>
      <c r="MTI12" s="0"/>
      <c r="MTJ12" s="0"/>
      <c r="MTK12" s="0"/>
      <c r="MTL12" s="0"/>
      <c r="MTM12" s="0"/>
      <c r="MTN12" s="0"/>
      <c r="MTO12" s="0"/>
      <c r="MTP12" s="0"/>
      <c r="MTQ12" s="0"/>
      <c r="MTR12" s="0"/>
      <c r="MTS12" s="0"/>
      <c r="MTT12" s="0"/>
      <c r="MTU12" s="0"/>
      <c r="MTV12" s="0"/>
      <c r="MTW12" s="0"/>
      <c r="MTX12" s="0"/>
      <c r="MTY12" s="0"/>
      <c r="MTZ12" s="0"/>
      <c r="MUA12" s="0"/>
      <c r="MUB12" s="0"/>
      <c r="MUC12" s="0"/>
      <c r="MUD12" s="0"/>
      <c r="MUE12" s="0"/>
      <c r="MUF12" s="0"/>
      <c r="MUG12" s="0"/>
      <c r="MUH12" s="0"/>
      <c r="MUI12" s="0"/>
      <c r="MUJ12" s="0"/>
      <c r="MUK12" s="0"/>
      <c r="MUL12" s="0"/>
      <c r="MUM12" s="0"/>
      <c r="MUN12" s="0"/>
      <c r="MUO12" s="0"/>
      <c r="MUP12" s="0"/>
      <c r="MUQ12" s="0"/>
      <c r="MUR12" s="0"/>
      <c r="MUS12" s="0"/>
      <c r="MUT12" s="0"/>
      <c r="MUU12" s="0"/>
      <c r="MUV12" s="0"/>
      <c r="MUW12" s="0"/>
      <c r="MUX12" s="0"/>
      <c r="MUY12" s="0"/>
      <c r="MUZ12" s="0"/>
      <c r="MVA12" s="0"/>
      <c r="MVB12" s="0"/>
      <c r="MVC12" s="0"/>
      <c r="MVD12" s="0"/>
      <c r="MVE12" s="0"/>
      <c r="MVF12" s="0"/>
      <c r="MVG12" s="0"/>
      <c r="MVH12" s="0"/>
      <c r="MVI12" s="0"/>
      <c r="MVJ12" s="0"/>
      <c r="MVK12" s="0"/>
      <c r="MVL12" s="0"/>
      <c r="MVM12" s="0"/>
      <c r="MVN12" s="0"/>
      <c r="MVO12" s="0"/>
      <c r="MVP12" s="0"/>
      <c r="MVQ12" s="0"/>
      <c r="MVR12" s="0"/>
      <c r="MVS12" s="0"/>
      <c r="MVT12" s="0"/>
      <c r="MVU12" s="0"/>
      <c r="MVV12" s="0"/>
      <c r="MVW12" s="0"/>
      <c r="MVX12" s="0"/>
      <c r="MVY12" s="0"/>
      <c r="MVZ12" s="0"/>
      <c r="MWA12" s="0"/>
      <c r="MWB12" s="0"/>
      <c r="MWC12" s="0"/>
      <c r="MWD12" s="0"/>
      <c r="MWE12" s="0"/>
      <c r="MWF12" s="0"/>
      <c r="MWG12" s="0"/>
      <c r="MWH12" s="0"/>
      <c r="MWI12" s="0"/>
      <c r="MWJ12" s="0"/>
      <c r="MWK12" s="0"/>
      <c r="MWL12" s="0"/>
      <c r="MWM12" s="0"/>
      <c r="MWN12" s="0"/>
      <c r="MWO12" s="0"/>
      <c r="MWP12" s="0"/>
      <c r="MWQ12" s="0"/>
      <c r="MWR12" s="0"/>
      <c r="MWS12" s="0"/>
      <c r="MWT12" s="0"/>
      <c r="MWU12" s="0"/>
      <c r="MWV12" s="0"/>
      <c r="MWW12" s="0"/>
      <c r="MWX12" s="0"/>
      <c r="MWY12" s="0"/>
      <c r="MWZ12" s="0"/>
      <c r="MXA12" s="0"/>
      <c r="MXB12" s="0"/>
      <c r="MXC12" s="0"/>
      <c r="MXD12" s="0"/>
      <c r="MXE12" s="0"/>
      <c r="MXF12" s="0"/>
      <c r="MXG12" s="0"/>
      <c r="MXH12" s="0"/>
      <c r="MXI12" s="0"/>
      <c r="MXJ12" s="0"/>
      <c r="MXK12" s="0"/>
      <c r="MXL12" s="0"/>
      <c r="MXM12" s="0"/>
      <c r="MXN12" s="0"/>
      <c r="MXO12" s="0"/>
      <c r="MXP12" s="0"/>
      <c r="MXQ12" s="0"/>
      <c r="MXR12" s="0"/>
      <c r="MXS12" s="0"/>
      <c r="MXT12" s="0"/>
      <c r="MXU12" s="0"/>
      <c r="MXV12" s="0"/>
      <c r="MXW12" s="0"/>
      <c r="MXX12" s="0"/>
      <c r="MXY12" s="0"/>
      <c r="MXZ12" s="0"/>
      <c r="MYA12" s="0"/>
      <c r="MYB12" s="0"/>
      <c r="MYC12" s="0"/>
      <c r="MYD12" s="0"/>
      <c r="MYE12" s="0"/>
      <c r="MYF12" s="0"/>
      <c r="MYG12" s="0"/>
      <c r="MYH12" s="0"/>
      <c r="MYI12" s="0"/>
      <c r="MYJ12" s="0"/>
      <c r="MYK12" s="0"/>
      <c r="MYL12" s="0"/>
      <c r="MYM12" s="0"/>
      <c r="MYN12" s="0"/>
      <c r="MYO12" s="0"/>
      <c r="MYP12" s="0"/>
      <c r="MYQ12" s="0"/>
      <c r="MYR12" s="0"/>
      <c r="MYS12" s="0"/>
      <c r="MYT12" s="0"/>
      <c r="MYU12" s="0"/>
      <c r="MYV12" s="0"/>
      <c r="MYW12" s="0"/>
      <c r="MYX12" s="0"/>
      <c r="MYY12" s="0"/>
      <c r="MYZ12" s="0"/>
      <c r="MZA12" s="0"/>
      <c r="MZB12" s="0"/>
      <c r="MZC12" s="0"/>
      <c r="MZD12" s="0"/>
      <c r="MZE12" s="0"/>
      <c r="MZF12" s="0"/>
      <c r="MZG12" s="0"/>
      <c r="MZH12" s="0"/>
      <c r="MZI12" s="0"/>
      <c r="MZJ12" s="0"/>
      <c r="MZK12" s="0"/>
      <c r="MZL12" s="0"/>
      <c r="MZM12" s="0"/>
      <c r="MZN12" s="0"/>
      <c r="MZO12" s="0"/>
      <c r="MZP12" s="0"/>
      <c r="MZQ12" s="0"/>
      <c r="MZR12" s="0"/>
      <c r="MZS12" s="0"/>
      <c r="MZT12" s="0"/>
      <c r="MZU12" s="0"/>
      <c r="MZV12" s="0"/>
      <c r="MZW12" s="0"/>
      <c r="MZX12" s="0"/>
      <c r="MZY12" s="0"/>
      <c r="MZZ12" s="0"/>
      <c r="NAA12" s="0"/>
      <c r="NAB12" s="0"/>
      <c r="NAC12" s="0"/>
      <c r="NAD12" s="0"/>
      <c r="NAE12" s="0"/>
      <c r="NAF12" s="0"/>
      <c r="NAG12" s="0"/>
      <c r="NAH12" s="0"/>
      <c r="NAI12" s="0"/>
      <c r="NAJ12" s="0"/>
      <c r="NAK12" s="0"/>
      <c r="NAL12" s="0"/>
      <c r="NAM12" s="0"/>
      <c r="NAN12" s="0"/>
      <c r="NAO12" s="0"/>
      <c r="NAP12" s="0"/>
      <c r="NAQ12" s="0"/>
      <c r="NAR12" s="0"/>
      <c r="NAS12" s="0"/>
      <c r="NAT12" s="0"/>
      <c r="NAU12" s="0"/>
      <c r="NAV12" s="0"/>
      <c r="NAW12" s="0"/>
      <c r="NAX12" s="0"/>
      <c r="NAY12" s="0"/>
      <c r="NAZ12" s="0"/>
      <c r="NBA12" s="0"/>
      <c r="NBB12" s="0"/>
      <c r="NBC12" s="0"/>
      <c r="NBD12" s="0"/>
      <c r="NBE12" s="0"/>
      <c r="NBF12" s="0"/>
      <c r="NBG12" s="0"/>
      <c r="NBH12" s="0"/>
      <c r="NBI12" s="0"/>
      <c r="NBJ12" s="0"/>
      <c r="NBK12" s="0"/>
      <c r="NBL12" s="0"/>
      <c r="NBM12" s="0"/>
      <c r="NBN12" s="0"/>
      <c r="NBO12" s="0"/>
      <c r="NBP12" s="0"/>
      <c r="NBQ12" s="0"/>
      <c r="NBR12" s="0"/>
      <c r="NBS12" s="0"/>
      <c r="NBT12" s="0"/>
      <c r="NBU12" s="0"/>
      <c r="NBV12" s="0"/>
      <c r="NBW12" s="0"/>
      <c r="NBX12" s="0"/>
      <c r="NBY12" s="0"/>
      <c r="NBZ12" s="0"/>
      <c r="NCA12" s="0"/>
      <c r="NCB12" s="0"/>
      <c r="NCC12" s="0"/>
      <c r="NCD12" s="0"/>
      <c r="NCE12" s="0"/>
      <c r="NCF12" s="0"/>
      <c r="NCG12" s="0"/>
      <c r="NCH12" s="0"/>
      <c r="NCI12" s="0"/>
      <c r="NCJ12" s="0"/>
      <c r="NCK12" s="0"/>
      <c r="NCL12" s="0"/>
      <c r="NCM12" s="0"/>
      <c r="NCN12" s="0"/>
      <c r="NCO12" s="0"/>
      <c r="NCP12" s="0"/>
      <c r="NCQ12" s="0"/>
      <c r="NCR12" s="0"/>
      <c r="NCS12" s="0"/>
      <c r="NCT12" s="0"/>
      <c r="NCU12" s="0"/>
      <c r="NCV12" s="0"/>
      <c r="NCW12" s="0"/>
      <c r="NCX12" s="0"/>
      <c r="NCY12" s="0"/>
      <c r="NCZ12" s="0"/>
      <c r="NDA12" s="0"/>
      <c r="NDB12" s="0"/>
      <c r="NDC12" s="0"/>
      <c r="NDD12" s="0"/>
      <c r="NDE12" s="0"/>
      <c r="NDF12" s="0"/>
      <c r="NDG12" s="0"/>
      <c r="NDH12" s="0"/>
      <c r="NDI12" s="0"/>
      <c r="NDJ12" s="0"/>
      <c r="NDK12" s="0"/>
      <c r="NDL12" s="0"/>
      <c r="NDM12" s="0"/>
      <c r="NDN12" s="0"/>
      <c r="NDO12" s="0"/>
      <c r="NDP12" s="0"/>
      <c r="NDQ12" s="0"/>
      <c r="NDR12" s="0"/>
      <c r="NDS12" s="0"/>
      <c r="NDT12" s="0"/>
      <c r="NDU12" s="0"/>
      <c r="NDV12" s="0"/>
      <c r="NDW12" s="0"/>
      <c r="NDX12" s="0"/>
      <c r="NDY12" s="0"/>
      <c r="NDZ12" s="0"/>
      <c r="NEA12" s="0"/>
      <c r="NEB12" s="0"/>
      <c r="NEC12" s="0"/>
      <c r="NED12" s="0"/>
      <c r="NEE12" s="0"/>
      <c r="NEF12" s="0"/>
      <c r="NEG12" s="0"/>
      <c r="NEH12" s="0"/>
      <c r="NEI12" s="0"/>
      <c r="NEJ12" s="0"/>
      <c r="NEK12" s="0"/>
      <c r="NEL12" s="0"/>
      <c r="NEM12" s="0"/>
      <c r="NEN12" s="0"/>
      <c r="NEO12" s="0"/>
      <c r="NEP12" s="0"/>
      <c r="NEQ12" s="0"/>
      <c r="NER12" s="0"/>
      <c r="NES12" s="0"/>
      <c r="NET12" s="0"/>
      <c r="NEU12" s="0"/>
      <c r="NEV12" s="0"/>
      <c r="NEW12" s="0"/>
      <c r="NEX12" s="0"/>
      <c r="NEY12" s="0"/>
      <c r="NEZ12" s="0"/>
      <c r="NFA12" s="0"/>
      <c r="NFB12" s="0"/>
      <c r="NFC12" s="0"/>
      <c r="NFD12" s="0"/>
      <c r="NFE12" s="0"/>
      <c r="NFF12" s="0"/>
      <c r="NFG12" s="0"/>
      <c r="NFH12" s="0"/>
      <c r="NFI12" s="0"/>
      <c r="NFJ12" s="0"/>
      <c r="NFK12" s="0"/>
      <c r="NFL12" s="0"/>
      <c r="NFM12" s="0"/>
      <c r="NFN12" s="0"/>
      <c r="NFO12" s="0"/>
      <c r="NFP12" s="0"/>
      <c r="NFQ12" s="0"/>
      <c r="NFR12" s="0"/>
      <c r="NFS12" s="0"/>
      <c r="NFT12" s="0"/>
      <c r="NFU12" s="0"/>
      <c r="NFV12" s="0"/>
      <c r="NFW12" s="0"/>
      <c r="NFX12" s="0"/>
      <c r="NFY12" s="0"/>
      <c r="NFZ12" s="0"/>
      <c r="NGA12" s="0"/>
      <c r="NGB12" s="0"/>
      <c r="NGC12" s="0"/>
      <c r="NGD12" s="0"/>
      <c r="NGE12" s="0"/>
      <c r="NGF12" s="0"/>
      <c r="NGG12" s="0"/>
      <c r="NGH12" s="0"/>
      <c r="NGI12" s="0"/>
      <c r="NGJ12" s="0"/>
      <c r="NGK12" s="0"/>
      <c r="NGL12" s="0"/>
      <c r="NGM12" s="0"/>
      <c r="NGN12" s="0"/>
      <c r="NGO12" s="0"/>
      <c r="NGP12" s="0"/>
      <c r="NGQ12" s="0"/>
      <c r="NGR12" s="0"/>
      <c r="NGS12" s="0"/>
      <c r="NGT12" s="0"/>
      <c r="NGU12" s="0"/>
      <c r="NGV12" s="0"/>
      <c r="NGW12" s="0"/>
      <c r="NGX12" s="0"/>
      <c r="NGY12" s="0"/>
      <c r="NGZ12" s="0"/>
      <c r="NHA12" s="0"/>
      <c r="NHB12" s="0"/>
      <c r="NHC12" s="0"/>
      <c r="NHD12" s="0"/>
      <c r="NHE12" s="0"/>
      <c r="NHF12" s="0"/>
      <c r="NHG12" s="0"/>
      <c r="NHH12" s="0"/>
      <c r="NHI12" s="0"/>
      <c r="NHJ12" s="0"/>
      <c r="NHK12" s="0"/>
      <c r="NHL12" s="0"/>
      <c r="NHM12" s="0"/>
      <c r="NHN12" s="0"/>
      <c r="NHO12" s="0"/>
      <c r="NHP12" s="0"/>
      <c r="NHQ12" s="0"/>
      <c r="NHR12" s="0"/>
      <c r="NHS12" s="0"/>
      <c r="NHT12" s="0"/>
      <c r="NHU12" s="0"/>
      <c r="NHV12" s="0"/>
      <c r="NHW12" s="0"/>
      <c r="NHX12" s="0"/>
      <c r="NHY12" s="0"/>
      <c r="NHZ12" s="0"/>
      <c r="NIA12" s="0"/>
      <c r="NIB12" s="0"/>
      <c r="NIC12" s="0"/>
      <c r="NID12" s="0"/>
      <c r="NIE12" s="0"/>
      <c r="NIF12" s="0"/>
      <c r="NIG12" s="0"/>
      <c r="NIH12" s="0"/>
      <c r="NII12" s="0"/>
      <c r="NIJ12" s="0"/>
      <c r="NIK12" s="0"/>
      <c r="NIL12" s="0"/>
      <c r="NIM12" s="0"/>
      <c r="NIN12" s="0"/>
      <c r="NIO12" s="0"/>
      <c r="NIP12" s="0"/>
      <c r="NIQ12" s="0"/>
      <c r="NIR12" s="0"/>
      <c r="NIS12" s="0"/>
      <c r="NIT12" s="0"/>
      <c r="NIU12" s="0"/>
      <c r="NIV12" s="0"/>
      <c r="NIW12" s="0"/>
      <c r="NIX12" s="0"/>
      <c r="NIY12" s="0"/>
      <c r="NIZ12" s="0"/>
      <c r="NJA12" s="0"/>
      <c r="NJB12" s="0"/>
      <c r="NJC12" s="0"/>
      <c r="NJD12" s="0"/>
      <c r="NJE12" s="0"/>
      <c r="NJF12" s="0"/>
      <c r="NJG12" s="0"/>
      <c r="NJH12" s="0"/>
      <c r="NJI12" s="0"/>
      <c r="NJJ12" s="0"/>
      <c r="NJK12" s="0"/>
      <c r="NJL12" s="0"/>
      <c r="NJM12" s="0"/>
      <c r="NJN12" s="0"/>
      <c r="NJO12" s="0"/>
      <c r="NJP12" s="0"/>
      <c r="NJQ12" s="0"/>
      <c r="NJR12" s="0"/>
      <c r="NJS12" s="0"/>
      <c r="NJT12" s="0"/>
      <c r="NJU12" s="0"/>
      <c r="NJV12" s="0"/>
      <c r="NJW12" s="0"/>
      <c r="NJX12" s="0"/>
      <c r="NJY12" s="0"/>
      <c r="NJZ12" s="0"/>
      <c r="NKA12" s="0"/>
      <c r="NKB12" s="0"/>
      <c r="NKC12" s="0"/>
      <c r="NKD12" s="0"/>
      <c r="NKE12" s="0"/>
      <c r="NKF12" s="0"/>
      <c r="NKG12" s="0"/>
      <c r="NKH12" s="0"/>
      <c r="NKI12" s="0"/>
      <c r="NKJ12" s="0"/>
      <c r="NKK12" s="0"/>
      <c r="NKL12" s="0"/>
      <c r="NKM12" s="0"/>
      <c r="NKN12" s="0"/>
      <c r="NKO12" s="0"/>
      <c r="NKP12" s="0"/>
      <c r="NKQ12" s="0"/>
      <c r="NKR12" s="0"/>
      <c r="NKS12" s="0"/>
      <c r="NKT12" s="0"/>
      <c r="NKU12" s="0"/>
      <c r="NKV12" s="0"/>
      <c r="NKW12" s="0"/>
      <c r="NKX12" s="0"/>
      <c r="NKY12" s="0"/>
      <c r="NKZ12" s="0"/>
      <c r="NLA12" s="0"/>
      <c r="NLB12" s="0"/>
      <c r="NLC12" s="0"/>
      <c r="NLD12" s="0"/>
      <c r="NLE12" s="0"/>
      <c r="NLF12" s="0"/>
      <c r="NLG12" s="0"/>
      <c r="NLH12" s="0"/>
      <c r="NLI12" s="0"/>
      <c r="NLJ12" s="0"/>
      <c r="NLK12" s="0"/>
      <c r="NLL12" s="0"/>
      <c r="NLM12" s="0"/>
      <c r="NLN12" s="0"/>
      <c r="NLO12" s="0"/>
      <c r="NLP12" s="0"/>
      <c r="NLQ12" s="0"/>
      <c r="NLR12" s="0"/>
      <c r="NLS12" s="0"/>
      <c r="NLT12" s="0"/>
      <c r="NLU12" s="0"/>
      <c r="NLV12" s="0"/>
      <c r="NLW12" s="0"/>
      <c r="NLX12" s="0"/>
      <c r="NLY12" s="0"/>
      <c r="NLZ12" s="0"/>
      <c r="NMA12" s="0"/>
      <c r="NMB12" s="0"/>
      <c r="NMC12" s="0"/>
      <c r="NMD12" s="0"/>
      <c r="NME12" s="0"/>
      <c r="NMF12" s="0"/>
      <c r="NMG12" s="0"/>
      <c r="NMH12" s="0"/>
      <c r="NMI12" s="0"/>
      <c r="NMJ12" s="0"/>
      <c r="NMK12" s="0"/>
      <c r="NML12" s="0"/>
      <c r="NMM12" s="0"/>
      <c r="NMN12" s="0"/>
      <c r="NMO12" s="0"/>
      <c r="NMP12" s="0"/>
      <c r="NMQ12" s="0"/>
      <c r="NMR12" s="0"/>
      <c r="NMS12" s="0"/>
      <c r="NMT12" s="0"/>
      <c r="NMU12" s="0"/>
      <c r="NMV12" s="0"/>
      <c r="NMW12" s="0"/>
      <c r="NMX12" s="0"/>
      <c r="NMY12" s="0"/>
      <c r="NMZ12" s="0"/>
      <c r="NNA12" s="0"/>
      <c r="NNB12" s="0"/>
      <c r="NNC12" s="0"/>
      <c r="NND12" s="0"/>
      <c r="NNE12" s="0"/>
      <c r="NNF12" s="0"/>
      <c r="NNG12" s="0"/>
      <c r="NNH12" s="0"/>
      <c r="NNI12" s="0"/>
      <c r="NNJ12" s="0"/>
      <c r="NNK12" s="0"/>
      <c r="NNL12" s="0"/>
      <c r="NNM12" s="0"/>
      <c r="NNN12" s="0"/>
      <c r="NNO12" s="0"/>
      <c r="NNP12" s="0"/>
      <c r="NNQ12" s="0"/>
      <c r="NNR12" s="0"/>
      <c r="NNS12" s="0"/>
      <c r="NNT12" s="0"/>
      <c r="NNU12" s="0"/>
      <c r="NNV12" s="0"/>
      <c r="NNW12" s="0"/>
      <c r="NNX12" s="0"/>
      <c r="NNY12" s="0"/>
      <c r="NNZ12" s="0"/>
      <c r="NOA12" s="0"/>
      <c r="NOB12" s="0"/>
      <c r="NOC12" s="0"/>
      <c r="NOD12" s="0"/>
      <c r="NOE12" s="0"/>
      <c r="NOF12" s="0"/>
      <c r="NOG12" s="0"/>
      <c r="NOH12" s="0"/>
      <c r="NOI12" s="0"/>
      <c r="NOJ12" s="0"/>
      <c r="NOK12" s="0"/>
      <c r="NOL12" s="0"/>
      <c r="NOM12" s="0"/>
      <c r="NON12" s="0"/>
      <c r="NOO12" s="0"/>
      <c r="NOP12" s="0"/>
      <c r="NOQ12" s="0"/>
      <c r="NOR12" s="0"/>
      <c r="NOS12" s="0"/>
      <c r="NOT12" s="0"/>
      <c r="NOU12" s="0"/>
      <c r="NOV12" s="0"/>
      <c r="NOW12" s="0"/>
      <c r="NOX12" s="0"/>
      <c r="NOY12" s="0"/>
      <c r="NOZ12" s="0"/>
      <c r="NPA12" s="0"/>
      <c r="NPB12" s="0"/>
      <c r="NPC12" s="0"/>
      <c r="NPD12" s="0"/>
      <c r="NPE12" s="0"/>
      <c r="NPF12" s="0"/>
      <c r="NPG12" s="0"/>
      <c r="NPH12" s="0"/>
      <c r="NPI12" s="0"/>
      <c r="NPJ12" s="0"/>
      <c r="NPK12" s="0"/>
      <c r="NPL12" s="0"/>
      <c r="NPM12" s="0"/>
      <c r="NPN12" s="0"/>
      <c r="NPO12" s="0"/>
      <c r="NPP12" s="0"/>
      <c r="NPQ12" s="0"/>
      <c r="NPR12" s="0"/>
      <c r="NPS12" s="0"/>
      <c r="NPT12" s="0"/>
      <c r="NPU12" s="0"/>
      <c r="NPV12" s="0"/>
      <c r="NPW12" s="0"/>
      <c r="NPX12" s="0"/>
      <c r="NPY12" s="0"/>
      <c r="NPZ12" s="0"/>
      <c r="NQA12" s="0"/>
      <c r="NQB12" s="0"/>
      <c r="NQC12" s="0"/>
      <c r="NQD12" s="0"/>
      <c r="NQE12" s="0"/>
      <c r="NQF12" s="0"/>
      <c r="NQG12" s="0"/>
      <c r="NQH12" s="0"/>
      <c r="NQI12" s="0"/>
      <c r="NQJ12" s="0"/>
      <c r="NQK12" s="0"/>
      <c r="NQL12" s="0"/>
      <c r="NQM12" s="0"/>
      <c r="NQN12" s="0"/>
      <c r="NQO12" s="0"/>
      <c r="NQP12" s="0"/>
      <c r="NQQ12" s="0"/>
      <c r="NQR12" s="0"/>
      <c r="NQS12" s="0"/>
      <c r="NQT12" s="0"/>
      <c r="NQU12" s="0"/>
      <c r="NQV12" s="0"/>
      <c r="NQW12" s="0"/>
      <c r="NQX12" s="0"/>
      <c r="NQY12" s="0"/>
      <c r="NQZ12" s="0"/>
      <c r="NRA12" s="0"/>
      <c r="NRB12" s="0"/>
      <c r="NRC12" s="0"/>
      <c r="NRD12" s="0"/>
      <c r="NRE12" s="0"/>
      <c r="NRF12" s="0"/>
      <c r="NRG12" s="0"/>
      <c r="NRH12" s="0"/>
      <c r="NRI12" s="0"/>
      <c r="NRJ12" s="0"/>
      <c r="NRK12" s="0"/>
      <c r="NRL12" s="0"/>
      <c r="NRM12" s="0"/>
      <c r="NRN12" s="0"/>
      <c r="NRO12" s="0"/>
      <c r="NRP12" s="0"/>
      <c r="NRQ12" s="0"/>
      <c r="NRR12" s="0"/>
      <c r="NRS12" s="0"/>
      <c r="NRT12" s="0"/>
      <c r="NRU12" s="0"/>
      <c r="NRV12" s="0"/>
      <c r="NRW12" s="0"/>
      <c r="NRX12" s="0"/>
      <c r="NRY12" s="0"/>
      <c r="NRZ12" s="0"/>
      <c r="NSA12" s="0"/>
      <c r="NSB12" s="0"/>
      <c r="NSC12" s="0"/>
      <c r="NSD12" s="0"/>
      <c r="NSE12" s="0"/>
      <c r="NSF12" s="0"/>
      <c r="NSG12" s="0"/>
      <c r="NSH12" s="0"/>
      <c r="NSI12" s="0"/>
      <c r="NSJ12" s="0"/>
      <c r="NSK12" s="0"/>
      <c r="NSL12" s="0"/>
      <c r="NSM12" s="0"/>
      <c r="NSN12" s="0"/>
      <c r="NSO12" s="0"/>
      <c r="NSP12" s="0"/>
      <c r="NSQ12" s="0"/>
      <c r="NSR12" s="0"/>
      <c r="NSS12" s="0"/>
      <c r="NST12" s="0"/>
      <c r="NSU12" s="0"/>
      <c r="NSV12" s="0"/>
      <c r="NSW12" s="0"/>
      <c r="NSX12" s="0"/>
      <c r="NSY12" s="0"/>
      <c r="NSZ12" s="0"/>
      <c r="NTA12" s="0"/>
      <c r="NTB12" s="0"/>
      <c r="NTC12" s="0"/>
      <c r="NTD12" s="0"/>
      <c r="NTE12" s="0"/>
      <c r="NTF12" s="0"/>
      <c r="NTG12" s="0"/>
      <c r="NTH12" s="0"/>
      <c r="NTI12" s="0"/>
      <c r="NTJ12" s="0"/>
      <c r="NTK12" s="0"/>
      <c r="NTL12" s="0"/>
      <c r="NTM12" s="0"/>
      <c r="NTN12" s="0"/>
      <c r="NTO12" s="0"/>
      <c r="NTP12" s="0"/>
      <c r="NTQ12" s="0"/>
      <c r="NTR12" s="0"/>
      <c r="NTS12" s="0"/>
      <c r="NTT12" s="0"/>
      <c r="NTU12" s="0"/>
      <c r="NTV12" s="0"/>
      <c r="NTW12" s="0"/>
      <c r="NTX12" s="0"/>
      <c r="NTY12" s="0"/>
      <c r="NTZ12" s="0"/>
      <c r="NUA12" s="0"/>
      <c r="NUB12" s="0"/>
      <c r="NUC12" s="0"/>
      <c r="NUD12" s="0"/>
      <c r="NUE12" s="0"/>
      <c r="NUF12" s="0"/>
      <c r="NUG12" s="0"/>
      <c r="NUH12" s="0"/>
      <c r="NUI12" s="0"/>
      <c r="NUJ12" s="0"/>
      <c r="NUK12" s="0"/>
      <c r="NUL12" s="0"/>
      <c r="NUM12" s="0"/>
      <c r="NUN12" s="0"/>
      <c r="NUO12" s="0"/>
      <c r="NUP12" s="0"/>
      <c r="NUQ12" s="0"/>
      <c r="NUR12" s="0"/>
      <c r="NUS12" s="0"/>
      <c r="NUT12" s="0"/>
      <c r="NUU12" s="0"/>
      <c r="NUV12" s="0"/>
      <c r="NUW12" s="0"/>
      <c r="NUX12" s="0"/>
      <c r="NUY12" s="0"/>
      <c r="NUZ12" s="0"/>
      <c r="NVA12" s="0"/>
      <c r="NVB12" s="0"/>
      <c r="NVC12" s="0"/>
      <c r="NVD12" s="0"/>
      <c r="NVE12" s="0"/>
      <c r="NVF12" s="0"/>
      <c r="NVG12" s="0"/>
      <c r="NVH12" s="0"/>
      <c r="NVI12" s="0"/>
      <c r="NVJ12" s="0"/>
      <c r="NVK12" s="0"/>
      <c r="NVL12" s="0"/>
      <c r="NVM12" s="0"/>
      <c r="NVN12" s="0"/>
      <c r="NVO12" s="0"/>
      <c r="NVP12" s="0"/>
      <c r="NVQ12" s="0"/>
      <c r="NVR12" s="0"/>
      <c r="NVS12" s="0"/>
      <c r="NVT12" s="0"/>
      <c r="NVU12" s="0"/>
      <c r="NVV12" s="0"/>
      <c r="NVW12" s="0"/>
      <c r="NVX12" s="0"/>
      <c r="NVY12" s="0"/>
      <c r="NVZ12" s="0"/>
      <c r="NWA12" s="0"/>
      <c r="NWB12" s="0"/>
      <c r="NWC12" s="0"/>
      <c r="NWD12" s="0"/>
      <c r="NWE12" s="0"/>
      <c r="NWF12" s="0"/>
      <c r="NWG12" s="0"/>
      <c r="NWH12" s="0"/>
      <c r="NWI12" s="0"/>
      <c r="NWJ12" s="0"/>
      <c r="NWK12" s="0"/>
      <c r="NWL12" s="0"/>
      <c r="NWM12" s="0"/>
      <c r="NWN12" s="0"/>
      <c r="NWO12" s="0"/>
      <c r="NWP12" s="0"/>
      <c r="NWQ12" s="0"/>
      <c r="NWR12" s="0"/>
      <c r="NWS12" s="0"/>
      <c r="NWT12" s="0"/>
      <c r="NWU12" s="0"/>
      <c r="NWV12" s="0"/>
      <c r="NWW12" s="0"/>
      <c r="NWX12" s="0"/>
      <c r="NWY12" s="0"/>
      <c r="NWZ12" s="0"/>
      <c r="NXA12" s="0"/>
      <c r="NXB12" s="0"/>
      <c r="NXC12" s="0"/>
      <c r="NXD12" s="0"/>
      <c r="NXE12" s="0"/>
      <c r="NXF12" s="0"/>
      <c r="NXG12" s="0"/>
      <c r="NXH12" s="0"/>
      <c r="NXI12" s="0"/>
      <c r="NXJ12" s="0"/>
      <c r="NXK12" s="0"/>
      <c r="NXL12" s="0"/>
      <c r="NXM12" s="0"/>
      <c r="NXN12" s="0"/>
      <c r="NXO12" s="0"/>
      <c r="NXP12" s="0"/>
      <c r="NXQ12" s="0"/>
      <c r="NXR12" s="0"/>
      <c r="NXS12" s="0"/>
      <c r="NXT12" s="0"/>
      <c r="NXU12" s="0"/>
      <c r="NXV12" s="0"/>
      <c r="NXW12" s="0"/>
      <c r="NXX12" s="0"/>
      <c r="NXY12" s="0"/>
      <c r="NXZ12" s="0"/>
      <c r="NYA12" s="0"/>
      <c r="NYB12" s="0"/>
      <c r="NYC12" s="0"/>
      <c r="NYD12" s="0"/>
      <c r="NYE12" s="0"/>
      <c r="NYF12" s="0"/>
      <c r="NYG12" s="0"/>
      <c r="NYH12" s="0"/>
      <c r="NYI12" s="0"/>
      <c r="NYJ12" s="0"/>
      <c r="NYK12" s="0"/>
      <c r="NYL12" s="0"/>
      <c r="NYM12" s="0"/>
      <c r="NYN12" s="0"/>
      <c r="NYO12" s="0"/>
      <c r="NYP12" s="0"/>
      <c r="NYQ12" s="0"/>
      <c r="NYR12" s="0"/>
      <c r="NYS12" s="0"/>
      <c r="NYT12" s="0"/>
      <c r="NYU12" s="0"/>
      <c r="NYV12" s="0"/>
      <c r="NYW12" s="0"/>
      <c r="NYX12" s="0"/>
      <c r="NYY12" s="0"/>
      <c r="NYZ12" s="0"/>
      <c r="NZA12" s="0"/>
      <c r="NZB12" s="0"/>
      <c r="NZC12" s="0"/>
      <c r="NZD12" s="0"/>
      <c r="NZE12" s="0"/>
      <c r="NZF12" s="0"/>
      <c r="NZG12" s="0"/>
      <c r="NZH12" s="0"/>
      <c r="NZI12" s="0"/>
      <c r="NZJ12" s="0"/>
      <c r="NZK12" s="0"/>
      <c r="NZL12" s="0"/>
      <c r="NZM12" s="0"/>
      <c r="NZN12" s="0"/>
      <c r="NZO12" s="0"/>
      <c r="NZP12" s="0"/>
      <c r="NZQ12" s="0"/>
      <c r="NZR12" s="0"/>
      <c r="NZS12" s="0"/>
      <c r="NZT12" s="0"/>
      <c r="NZU12" s="0"/>
      <c r="NZV12" s="0"/>
      <c r="NZW12" s="0"/>
      <c r="NZX12" s="0"/>
      <c r="NZY12" s="0"/>
      <c r="NZZ12" s="0"/>
      <c r="OAA12" s="0"/>
      <c r="OAB12" s="0"/>
      <c r="OAC12" s="0"/>
      <c r="OAD12" s="0"/>
      <c r="OAE12" s="0"/>
      <c r="OAF12" s="0"/>
      <c r="OAG12" s="0"/>
      <c r="OAH12" s="0"/>
      <c r="OAI12" s="0"/>
      <c r="OAJ12" s="0"/>
      <c r="OAK12" s="0"/>
      <c r="OAL12" s="0"/>
      <c r="OAM12" s="0"/>
      <c r="OAN12" s="0"/>
      <c r="OAO12" s="0"/>
      <c r="OAP12" s="0"/>
      <c r="OAQ12" s="0"/>
      <c r="OAR12" s="0"/>
      <c r="OAS12" s="0"/>
      <c r="OAT12" s="0"/>
      <c r="OAU12" s="0"/>
      <c r="OAV12" s="0"/>
      <c r="OAW12" s="0"/>
      <c r="OAX12" s="0"/>
      <c r="OAY12" s="0"/>
      <c r="OAZ12" s="0"/>
      <c r="OBA12" s="0"/>
      <c r="OBB12" s="0"/>
      <c r="OBC12" s="0"/>
      <c r="OBD12" s="0"/>
      <c r="OBE12" s="0"/>
      <c r="OBF12" s="0"/>
      <c r="OBG12" s="0"/>
      <c r="OBH12" s="0"/>
      <c r="OBI12" s="0"/>
      <c r="OBJ12" s="0"/>
      <c r="OBK12" s="0"/>
      <c r="OBL12" s="0"/>
      <c r="OBM12" s="0"/>
      <c r="OBN12" s="0"/>
      <c r="OBO12" s="0"/>
      <c r="OBP12" s="0"/>
      <c r="OBQ12" s="0"/>
      <c r="OBR12" s="0"/>
      <c r="OBS12" s="0"/>
      <c r="OBT12" s="0"/>
      <c r="OBU12" s="0"/>
      <c r="OBV12" s="0"/>
      <c r="OBW12" s="0"/>
      <c r="OBX12" s="0"/>
      <c r="OBY12" s="0"/>
      <c r="OBZ12" s="0"/>
      <c r="OCA12" s="0"/>
      <c r="OCB12" s="0"/>
      <c r="OCC12" s="0"/>
      <c r="OCD12" s="0"/>
      <c r="OCE12" s="0"/>
      <c r="OCF12" s="0"/>
      <c r="OCG12" s="0"/>
      <c r="OCH12" s="0"/>
      <c r="OCI12" s="0"/>
      <c r="OCJ12" s="0"/>
      <c r="OCK12" s="0"/>
      <c r="OCL12" s="0"/>
      <c r="OCM12" s="0"/>
      <c r="OCN12" s="0"/>
      <c r="OCO12" s="0"/>
      <c r="OCP12" s="0"/>
      <c r="OCQ12" s="0"/>
      <c r="OCR12" s="0"/>
      <c r="OCS12" s="0"/>
      <c r="OCT12" s="0"/>
      <c r="OCU12" s="0"/>
      <c r="OCV12" s="0"/>
      <c r="OCW12" s="0"/>
      <c r="OCX12" s="0"/>
      <c r="OCY12" s="0"/>
      <c r="OCZ12" s="0"/>
      <c r="ODA12" s="0"/>
      <c r="ODB12" s="0"/>
      <c r="ODC12" s="0"/>
      <c r="ODD12" s="0"/>
      <c r="ODE12" s="0"/>
      <c r="ODF12" s="0"/>
      <c r="ODG12" s="0"/>
      <c r="ODH12" s="0"/>
      <c r="ODI12" s="0"/>
      <c r="ODJ12" s="0"/>
      <c r="ODK12" s="0"/>
      <c r="ODL12" s="0"/>
      <c r="ODM12" s="0"/>
      <c r="ODN12" s="0"/>
      <c r="ODO12" s="0"/>
      <c r="ODP12" s="0"/>
      <c r="ODQ12" s="0"/>
      <c r="ODR12" s="0"/>
      <c r="ODS12" s="0"/>
      <c r="ODT12" s="0"/>
      <c r="ODU12" s="0"/>
      <c r="ODV12" s="0"/>
      <c r="ODW12" s="0"/>
      <c r="ODX12" s="0"/>
      <c r="ODY12" s="0"/>
      <c r="ODZ12" s="0"/>
      <c r="OEA12" s="0"/>
      <c r="OEB12" s="0"/>
      <c r="OEC12" s="0"/>
      <c r="OED12" s="0"/>
      <c r="OEE12" s="0"/>
      <c r="OEF12" s="0"/>
      <c r="OEG12" s="0"/>
      <c r="OEH12" s="0"/>
      <c r="OEI12" s="0"/>
      <c r="OEJ12" s="0"/>
      <c r="OEK12" s="0"/>
      <c r="OEL12" s="0"/>
      <c r="OEM12" s="0"/>
      <c r="OEN12" s="0"/>
      <c r="OEO12" s="0"/>
      <c r="OEP12" s="0"/>
      <c r="OEQ12" s="0"/>
      <c r="OER12" s="0"/>
      <c r="OES12" s="0"/>
      <c r="OET12" s="0"/>
      <c r="OEU12" s="0"/>
      <c r="OEV12" s="0"/>
      <c r="OEW12" s="0"/>
      <c r="OEX12" s="0"/>
      <c r="OEY12" s="0"/>
      <c r="OEZ12" s="0"/>
      <c r="OFA12" s="0"/>
      <c r="OFB12" s="0"/>
      <c r="OFC12" s="0"/>
      <c r="OFD12" s="0"/>
      <c r="OFE12" s="0"/>
      <c r="OFF12" s="0"/>
      <c r="OFG12" s="0"/>
      <c r="OFH12" s="0"/>
      <c r="OFI12" s="0"/>
      <c r="OFJ12" s="0"/>
      <c r="OFK12" s="0"/>
      <c r="OFL12" s="0"/>
      <c r="OFM12" s="0"/>
      <c r="OFN12" s="0"/>
      <c r="OFO12" s="0"/>
      <c r="OFP12" s="0"/>
      <c r="OFQ12" s="0"/>
      <c r="OFR12" s="0"/>
      <c r="OFS12" s="0"/>
      <c r="OFT12" s="0"/>
      <c r="OFU12" s="0"/>
      <c r="OFV12" s="0"/>
      <c r="OFW12" s="0"/>
      <c r="OFX12" s="0"/>
      <c r="OFY12" s="0"/>
      <c r="OFZ12" s="0"/>
      <c r="OGA12" s="0"/>
      <c r="OGB12" s="0"/>
      <c r="OGC12" s="0"/>
      <c r="OGD12" s="0"/>
      <c r="OGE12" s="0"/>
      <c r="OGF12" s="0"/>
      <c r="OGG12" s="0"/>
      <c r="OGH12" s="0"/>
      <c r="OGI12" s="0"/>
      <c r="OGJ12" s="0"/>
      <c r="OGK12" s="0"/>
      <c r="OGL12" s="0"/>
      <c r="OGM12" s="0"/>
      <c r="OGN12" s="0"/>
      <c r="OGO12" s="0"/>
      <c r="OGP12" s="0"/>
      <c r="OGQ12" s="0"/>
      <c r="OGR12" s="0"/>
      <c r="OGS12" s="0"/>
      <c r="OGT12" s="0"/>
      <c r="OGU12" s="0"/>
      <c r="OGV12" s="0"/>
      <c r="OGW12" s="0"/>
      <c r="OGX12" s="0"/>
      <c r="OGY12" s="0"/>
      <c r="OGZ12" s="0"/>
      <c r="OHA12" s="0"/>
      <c r="OHB12" s="0"/>
      <c r="OHC12" s="0"/>
      <c r="OHD12" s="0"/>
      <c r="OHE12" s="0"/>
      <c r="OHF12" s="0"/>
      <c r="OHG12" s="0"/>
      <c r="OHH12" s="0"/>
      <c r="OHI12" s="0"/>
      <c r="OHJ12" s="0"/>
      <c r="OHK12" s="0"/>
      <c r="OHL12" s="0"/>
      <c r="OHM12" s="0"/>
      <c r="OHN12" s="0"/>
      <c r="OHO12" s="0"/>
      <c r="OHP12" s="0"/>
      <c r="OHQ12" s="0"/>
      <c r="OHR12" s="0"/>
      <c r="OHS12" s="0"/>
      <c r="OHT12" s="0"/>
      <c r="OHU12" s="0"/>
      <c r="OHV12" s="0"/>
      <c r="OHW12" s="0"/>
      <c r="OHX12" s="0"/>
      <c r="OHY12" s="0"/>
      <c r="OHZ12" s="0"/>
      <c r="OIA12" s="0"/>
      <c r="OIB12" s="0"/>
      <c r="OIC12" s="0"/>
      <c r="OID12" s="0"/>
      <c r="OIE12" s="0"/>
      <c r="OIF12" s="0"/>
      <c r="OIG12" s="0"/>
      <c r="OIH12" s="0"/>
      <c r="OII12" s="0"/>
      <c r="OIJ12" s="0"/>
      <c r="OIK12" s="0"/>
      <c r="OIL12" s="0"/>
      <c r="OIM12" s="0"/>
      <c r="OIN12" s="0"/>
      <c r="OIO12" s="0"/>
      <c r="OIP12" s="0"/>
      <c r="OIQ12" s="0"/>
      <c r="OIR12" s="0"/>
      <c r="OIS12" s="0"/>
      <c r="OIT12" s="0"/>
      <c r="OIU12" s="0"/>
      <c r="OIV12" s="0"/>
      <c r="OIW12" s="0"/>
      <c r="OIX12" s="0"/>
      <c r="OIY12" s="0"/>
      <c r="OIZ12" s="0"/>
      <c r="OJA12" s="0"/>
      <c r="OJB12" s="0"/>
      <c r="OJC12" s="0"/>
      <c r="OJD12" s="0"/>
      <c r="OJE12" s="0"/>
      <c r="OJF12" s="0"/>
      <c r="OJG12" s="0"/>
      <c r="OJH12" s="0"/>
      <c r="OJI12" s="0"/>
      <c r="OJJ12" s="0"/>
      <c r="OJK12" s="0"/>
      <c r="OJL12" s="0"/>
      <c r="OJM12" s="0"/>
      <c r="OJN12" s="0"/>
      <c r="OJO12" s="0"/>
      <c r="OJP12" s="0"/>
      <c r="OJQ12" s="0"/>
      <c r="OJR12" s="0"/>
      <c r="OJS12" s="0"/>
      <c r="OJT12" s="0"/>
      <c r="OJU12" s="0"/>
      <c r="OJV12" s="0"/>
      <c r="OJW12" s="0"/>
      <c r="OJX12" s="0"/>
      <c r="OJY12" s="0"/>
      <c r="OJZ12" s="0"/>
      <c r="OKA12" s="0"/>
      <c r="OKB12" s="0"/>
      <c r="OKC12" s="0"/>
      <c r="OKD12" s="0"/>
      <c r="OKE12" s="0"/>
      <c r="OKF12" s="0"/>
      <c r="OKG12" s="0"/>
      <c r="OKH12" s="0"/>
      <c r="OKI12" s="0"/>
      <c r="OKJ12" s="0"/>
      <c r="OKK12" s="0"/>
      <c r="OKL12" s="0"/>
      <c r="OKM12" s="0"/>
      <c r="OKN12" s="0"/>
      <c r="OKO12" s="0"/>
      <c r="OKP12" s="0"/>
      <c r="OKQ12" s="0"/>
      <c r="OKR12" s="0"/>
      <c r="OKS12" s="0"/>
      <c r="OKT12" s="0"/>
      <c r="OKU12" s="0"/>
      <c r="OKV12" s="0"/>
      <c r="OKW12" s="0"/>
      <c r="OKX12" s="0"/>
      <c r="OKY12" s="0"/>
      <c r="OKZ12" s="0"/>
      <c r="OLA12" s="0"/>
      <c r="OLB12" s="0"/>
      <c r="OLC12" s="0"/>
      <c r="OLD12" s="0"/>
      <c r="OLE12" s="0"/>
      <c r="OLF12" s="0"/>
      <c r="OLG12" s="0"/>
      <c r="OLH12" s="0"/>
      <c r="OLI12" s="0"/>
      <c r="OLJ12" s="0"/>
      <c r="OLK12" s="0"/>
      <c r="OLL12" s="0"/>
      <c r="OLM12" s="0"/>
      <c r="OLN12" s="0"/>
      <c r="OLO12" s="0"/>
      <c r="OLP12" s="0"/>
      <c r="OLQ12" s="0"/>
      <c r="OLR12" s="0"/>
      <c r="OLS12" s="0"/>
      <c r="OLT12" s="0"/>
      <c r="OLU12" s="0"/>
      <c r="OLV12" s="0"/>
      <c r="OLW12" s="0"/>
      <c r="OLX12" s="0"/>
      <c r="OLY12" s="0"/>
      <c r="OLZ12" s="0"/>
      <c r="OMA12" s="0"/>
      <c r="OMB12" s="0"/>
      <c r="OMC12" s="0"/>
      <c r="OMD12" s="0"/>
      <c r="OME12" s="0"/>
      <c r="OMF12" s="0"/>
      <c r="OMG12" s="0"/>
      <c r="OMH12" s="0"/>
      <c r="OMI12" s="0"/>
      <c r="OMJ12" s="0"/>
      <c r="OMK12" s="0"/>
      <c r="OML12" s="0"/>
      <c r="OMM12" s="0"/>
      <c r="OMN12" s="0"/>
      <c r="OMO12" s="0"/>
      <c r="OMP12" s="0"/>
      <c r="OMQ12" s="0"/>
      <c r="OMR12" s="0"/>
      <c r="OMS12" s="0"/>
      <c r="OMT12" s="0"/>
      <c r="OMU12" s="0"/>
      <c r="OMV12" s="0"/>
      <c r="OMW12" s="0"/>
      <c r="OMX12" s="0"/>
      <c r="OMY12" s="0"/>
      <c r="OMZ12" s="0"/>
      <c r="ONA12" s="0"/>
      <c r="ONB12" s="0"/>
      <c r="ONC12" s="0"/>
      <c r="OND12" s="0"/>
      <c r="ONE12" s="0"/>
      <c r="ONF12" s="0"/>
      <c r="ONG12" s="0"/>
      <c r="ONH12" s="0"/>
      <c r="ONI12" s="0"/>
      <c r="ONJ12" s="0"/>
      <c r="ONK12" s="0"/>
      <c r="ONL12" s="0"/>
      <c r="ONM12" s="0"/>
      <c r="ONN12" s="0"/>
      <c r="ONO12" s="0"/>
      <c r="ONP12" s="0"/>
      <c r="ONQ12" s="0"/>
      <c r="ONR12" s="0"/>
      <c r="ONS12" s="0"/>
      <c r="ONT12" s="0"/>
      <c r="ONU12" s="0"/>
      <c r="ONV12" s="0"/>
      <c r="ONW12" s="0"/>
      <c r="ONX12" s="0"/>
      <c r="ONY12" s="0"/>
      <c r="ONZ12" s="0"/>
      <c r="OOA12" s="0"/>
      <c r="OOB12" s="0"/>
      <c r="OOC12" s="0"/>
      <c r="OOD12" s="0"/>
      <c r="OOE12" s="0"/>
      <c r="OOF12" s="0"/>
      <c r="OOG12" s="0"/>
      <c r="OOH12" s="0"/>
      <c r="OOI12" s="0"/>
      <c r="OOJ12" s="0"/>
      <c r="OOK12" s="0"/>
      <c r="OOL12" s="0"/>
      <c r="OOM12" s="0"/>
      <c r="OON12" s="0"/>
      <c r="OOO12" s="0"/>
      <c r="OOP12" s="0"/>
      <c r="OOQ12" s="0"/>
      <c r="OOR12" s="0"/>
      <c r="OOS12" s="0"/>
      <c r="OOT12" s="0"/>
      <c r="OOU12" s="0"/>
      <c r="OOV12" s="0"/>
      <c r="OOW12" s="0"/>
      <c r="OOX12" s="0"/>
      <c r="OOY12" s="0"/>
      <c r="OOZ12" s="0"/>
      <c r="OPA12" s="0"/>
      <c r="OPB12" s="0"/>
      <c r="OPC12" s="0"/>
      <c r="OPD12" s="0"/>
      <c r="OPE12" s="0"/>
      <c r="OPF12" s="0"/>
      <c r="OPG12" s="0"/>
      <c r="OPH12" s="0"/>
      <c r="OPI12" s="0"/>
      <c r="OPJ12" s="0"/>
      <c r="OPK12" s="0"/>
      <c r="OPL12" s="0"/>
      <c r="OPM12" s="0"/>
      <c r="OPN12" s="0"/>
      <c r="OPO12" s="0"/>
      <c r="OPP12" s="0"/>
      <c r="OPQ12" s="0"/>
      <c r="OPR12" s="0"/>
      <c r="OPS12" s="0"/>
      <c r="OPT12" s="0"/>
      <c r="OPU12" s="0"/>
      <c r="OPV12" s="0"/>
      <c r="OPW12" s="0"/>
      <c r="OPX12" s="0"/>
      <c r="OPY12" s="0"/>
      <c r="OPZ12" s="0"/>
      <c r="OQA12" s="0"/>
      <c r="OQB12" s="0"/>
      <c r="OQC12" s="0"/>
      <c r="OQD12" s="0"/>
      <c r="OQE12" s="0"/>
      <c r="OQF12" s="0"/>
      <c r="OQG12" s="0"/>
      <c r="OQH12" s="0"/>
      <c r="OQI12" s="0"/>
      <c r="OQJ12" s="0"/>
      <c r="OQK12" s="0"/>
      <c r="OQL12" s="0"/>
      <c r="OQM12" s="0"/>
      <c r="OQN12" s="0"/>
      <c r="OQO12" s="0"/>
      <c r="OQP12" s="0"/>
      <c r="OQQ12" s="0"/>
      <c r="OQR12" s="0"/>
      <c r="OQS12" s="0"/>
      <c r="OQT12" s="0"/>
      <c r="OQU12" s="0"/>
      <c r="OQV12" s="0"/>
      <c r="OQW12" s="0"/>
      <c r="OQX12" s="0"/>
      <c r="OQY12" s="0"/>
      <c r="OQZ12" s="0"/>
      <c r="ORA12" s="0"/>
      <c r="ORB12" s="0"/>
      <c r="ORC12" s="0"/>
      <c r="ORD12" s="0"/>
      <c r="ORE12" s="0"/>
      <c r="ORF12" s="0"/>
      <c r="ORG12" s="0"/>
      <c r="ORH12" s="0"/>
      <c r="ORI12" s="0"/>
      <c r="ORJ12" s="0"/>
      <c r="ORK12" s="0"/>
      <c r="ORL12" s="0"/>
      <c r="ORM12" s="0"/>
      <c r="ORN12" s="0"/>
      <c r="ORO12" s="0"/>
      <c r="ORP12" s="0"/>
      <c r="ORQ12" s="0"/>
      <c r="ORR12" s="0"/>
      <c r="ORS12" s="0"/>
      <c r="ORT12" s="0"/>
      <c r="ORU12" s="0"/>
      <c r="ORV12" s="0"/>
      <c r="ORW12" s="0"/>
      <c r="ORX12" s="0"/>
      <c r="ORY12" s="0"/>
      <c r="ORZ12" s="0"/>
      <c r="OSA12" s="0"/>
      <c r="OSB12" s="0"/>
      <c r="OSC12" s="0"/>
      <c r="OSD12" s="0"/>
      <c r="OSE12" s="0"/>
      <c r="OSF12" s="0"/>
      <c r="OSG12" s="0"/>
      <c r="OSH12" s="0"/>
      <c r="OSI12" s="0"/>
      <c r="OSJ12" s="0"/>
      <c r="OSK12" s="0"/>
      <c r="OSL12" s="0"/>
      <c r="OSM12" s="0"/>
      <c r="OSN12" s="0"/>
      <c r="OSO12" s="0"/>
      <c r="OSP12" s="0"/>
      <c r="OSQ12" s="0"/>
      <c r="OSR12" s="0"/>
      <c r="OSS12" s="0"/>
      <c r="OST12" s="0"/>
      <c r="OSU12" s="0"/>
      <c r="OSV12" s="0"/>
      <c r="OSW12" s="0"/>
      <c r="OSX12" s="0"/>
      <c r="OSY12" s="0"/>
      <c r="OSZ12" s="0"/>
      <c r="OTA12" s="0"/>
      <c r="OTB12" s="0"/>
      <c r="OTC12" s="0"/>
      <c r="OTD12" s="0"/>
      <c r="OTE12" s="0"/>
      <c r="OTF12" s="0"/>
      <c r="OTG12" s="0"/>
      <c r="OTH12" s="0"/>
      <c r="OTI12" s="0"/>
      <c r="OTJ12" s="0"/>
      <c r="OTK12" s="0"/>
      <c r="OTL12" s="0"/>
      <c r="OTM12" s="0"/>
      <c r="OTN12" s="0"/>
      <c r="OTO12" s="0"/>
      <c r="OTP12" s="0"/>
      <c r="OTQ12" s="0"/>
      <c r="OTR12" s="0"/>
      <c r="OTS12" s="0"/>
      <c r="OTT12" s="0"/>
      <c r="OTU12" s="0"/>
      <c r="OTV12" s="0"/>
      <c r="OTW12" s="0"/>
      <c r="OTX12" s="0"/>
      <c r="OTY12" s="0"/>
      <c r="OTZ12" s="0"/>
      <c r="OUA12" s="0"/>
      <c r="OUB12" s="0"/>
      <c r="OUC12" s="0"/>
      <c r="OUD12" s="0"/>
      <c r="OUE12" s="0"/>
      <c r="OUF12" s="0"/>
      <c r="OUG12" s="0"/>
      <c r="OUH12" s="0"/>
      <c r="OUI12" s="0"/>
      <c r="OUJ12" s="0"/>
      <c r="OUK12" s="0"/>
      <c r="OUL12" s="0"/>
      <c r="OUM12" s="0"/>
      <c r="OUN12" s="0"/>
      <c r="OUO12" s="0"/>
      <c r="OUP12" s="0"/>
      <c r="OUQ12" s="0"/>
      <c r="OUR12" s="0"/>
      <c r="OUS12" s="0"/>
      <c r="OUT12" s="0"/>
      <c r="OUU12" s="0"/>
      <c r="OUV12" s="0"/>
      <c r="OUW12" s="0"/>
      <c r="OUX12" s="0"/>
      <c r="OUY12" s="0"/>
      <c r="OUZ12" s="0"/>
      <c r="OVA12" s="0"/>
      <c r="OVB12" s="0"/>
      <c r="OVC12" s="0"/>
      <c r="OVD12" s="0"/>
      <c r="OVE12" s="0"/>
      <c r="OVF12" s="0"/>
      <c r="OVG12" s="0"/>
      <c r="OVH12" s="0"/>
      <c r="OVI12" s="0"/>
      <c r="OVJ12" s="0"/>
      <c r="OVK12" s="0"/>
      <c r="OVL12" s="0"/>
      <c r="OVM12" s="0"/>
      <c r="OVN12" s="0"/>
      <c r="OVO12" s="0"/>
      <c r="OVP12" s="0"/>
      <c r="OVQ12" s="0"/>
      <c r="OVR12" s="0"/>
      <c r="OVS12" s="0"/>
      <c r="OVT12" s="0"/>
      <c r="OVU12" s="0"/>
      <c r="OVV12" s="0"/>
      <c r="OVW12" s="0"/>
      <c r="OVX12" s="0"/>
      <c r="OVY12" s="0"/>
      <c r="OVZ12" s="0"/>
      <c r="OWA12" s="0"/>
      <c r="OWB12" s="0"/>
      <c r="OWC12" s="0"/>
      <c r="OWD12" s="0"/>
      <c r="OWE12" s="0"/>
      <c r="OWF12" s="0"/>
      <c r="OWG12" s="0"/>
      <c r="OWH12" s="0"/>
      <c r="OWI12" s="0"/>
      <c r="OWJ12" s="0"/>
      <c r="OWK12" s="0"/>
      <c r="OWL12" s="0"/>
      <c r="OWM12" s="0"/>
      <c r="OWN12" s="0"/>
      <c r="OWO12" s="0"/>
      <c r="OWP12" s="0"/>
      <c r="OWQ12" s="0"/>
      <c r="OWR12" s="0"/>
      <c r="OWS12" s="0"/>
      <c r="OWT12" s="0"/>
      <c r="OWU12" s="0"/>
      <c r="OWV12" s="0"/>
      <c r="OWW12" s="0"/>
      <c r="OWX12" s="0"/>
      <c r="OWY12" s="0"/>
      <c r="OWZ12" s="0"/>
      <c r="OXA12" s="0"/>
      <c r="OXB12" s="0"/>
      <c r="OXC12" s="0"/>
      <c r="OXD12" s="0"/>
      <c r="OXE12" s="0"/>
      <c r="OXF12" s="0"/>
      <c r="OXG12" s="0"/>
      <c r="OXH12" s="0"/>
      <c r="OXI12" s="0"/>
      <c r="OXJ12" s="0"/>
      <c r="OXK12" s="0"/>
      <c r="OXL12" s="0"/>
      <c r="OXM12" s="0"/>
      <c r="OXN12" s="0"/>
      <c r="OXO12" s="0"/>
      <c r="OXP12" s="0"/>
      <c r="OXQ12" s="0"/>
      <c r="OXR12" s="0"/>
      <c r="OXS12" s="0"/>
      <c r="OXT12" s="0"/>
      <c r="OXU12" s="0"/>
      <c r="OXV12" s="0"/>
      <c r="OXW12" s="0"/>
      <c r="OXX12" s="0"/>
      <c r="OXY12" s="0"/>
      <c r="OXZ12" s="0"/>
      <c r="OYA12" s="0"/>
      <c r="OYB12" s="0"/>
      <c r="OYC12" s="0"/>
      <c r="OYD12" s="0"/>
      <c r="OYE12" s="0"/>
      <c r="OYF12" s="0"/>
      <c r="OYG12" s="0"/>
      <c r="OYH12" s="0"/>
      <c r="OYI12" s="0"/>
      <c r="OYJ12" s="0"/>
      <c r="OYK12" s="0"/>
      <c r="OYL12" s="0"/>
      <c r="OYM12" s="0"/>
      <c r="OYN12" s="0"/>
      <c r="OYO12" s="0"/>
      <c r="OYP12" s="0"/>
      <c r="OYQ12" s="0"/>
      <c r="OYR12" s="0"/>
      <c r="OYS12" s="0"/>
      <c r="OYT12" s="0"/>
      <c r="OYU12" s="0"/>
      <c r="OYV12" s="0"/>
      <c r="OYW12" s="0"/>
      <c r="OYX12" s="0"/>
      <c r="OYY12" s="0"/>
      <c r="OYZ12" s="0"/>
      <c r="OZA12" s="0"/>
      <c r="OZB12" s="0"/>
      <c r="OZC12" s="0"/>
      <c r="OZD12" s="0"/>
      <c r="OZE12" s="0"/>
      <c r="OZF12" s="0"/>
      <c r="OZG12" s="0"/>
      <c r="OZH12" s="0"/>
      <c r="OZI12" s="0"/>
      <c r="OZJ12" s="0"/>
      <c r="OZK12" s="0"/>
      <c r="OZL12" s="0"/>
      <c r="OZM12" s="0"/>
      <c r="OZN12" s="0"/>
      <c r="OZO12" s="0"/>
      <c r="OZP12" s="0"/>
      <c r="OZQ12" s="0"/>
      <c r="OZR12" s="0"/>
      <c r="OZS12" s="0"/>
      <c r="OZT12" s="0"/>
      <c r="OZU12" s="0"/>
      <c r="OZV12" s="0"/>
      <c r="OZW12" s="0"/>
      <c r="OZX12" s="0"/>
      <c r="OZY12" s="0"/>
      <c r="OZZ12" s="0"/>
      <c r="PAA12" s="0"/>
      <c r="PAB12" s="0"/>
      <c r="PAC12" s="0"/>
      <c r="PAD12" s="0"/>
      <c r="PAE12" s="0"/>
      <c r="PAF12" s="0"/>
      <c r="PAG12" s="0"/>
      <c r="PAH12" s="0"/>
      <c r="PAI12" s="0"/>
      <c r="PAJ12" s="0"/>
      <c r="PAK12" s="0"/>
      <c r="PAL12" s="0"/>
      <c r="PAM12" s="0"/>
      <c r="PAN12" s="0"/>
      <c r="PAO12" s="0"/>
      <c r="PAP12" s="0"/>
      <c r="PAQ12" s="0"/>
      <c r="PAR12" s="0"/>
      <c r="PAS12" s="0"/>
      <c r="PAT12" s="0"/>
      <c r="PAU12" s="0"/>
      <c r="PAV12" s="0"/>
      <c r="PAW12" s="0"/>
      <c r="PAX12" s="0"/>
      <c r="PAY12" s="0"/>
      <c r="PAZ12" s="0"/>
      <c r="PBA12" s="0"/>
      <c r="PBB12" s="0"/>
      <c r="PBC12" s="0"/>
      <c r="PBD12" s="0"/>
      <c r="PBE12" s="0"/>
      <c r="PBF12" s="0"/>
      <c r="PBG12" s="0"/>
      <c r="PBH12" s="0"/>
      <c r="PBI12" s="0"/>
      <c r="PBJ12" s="0"/>
      <c r="PBK12" s="0"/>
      <c r="PBL12" s="0"/>
      <c r="PBM12" s="0"/>
      <c r="PBN12" s="0"/>
      <c r="PBO12" s="0"/>
      <c r="PBP12" s="0"/>
      <c r="PBQ12" s="0"/>
      <c r="PBR12" s="0"/>
      <c r="PBS12" s="0"/>
      <c r="PBT12" s="0"/>
      <c r="PBU12" s="0"/>
      <c r="PBV12" s="0"/>
      <c r="PBW12" s="0"/>
      <c r="PBX12" s="0"/>
      <c r="PBY12" s="0"/>
      <c r="PBZ12" s="0"/>
      <c r="PCA12" s="0"/>
      <c r="PCB12" s="0"/>
      <c r="PCC12" s="0"/>
      <c r="PCD12" s="0"/>
      <c r="PCE12" s="0"/>
      <c r="PCF12" s="0"/>
      <c r="PCG12" s="0"/>
      <c r="PCH12" s="0"/>
      <c r="PCI12" s="0"/>
      <c r="PCJ12" s="0"/>
      <c r="PCK12" s="0"/>
      <c r="PCL12" s="0"/>
      <c r="PCM12" s="0"/>
      <c r="PCN12" s="0"/>
      <c r="PCO12" s="0"/>
      <c r="PCP12" s="0"/>
      <c r="PCQ12" s="0"/>
      <c r="PCR12" s="0"/>
      <c r="PCS12" s="0"/>
      <c r="PCT12" s="0"/>
      <c r="PCU12" s="0"/>
      <c r="PCV12" s="0"/>
      <c r="PCW12" s="0"/>
      <c r="PCX12" s="0"/>
      <c r="PCY12" s="0"/>
      <c r="PCZ12" s="0"/>
      <c r="PDA12" s="0"/>
      <c r="PDB12" s="0"/>
      <c r="PDC12" s="0"/>
      <c r="PDD12" s="0"/>
      <c r="PDE12" s="0"/>
      <c r="PDF12" s="0"/>
      <c r="PDG12" s="0"/>
      <c r="PDH12" s="0"/>
      <c r="PDI12" s="0"/>
      <c r="PDJ12" s="0"/>
      <c r="PDK12" s="0"/>
      <c r="PDL12" s="0"/>
      <c r="PDM12" s="0"/>
      <c r="PDN12" s="0"/>
      <c r="PDO12" s="0"/>
      <c r="PDP12" s="0"/>
      <c r="PDQ12" s="0"/>
      <c r="PDR12" s="0"/>
      <c r="PDS12" s="0"/>
      <c r="PDT12" s="0"/>
      <c r="PDU12" s="0"/>
      <c r="PDV12" s="0"/>
      <c r="PDW12" s="0"/>
      <c r="PDX12" s="0"/>
      <c r="PDY12" s="0"/>
      <c r="PDZ12" s="0"/>
      <c r="PEA12" s="0"/>
      <c r="PEB12" s="0"/>
      <c r="PEC12" s="0"/>
      <c r="PED12" s="0"/>
      <c r="PEE12" s="0"/>
      <c r="PEF12" s="0"/>
      <c r="PEG12" s="0"/>
      <c r="PEH12" s="0"/>
      <c r="PEI12" s="0"/>
      <c r="PEJ12" s="0"/>
      <c r="PEK12" s="0"/>
      <c r="PEL12" s="0"/>
      <c r="PEM12" s="0"/>
      <c r="PEN12" s="0"/>
      <c r="PEO12" s="0"/>
      <c r="PEP12" s="0"/>
      <c r="PEQ12" s="0"/>
      <c r="PER12" s="0"/>
      <c r="PES12" s="0"/>
      <c r="PET12" s="0"/>
      <c r="PEU12" s="0"/>
      <c r="PEV12" s="0"/>
      <c r="PEW12" s="0"/>
      <c r="PEX12" s="0"/>
      <c r="PEY12" s="0"/>
      <c r="PEZ12" s="0"/>
      <c r="PFA12" s="0"/>
      <c r="PFB12" s="0"/>
      <c r="PFC12" s="0"/>
      <c r="PFD12" s="0"/>
      <c r="PFE12" s="0"/>
      <c r="PFF12" s="0"/>
      <c r="PFG12" s="0"/>
      <c r="PFH12" s="0"/>
      <c r="PFI12" s="0"/>
      <c r="PFJ12" s="0"/>
      <c r="PFK12" s="0"/>
      <c r="PFL12" s="0"/>
      <c r="PFM12" s="0"/>
      <c r="PFN12" s="0"/>
      <c r="PFO12" s="0"/>
      <c r="PFP12" s="0"/>
      <c r="PFQ12" s="0"/>
      <c r="PFR12" s="0"/>
      <c r="PFS12" s="0"/>
      <c r="PFT12" s="0"/>
      <c r="PFU12" s="0"/>
      <c r="PFV12" s="0"/>
      <c r="PFW12" s="0"/>
      <c r="PFX12" s="0"/>
      <c r="PFY12" s="0"/>
      <c r="PFZ12" s="0"/>
      <c r="PGA12" s="0"/>
      <c r="PGB12" s="0"/>
      <c r="PGC12" s="0"/>
      <c r="PGD12" s="0"/>
      <c r="PGE12" s="0"/>
      <c r="PGF12" s="0"/>
      <c r="PGG12" s="0"/>
      <c r="PGH12" s="0"/>
      <c r="PGI12" s="0"/>
      <c r="PGJ12" s="0"/>
      <c r="PGK12" s="0"/>
      <c r="PGL12" s="0"/>
      <c r="PGM12" s="0"/>
      <c r="PGN12" s="0"/>
      <c r="PGO12" s="0"/>
      <c r="PGP12" s="0"/>
      <c r="PGQ12" s="0"/>
      <c r="PGR12" s="0"/>
      <c r="PGS12" s="0"/>
      <c r="PGT12" s="0"/>
      <c r="PGU12" s="0"/>
      <c r="PGV12" s="0"/>
      <c r="PGW12" s="0"/>
      <c r="PGX12" s="0"/>
      <c r="PGY12" s="0"/>
      <c r="PGZ12" s="0"/>
      <c r="PHA12" s="0"/>
      <c r="PHB12" s="0"/>
      <c r="PHC12" s="0"/>
      <c r="PHD12" s="0"/>
      <c r="PHE12" s="0"/>
      <c r="PHF12" s="0"/>
      <c r="PHG12" s="0"/>
      <c r="PHH12" s="0"/>
      <c r="PHI12" s="0"/>
      <c r="PHJ12" s="0"/>
      <c r="PHK12" s="0"/>
      <c r="PHL12" s="0"/>
      <c r="PHM12" s="0"/>
      <c r="PHN12" s="0"/>
      <c r="PHO12" s="0"/>
      <c r="PHP12" s="0"/>
      <c r="PHQ12" s="0"/>
      <c r="PHR12" s="0"/>
      <c r="PHS12" s="0"/>
      <c r="PHT12" s="0"/>
      <c r="PHU12" s="0"/>
      <c r="PHV12" s="0"/>
      <c r="PHW12" s="0"/>
      <c r="PHX12" s="0"/>
      <c r="PHY12" s="0"/>
      <c r="PHZ12" s="0"/>
      <c r="PIA12" s="0"/>
      <c r="PIB12" s="0"/>
      <c r="PIC12" s="0"/>
      <c r="PID12" s="0"/>
      <c r="PIE12" s="0"/>
      <c r="PIF12" s="0"/>
      <c r="PIG12" s="0"/>
      <c r="PIH12" s="0"/>
      <c r="PII12" s="0"/>
      <c r="PIJ12" s="0"/>
      <c r="PIK12" s="0"/>
      <c r="PIL12" s="0"/>
      <c r="PIM12" s="0"/>
      <c r="PIN12" s="0"/>
      <c r="PIO12" s="0"/>
      <c r="PIP12" s="0"/>
      <c r="PIQ12" s="0"/>
      <c r="PIR12" s="0"/>
      <c r="PIS12" s="0"/>
      <c r="PIT12" s="0"/>
      <c r="PIU12" s="0"/>
      <c r="PIV12" s="0"/>
      <c r="PIW12" s="0"/>
      <c r="PIX12" s="0"/>
      <c r="PIY12" s="0"/>
      <c r="PIZ12" s="0"/>
      <c r="PJA12" s="0"/>
      <c r="PJB12" s="0"/>
      <c r="PJC12" s="0"/>
      <c r="PJD12" s="0"/>
      <c r="PJE12" s="0"/>
      <c r="PJF12" s="0"/>
      <c r="PJG12" s="0"/>
      <c r="PJH12" s="0"/>
      <c r="PJI12" s="0"/>
      <c r="PJJ12" s="0"/>
      <c r="PJK12" s="0"/>
      <c r="PJL12" s="0"/>
      <c r="PJM12" s="0"/>
      <c r="PJN12" s="0"/>
      <c r="PJO12" s="0"/>
      <c r="PJP12" s="0"/>
      <c r="PJQ12" s="0"/>
      <c r="PJR12" s="0"/>
      <c r="PJS12" s="0"/>
      <c r="PJT12" s="0"/>
      <c r="PJU12" s="0"/>
      <c r="PJV12" s="0"/>
      <c r="PJW12" s="0"/>
      <c r="PJX12" s="0"/>
      <c r="PJY12" s="0"/>
      <c r="PJZ12" s="0"/>
      <c r="PKA12" s="0"/>
      <c r="PKB12" s="0"/>
      <c r="PKC12" s="0"/>
      <c r="PKD12" s="0"/>
      <c r="PKE12" s="0"/>
      <c r="PKF12" s="0"/>
      <c r="PKG12" s="0"/>
      <c r="PKH12" s="0"/>
      <c r="PKI12" s="0"/>
      <c r="PKJ12" s="0"/>
      <c r="PKK12" s="0"/>
      <c r="PKL12" s="0"/>
      <c r="PKM12" s="0"/>
      <c r="PKN12" s="0"/>
      <c r="PKO12" s="0"/>
      <c r="PKP12" s="0"/>
      <c r="PKQ12" s="0"/>
      <c r="PKR12" s="0"/>
      <c r="PKS12" s="0"/>
      <c r="PKT12" s="0"/>
      <c r="PKU12" s="0"/>
      <c r="PKV12" s="0"/>
      <c r="PKW12" s="0"/>
      <c r="PKX12" s="0"/>
      <c r="PKY12" s="0"/>
      <c r="PKZ12" s="0"/>
      <c r="PLA12" s="0"/>
      <c r="PLB12" s="0"/>
      <c r="PLC12" s="0"/>
      <c r="PLD12" s="0"/>
      <c r="PLE12" s="0"/>
      <c r="PLF12" s="0"/>
      <c r="PLG12" s="0"/>
      <c r="PLH12" s="0"/>
      <c r="PLI12" s="0"/>
      <c r="PLJ12" s="0"/>
      <c r="PLK12" s="0"/>
      <c r="PLL12" s="0"/>
      <c r="PLM12" s="0"/>
      <c r="PLN12" s="0"/>
      <c r="PLO12" s="0"/>
      <c r="PLP12" s="0"/>
      <c r="PLQ12" s="0"/>
      <c r="PLR12" s="0"/>
      <c r="PLS12" s="0"/>
      <c r="PLT12" s="0"/>
      <c r="PLU12" s="0"/>
      <c r="PLV12" s="0"/>
      <c r="PLW12" s="0"/>
      <c r="PLX12" s="0"/>
      <c r="PLY12" s="0"/>
      <c r="PLZ12" s="0"/>
      <c r="PMA12" s="0"/>
      <c r="PMB12" s="0"/>
      <c r="PMC12" s="0"/>
      <c r="PMD12" s="0"/>
      <c r="PME12" s="0"/>
      <c r="PMF12" s="0"/>
      <c r="PMG12" s="0"/>
      <c r="PMH12" s="0"/>
      <c r="PMI12" s="0"/>
      <c r="PMJ12" s="0"/>
      <c r="PMK12" s="0"/>
      <c r="PML12" s="0"/>
      <c r="PMM12" s="0"/>
      <c r="PMN12" s="0"/>
      <c r="PMO12" s="0"/>
      <c r="PMP12" s="0"/>
      <c r="PMQ12" s="0"/>
      <c r="PMR12" s="0"/>
      <c r="PMS12" s="0"/>
      <c r="PMT12" s="0"/>
      <c r="PMU12" s="0"/>
      <c r="PMV12" s="0"/>
      <c r="PMW12" s="0"/>
      <c r="PMX12" s="0"/>
      <c r="PMY12" s="0"/>
      <c r="PMZ12" s="0"/>
      <c r="PNA12" s="0"/>
      <c r="PNB12" s="0"/>
      <c r="PNC12" s="0"/>
      <c r="PND12" s="0"/>
      <c r="PNE12" s="0"/>
      <c r="PNF12" s="0"/>
      <c r="PNG12" s="0"/>
      <c r="PNH12" s="0"/>
      <c r="PNI12" s="0"/>
      <c r="PNJ12" s="0"/>
      <c r="PNK12" s="0"/>
      <c r="PNL12" s="0"/>
      <c r="PNM12" s="0"/>
      <c r="PNN12" s="0"/>
      <c r="PNO12" s="0"/>
      <c r="PNP12" s="0"/>
      <c r="PNQ12" s="0"/>
      <c r="PNR12" s="0"/>
      <c r="PNS12" s="0"/>
      <c r="PNT12" s="0"/>
      <c r="PNU12" s="0"/>
      <c r="PNV12" s="0"/>
      <c r="PNW12" s="0"/>
      <c r="PNX12" s="0"/>
      <c r="PNY12" s="0"/>
      <c r="PNZ12" s="0"/>
      <c r="POA12" s="0"/>
      <c r="POB12" s="0"/>
      <c r="POC12" s="0"/>
      <c r="POD12" s="0"/>
      <c r="POE12" s="0"/>
      <c r="POF12" s="0"/>
      <c r="POG12" s="0"/>
      <c r="POH12" s="0"/>
      <c r="POI12" s="0"/>
      <c r="POJ12" s="0"/>
      <c r="POK12" s="0"/>
      <c r="POL12" s="0"/>
      <c r="POM12" s="0"/>
      <c r="PON12" s="0"/>
      <c r="POO12" s="0"/>
      <c r="POP12" s="0"/>
      <c r="POQ12" s="0"/>
      <c r="POR12" s="0"/>
      <c r="POS12" s="0"/>
      <c r="POT12" s="0"/>
      <c r="POU12" s="0"/>
      <c r="POV12" s="0"/>
      <c r="POW12" s="0"/>
      <c r="POX12" s="0"/>
      <c r="POY12" s="0"/>
      <c r="POZ12" s="0"/>
      <c r="PPA12" s="0"/>
      <c r="PPB12" s="0"/>
      <c r="PPC12" s="0"/>
      <c r="PPD12" s="0"/>
      <c r="PPE12" s="0"/>
      <c r="PPF12" s="0"/>
      <c r="PPG12" s="0"/>
      <c r="PPH12" s="0"/>
      <c r="PPI12" s="0"/>
      <c r="PPJ12" s="0"/>
      <c r="PPK12" s="0"/>
      <c r="PPL12" s="0"/>
      <c r="PPM12" s="0"/>
      <c r="PPN12" s="0"/>
      <c r="PPO12" s="0"/>
      <c r="PPP12" s="0"/>
      <c r="PPQ12" s="0"/>
      <c r="PPR12" s="0"/>
      <c r="PPS12" s="0"/>
      <c r="PPT12" s="0"/>
      <c r="PPU12" s="0"/>
      <c r="PPV12" s="0"/>
      <c r="PPW12" s="0"/>
      <c r="PPX12" s="0"/>
      <c r="PPY12" s="0"/>
      <c r="PPZ12" s="0"/>
      <c r="PQA12" s="0"/>
      <c r="PQB12" s="0"/>
      <c r="PQC12" s="0"/>
      <c r="PQD12" s="0"/>
      <c r="PQE12" s="0"/>
      <c r="PQF12" s="0"/>
      <c r="PQG12" s="0"/>
      <c r="PQH12" s="0"/>
      <c r="PQI12" s="0"/>
      <c r="PQJ12" s="0"/>
      <c r="PQK12" s="0"/>
      <c r="PQL12" s="0"/>
      <c r="PQM12" s="0"/>
      <c r="PQN12" s="0"/>
      <c r="PQO12" s="0"/>
      <c r="PQP12" s="0"/>
      <c r="PQQ12" s="0"/>
      <c r="PQR12" s="0"/>
      <c r="PQS12" s="0"/>
      <c r="PQT12" s="0"/>
      <c r="PQU12" s="0"/>
      <c r="PQV12" s="0"/>
      <c r="PQW12" s="0"/>
      <c r="PQX12" s="0"/>
      <c r="PQY12" s="0"/>
      <c r="PQZ12" s="0"/>
      <c r="PRA12" s="0"/>
      <c r="PRB12" s="0"/>
      <c r="PRC12" s="0"/>
      <c r="PRD12" s="0"/>
      <c r="PRE12" s="0"/>
      <c r="PRF12" s="0"/>
      <c r="PRG12" s="0"/>
      <c r="PRH12" s="0"/>
      <c r="PRI12" s="0"/>
      <c r="PRJ12" s="0"/>
      <c r="PRK12" s="0"/>
      <c r="PRL12" s="0"/>
      <c r="PRM12" s="0"/>
      <c r="PRN12" s="0"/>
      <c r="PRO12" s="0"/>
      <c r="PRP12" s="0"/>
      <c r="PRQ12" s="0"/>
      <c r="PRR12" s="0"/>
      <c r="PRS12" s="0"/>
      <c r="PRT12" s="0"/>
      <c r="PRU12" s="0"/>
      <c r="PRV12" s="0"/>
      <c r="PRW12" s="0"/>
      <c r="PRX12" s="0"/>
      <c r="PRY12" s="0"/>
      <c r="PRZ12" s="0"/>
      <c r="PSA12" s="0"/>
      <c r="PSB12" s="0"/>
      <c r="PSC12" s="0"/>
      <c r="PSD12" s="0"/>
      <c r="PSE12" s="0"/>
      <c r="PSF12" s="0"/>
      <c r="PSG12" s="0"/>
      <c r="PSH12" s="0"/>
      <c r="PSI12" s="0"/>
      <c r="PSJ12" s="0"/>
      <c r="PSK12" s="0"/>
      <c r="PSL12" s="0"/>
      <c r="PSM12" s="0"/>
      <c r="PSN12" s="0"/>
      <c r="PSO12" s="0"/>
      <c r="PSP12" s="0"/>
      <c r="PSQ12" s="0"/>
      <c r="PSR12" s="0"/>
      <c r="PSS12" s="0"/>
      <c r="PST12" s="0"/>
      <c r="PSU12" s="0"/>
      <c r="PSV12" s="0"/>
      <c r="PSW12" s="0"/>
      <c r="PSX12" s="0"/>
      <c r="PSY12" s="0"/>
      <c r="PSZ12" s="0"/>
      <c r="PTA12" s="0"/>
      <c r="PTB12" s="0"/>
      <c r="PTC12" s="0"/>
      <c r="PTD12" s="0"/>
      <c r="PTE12" s="0"/>
      <c r="PTF12" s="0"/>
      <c r="PTG12" s="0"/>
      <c r="PTH12" s="0"/>
      <c r="PTI12" s="0"/>
      <c r="PTJ12" s="0"/>
      <c r="PTK12" s="0"/>
      <c r="PTL12" s="0"/>
      <c r="PTM12" s="0"/>
      <c r="PTN12" s="0"/>
      <c r="PTO12" s="0"/>
      <c r="PTP12" s="0"/>
      <c r="PTQ12" s="0"/>
      <c r="PTR12" s="0"/>
      <c r="PTS12" s="0"/>
      <c r="PTT12" s="0"/>
      <c r="PTU12" s="0"/>
      <c r="PTV12" s="0"/>
      <c r="PTW12" s="0"/>
      <c r="PTX12" s="0"/>
      <c r="PTY12" s="0"/>
      <c r="PTZ12" s="0"/>
      <c r="PUA12" s="0"/>
      <c r="PUB12" s="0"/>
      <c r="PUC12" s="0"/>
      <c r="PUD12" s="0"/>
      <c r="PUE12" s="0"/>
      <c r="PUF12" s="0"/>
      <c r="PUG12" s="0"/>
      <c r="PUH12" s="0"/>
      <c r="PUI12" s="0"/>
      <c r="PUJ12" s="0"/>
      <c r="PUK12" s="0"/>
      <c r="PUL12" s="0"/>
      <c r="PUM12" s="0"/>
      <c r="PUN12" s="0"/>
      <c r="PUO12" s="0"/>
      <c r="PUP12" s="0"/>
      <c r="PUQ12" s="0"/>
      <c r="PUR12" s="0"/>
      <c r="PUS12" s="0"/>
      <c r="PUT12" s="0"/>
      <c r="PUU12" s="0"/>
      <c r="PUV12" s="0"/>
      <c r="PUW12" s="0"/>
      <c r="PUX12" s="0"/>
      <c r="PUY12" s="0"/>
      <c r="PUZ12" s="0"/>
      <c r="PVA12" s="0"/>
      <c r="PVB12" s="0"/>
      <c r="PVC12" s="0"/>
      <c r="PVD12" s="0"/>
      <c r="PVE12" s="0"/>
      <c r="PVF12" s="0"/>
      <c r="PVG12" s="0"/>
      <c r="PVH12" s="0"/>
      <c r="PVI12" s="0"/>
      <c r="PVJ12" s="0"/>
      <c r="PVK12" s="0"/>
      <c r="PVL12" s="0"/>
      <c r="PVM12" s="0"/>
      <c r="PVN12" s="0"/>
      <c r="PVO12" s="0"/>
      <c r="PVP12" s="0"/>
      <c r="PVQ12" s="0"/>
      <c r="PVR12" s="0"/>
      <c r="PVS12" s="0"/>
      <c r="PVT12" s="0"/>
      <c r="PVU12" s="0"/>
      <c r="PVV12" s="0"/>
      <c r="PVW12" s="0"/>
      <c r="PVX12" s="0"/>
      <c r="PVY12" s="0"/>
      <c r="PVZ12" s="0"/>
      <c r="PWA12" s="0"/>
      <c r="PWB12" s="0"/>
      <c r="PWC12" s="0"/>
      <c r="PWD12" s="0"/>
      <c r="PWE12" s="0"/>
      <c r="PWF12" s="0"/>
      <c r="PWG12" s="0"/>
      <c r="PWH12" s="0"/>
      <c r="PWI12" s="0"/>
      <c r="PWJ12" s="0"/>
      <c r="PWK12" s="0"/>
      <c r="PWL12" s="0"/>
      <c r="PWM12" s="0"/>
      <c r="PWN12" s="0"/>
      <c r="PWO12" s="0"/>
      <c r="PWP12" s="0"/>
      <c r="PWQ12" s="0"/>
      <c r="PWR12" s="0"/>
      <c r="PWS12" s="0"/>
      <c r="PWT12" s="0"/>
      <c r="PWU12" s="0"/>
      <c r="PWV12" s="0"/>
      <c r="PWW12" s="0"/>
      <c r="PWX12" s="0"/>
      <c r="PWY12" s="0"/>
      <c r="PWZ12" s="0"/>
      <c r="PXA12" s="0"/>
      <c r="PXB12" s="0"/>
      <c r="PXC12" s="0"/>
      <c r="PXD12" s="0"/>
      <c r="PXE12" s="0"/>
      <c r="PXF12" s="0"/>
      <c r="PXG12" s="0"/>
      <c r="PXH12" s="0"/>
      <c r="PXI12" s="0"/>
      <c r="PXJ12" s="0"/>
      <c r="PXK12" s="0"/>
      <c r="PXL12" s="0"/>
      <c r="PXM12" s="0"/>
      <c r="PXN12" s="0"/>
      <c r="PXO12" s="0"/>
      <c r="PXP12" s="0"/>
      <c r="PXQ12" s="0"/>
      <c r="PXR12" s="0"/>
      <c r="PXS12" s="0"/>
      <c r="PXT12" s="0"/>
      <c r="PXU12" s="0"/>
      <c r="PXV12" s="0"/>
      <c r="PXW12" s="0"/>
      <c r="PXX12" s="0"/>
      <c r="PXY12" s="0"/>
      <c r="PXZ12" s="0"/>
      <c r="PYA12" s="0"/>
      <c r="PYB12" s="0"/>
      <c r="PYC12" s="0"/>
      <c r="PYD12" s="0"/>
      <c r="PYE12" s="0"/>
      <c r="PYF12" s="0"/>
      <c r="PYG12" s="0"/>
      <c r="PYH12" s="0"/>
      <c r="PYI12" s="0"/>
      <c r="PYJ12" s="0"/>
      <c r="PYK12" s="0"/>
      <c r="PYL12" s="0"/>
      <c r="PYM12" s="0"/>
      <c r="PYN12" s="0"/>
      <c r="PYO12" s="0"/>
      <c r="PYP12" s="0"/>
      <c r="PYQ12" s="0"/>
      <c r="PYR12" s="0"/>
      <c r="PYS12" s="0"/>
      <c r="PYT12" s="0"/>
      <c r="PYU12" s="0"/>
      <c r="PYV12" s="0"/>
      <c r="PYW12" s="0"/>
      <c r="PYX12" s="0"/>
      <c r="PYY12" s="0"/>
      <c r="PYZ12" s="0"/>
      <c r="PZA12" s="0"/>
      <c r="PZB12" s="0"/>
      <c r="PZC12" s="0"/>
      <c r="PZD12" s="0"/>
      <c r="PZE12" s="0"/>
      <c r="PZF12" s="0"/>
      <c r="PZG12" s="0"/>
      <c r="PZH12" s="0"/>
      <c r="PZI12" s="0"/>
      <c r="PZJ12" s="0"/>
      <c r="PZK12" s="0"/>
      <c r="PZL12" s="0"/>
      <c r="PZM12" s="0"/>
      <c r="PZN12" s="0"/>
      <c r="PZO12" s="0"/>
      <c r="PZP12" s="0"/>
      <c r="PZQ12" s="0"/>
      <c r="PZR12" s="0"/>
      <c r="PZS12" s="0"/>
      <c r="PZT12" s="0"/>
      <c r="PZU12" s="0"/>
      <c r="PZV12" s="0"/>
      <c r="PZW12" s="0"/>
      <c r="PZX12" s="0"/>
      <c r="PZY12" s="0"/>
      <c r="PZZ12" s="0"/>
      <c r="QAA12" s="0"/>
      <c r="QAB12" s="0"/>
      <c r="QAC12" s="0"/>
      <c r="QAD12" s="0"/>
      <c r="QAE12" s="0"/>
      <c r="QAF12" s="0"/>
      <c r="QAG12" s="0"/>
      <c r="QAH12" s="0"/>
      <c r="QAI12" s="0"/>
      <c r="QAJ12" s="0"/>
      <c r="QAK12" s="0"/>
      <c r="QAL12" s="0"/>
      <c r="QAM12" s="0"/>
      <c r="QAN12" s="0"/>
      <c r="QAO12" s="0"/>
      <c r="QAP12" s="0"/>
      <c r="QAQ12" s="0"/>
      <c r="QAR12" s="0"/>
      <c r="QAS12" s="0"/>
      <c r="QAT12" s="0"/>
      <c r="QAU12" s="0"/>
      <c r="QAV12" s="0"/>
      <c r="QAW12" s="0"/>
      <c r="QAX12" s="0"/>
      <c r="QAY12" s="0"/>
      <c r="QAZ12" s="0"/>
      <c r="QBA12" s="0"/>
      <c r="QBB12" s="0"/>
      <c r="QBC12" s="0"/>
      <c r="QBD12" s="0"/>
      <c r="QBE12" s="0"/>
      <c r="QBF12" s="0"/>
      <c r="QBG12" s="0"/>
      <c r="QBH12" s="0"/>
      <c r="QBI12" s="0"/>
      <c r="QBJ12" s="0"/>
      <c r="QBK12" s="0"/>
      <c r="QBL12" s="0"/>
      <c r="QBM12" s="0"/>
      <c r="QBN12" s="0"/>
      <c r="QBO12" s="0"/>
      <c r="QBP12" s="0"/>
      <c r="QBQ12" s="0"/>
      <c r="QBR12" s="0"/>
      <c r="QBS12" s="0"/>
      <c r="QBT12" s="0"/>
      <c r="QBU12" s="0"/>
      <c r="QBV12" s="0"/>
      <c r="QBW12" s="0"/>
      <c r="QBX12" s="0"/>
      <c r="QBY12" s="0"/>
      <c r="QBZ12" s="0"/>
      <c r="QCA12" s="0"/>
      <c r="QCB12" s="0"/>
      <c r="QCC12" s="0"/>
      <c r="QCD12" s="0"/>
      <c r="QCE12" s="0"/>
      <c r="QCF12" s="0"/>
      <c r="QCG12" s="0"/>
      <c r="QCH12" s="0"/>
      <c r="QCI12" s="0"/>
      <c r="QCJ12" s="0"/>
      <c r="QCK12" s="0"/>
      <c r="QCL12" s="0"/>
      <c r="QCM12" s="0"/>
      <c r="QCN12" s="0"/>
      <c r="QCO12" s="0"/>
      <c r="QCP12" s="0"/>
      <c r="QCQ12" s="0"/>
      <c r="QCR12" s="0"/>
      <c r="QCS12" s="0"/>
      <c r="QCT12" s="0"/>
      <c r="QCU12" s="0"/>
      <c r="QCV12" s="0"/>
      <c r="QCW12" s="0"/>
      <c r="QCX12" s="0"/>
      <c r="QCY12" s="0"/>
      <c r="QCZ12" s="0"/>
      <c r="QDA12" s="0"/>
      <c r="QDB12" s="0"/>
      <c r="QDC12" s="0"/>
      <c r="QDD12" s="0"/>
      <c r="QDE12" s="0"/>
      <c r="QDF12" s="0"/>
      <c r="QDG12" s="0"/>
      <c r="QDH12" s="0"/>
      <c r="QDI12" s="0"/>
      <c r="QDJ12" s="0"/>
      <c r="QDK12" s="0"/>
      <c r="QDL12" s="0"/>
      <c r="QDM12" s="0"/>
      <c r="QDN12" s="0"/>
      <c r="QDO12" s="0"/>
      <c r="QDP12" s="0"/>
      <c r="QDQ12" s="0"/>
      <c r="QDR12" s="0"/>
      <c r="QDS12" s="0"/>
      <c r="QDT12" s="0"/>
      <c r="QDU12" s="0"/>
      <c r="QDV12" s="0"/>
      <c r="QDW12" s="0"/>
      <c r="QDX12" s="0"/>
      <c r="QDY12" s="0"/>
      <c r="QDZ12" s="0"/>
      <c r="QEA12" s="0"/>
      <c r="QEB12" s="0"/>
      <c r="QEC12" s="0"/>
      <c r="QED12" s="0"/>
      <c r="QEE12" s="0"/>
      <c r="QEF12" s="0"/>
      <c r="QEG12" s="0"/>
      <c r="QEH12" s="0"/>
      <c r="QEI12" s="0"/>
      <c r="QEJ12" s="0"/>
      <c r="QEK12" s="0"/>
      <c r="QEL12" s="0"/>
      <c r="QEM12" s="0"/>
      <c r="QEN12" s="0"/>
      <c r="QEO12" s="0"/>
      <c r="QEP12" s="0"/>
      <c r="QEQ12" s="0"/>
      <c r="QER12" s="0"/>
      <c r="QES12" s="0"/>
      <c r="QET12" s="0"/>
      <c r="QEU12" s="0"/>
      <c r="QEV12" s="0"/>
      <c r="QEW12" s="0"/>
      <c r="QEX12" s="0"/>
      <c r="QEY12" s="0"/>
      <c r="QEZ12" s="0"/>
      <c r="QFA12" s="0"/>
      <c r="QFB12" s="0"/>
      <c r="QFC12" s="0"/>
      <c r="QFD12" s="0"/>
      <c r="QFE12" s="0"/>
      <c r="QFF12" s="0"/>
      <c r="QFG12" s="0"/>
      <c r="QFH12" s="0"/>
      <c r="QFI12" s="0"/>
      <c r="QFJ12" s="0"/>
      <c r="QFK12" s="0"/>
      <c r="QFL12" s="0"/>
      <c r="QFM12" s="0"/>
      <c r="QFN12" s="0"/>
      <c r="QFO12" s="0"/>
      <c r="QFP12" s="0"/>
      <c r="QFQ12" s="0"/>
      <c r="QFR12" s="0"/>
      <c r="QFS12" s="0"/>
      <c r="QFT12" s="0"/>
      <c r="QFU12" s="0"/>
      <c r="QFV12" s="0"/>
      <c r="QFW12" s="0"/>
      <c r="QFX12" s="0"/>
      <c r="QFY12" s="0"/>
      <c r="QFZ12" s="0"/>
      <c r="QGA12" s="0"/>
      <c r="QGB12" s="0"/>
      <c r="QGC12" s="0"/>
      <c r="QGD12" s="0"/>
      <c r="QGE12" s="0"/>
      <c r="QGF12" s="0"/>
      <c r="QGG12" s="0"/>
      <c r="QGH12" s="0"/>
      <c r="QGI12" s="0"/>
      <c r="QGJ12" s="0"/>
      <c r="QGK12" s="0"/>
      <c r="QGL12" s="0"/>
      <c r="QGM12" s="0"/>
      <c r="QGN12" s="0"/>
      <c r="QGO12" s="0"/>
      <c r="QGP12" s="0"/>
      <c r="QGQ12" s="0"/>
      <c r="QGR12" s="0"/>
      <c r="QGS12" s="0"/>
      <c r="QGT12" s="0"/>
      <c r="QGU12" s="0"/>
      <c r="QGV12" s="0"/>
      <c r="QGW12" s="0"/>
      <c r="QGX12" s="0"/>
      <c r="QGY12" s="0"/>
      <c r="QGZ12" s="0"/>
      <c r="QHA12" s="0"/>
      <c r="QHB12" s="0"/>
      <c r="QHC12" s="0"/>
      <c r="QHD12" s="0"/>
      <c r="QHE12" s="0"/>
      <c r="QHF12" s="0"/>
      <c r="QHG12" s="0"/>
      <c r="QHH12" s="0"/>
      <c r="QHI12" s="0"/>
      <c r="QHJ12" s="0"/>
      <c r="QHK12" s="0"/>
      <c r="QHL12" s="0"/>
      <c r="QHM12" s="0"/>
      <c r="QHN12" s="0"/>
      <c r="QHO12" s="0"/>
      <c r="QHP12" s="0"/>
      <c r="QHQ12" s="0"/>
      <c r="QHR12" s="0"/>
      <c r="QHS12" s="0"/>
      <c r="QHT12" s="0"/>
      <c r="QHU12" s="0"/>
      <c r="QHV12" s="0"/>
      <c r="QHW12" s="0"/>
      <c r="QHX12" s="0"/>
      <c r="QHY12" s="0"/>
      <c r="QHZ12" s="0"/>
      <c r="QIA12" s="0"/>
      <c r="QIB12" s="0"/>
      <c r="QIC12" s="0"/>
      <c r="QID12" s="0"/>
      <c r="QIE12" s="0"/>
      <c r="QIF12" s="0"/>
      <c r="QIG12" s="0"/>
      <c r="QIH12" s="0"/>
      <c r="QII12" s="0"/>
      <c r="QIJ12" s="0"/>
      <c r="QIK12" s="0"/>
      <c r="QIL12" s="0"/>
      <c r="QIM12" s="0"/>
      <c r="QIN12" s="0"/>
      <c r="QIO12" s="0"/>
      <c r="QIP12" s="0"/>
      <c r="QIQ12" s="0"/>
      <c r="QIR12" s="0"/>
      <c r="QIS12" s="0"/>
      <c r="QIT12" s="0"/>
      <c r="QIU12" s="0"/>
      <c r="QIV12" s="0"/>
      <c r="QIW12" s="0"/>
      <c r="QIX12" s="0"/>
      <c r="QIY12" s="0"/>
      <c r="QIZ12" s="0"/>
      <c r="QJA12" s="0"/>
      <c r="QJB12" s="0"/>
      <c r="QJC12" s="0"/>
      <c r="QJD12" s="0"/>
      <c r="QJE12" s="0"/>
      <c r="QJF12" s="0"/>
      <c r="QJG12" s="0"/>
      <c r="QJH12" s="0"/>
      <c r="QJI12" s="0"/>
      <c r="QJJ12" s="0"/>
      <c r="QJK12" s="0"/>
      <c r="QJL12" s="0"/>
      <c r="QJM12" s="0"/>
      <c r="QJN12" s="0"/>
      <c r="QJO12" s="0"/>
      <c r="QJP12" s="0"/>
      <c r="QJQ12" s="0"/>
      <c r="QJR12" s="0"/>
      <c r="QJS12" s="0"/>
      <c r="QJT12" s="0"/>
      <c r="QJU12" s="0"/>
      <c r="QJV12" s="0"/>
      <c r="QJW12" s="0"/>
      <c r="QJX12" s="0"/>
      <c r="QJY12" s="0"/>
      <c r="QJZ12" s="0"/>
      <c r="QKA12" s="0"/>
      <c r="QKB12" s="0"/>
      <c r="QKC12" s="0"/>
      <c r="QKD12" s="0"/>
      <c r="QKE12" s="0"/>
      <c r="QKF12" s="0"/>
      <c r="QKG12" s="0"/>
      <c r="QKH12" s="0"/>
      <c r="QKI12" s="0"/>
      <c r="QKJ12" s="0"/>
      <c r="QKK12" s="0"/>
      <c r="QKL12" s="0"/>
      <c r="QKM12" s="0"/>
      <c r="QKN12" s="0"/>
      <c r="QKO12" s="0"/>
      <c r="QKP12" s="0"/>
      <c r="QKQ12" s="0"/>
      <c r="QKR12" s="0"/>
      <c r="QKS12" s="0"/>
      <c r="QKT12" s="0"/>
      <c r="QKU12" s="0"/>
      <c r="QKV12" s="0"/>
      <c r="QKW12" s="0"/>
      <c r="QKX12" s="0"/>
      <c r="QKY12" s="0"/>
      <c r="QKZ12" s="0"/>
      <c r="QLA12" s="0"/>
      <c r="QLB12" s="0"/>
      <c r="QLC12" s="0"/>
      <c r="QLD12" s="0"/>
      <c r="QLE12" s="0"/>
      <c r="QLF12" s="0"/>
      <c r="QLG12" s="0"/>
      <c r="QLH12" s="0"/>
      <c r="QLI12" s="0"/>
      <c r="QLJ12" s="0"/>
      <c r="QLK12" s="0"/>
      <c r="QLL12" s="0"/>
      <c r="QLM12" s="0"/>
      <c r="QLN12" s="0"/>
      <c r="QLO12" s="0"/>
      <c r="QLP12" s="0"/>
      <c r="QLQ12" s="0"/>
      <c r="QLR12" s="0"/>
      <c r="QLS12" s="0"/>
      <c r="QLT12" s="0"/>
      <c r="QLU12" s="0"/>
      <c r="QLV12" s="0"/>
      <c r="QLW12" s="0"/>
      <c r="QLX12" s="0"/>
      <c r="QLY12" s="0"/>
      <c r="QLZ12" s="0"/>
      <c r="QMA12" s="0"/>
      <c r="QMB12" s="0"/>
      <c r="QMC12" s="0"/>
      <c r="QMD12" s="0"/>
      <c r="QME12" s="0"/>
      <c r="QMF12" s="0"/>
      <c r="QMG12" s="0"/>
      <c r="QMH12" s="0"/>
      <c r="QMI12" s="0"/>
      <c r="QMJ12" s="0"/>
      <c r="QMK12" s="0"/>
      <c r="QML12" s="0"/>
      <c r="QMM12" s="0"/>
      <c r="QMN12" s="0"/>
      <c r="QMO12" s="0"/>
      <c r="QMP12" s="0"/>
      <c r="QMQ12" s="0"/>
      <c r="QMR12" s="0"/>
      <c r="QMS12" s="0"/>
      <c r="QMT12" s="0"/>
      <c r="QMU12" s="0"/>
      <c r="QMV12" s="0"/>
      <c r="QMW12" s="0"/>
      <c r="QMX12" s="0"/>
      <c r="QMY12" s="0"/>
      <c r="QMZ12" s="0"/>
      <c r="QNA12" s="0"/>
      <c r="QNB12" s="0"/>
      <c r="QNC12" s="0"/>
      <c r="QND12" s="0"/>
      <c r="QNE12" s="0"/>
      <c r="QNF12" s="0"/>
      <c r="QNG12" s="0"/>
      <c r="QNH12" s="0"/>
      <c r="QNI12" s="0"/>
      <c r="QNJ12" s="0"/>
      <c r="QNK12" s="0"/>
      <c r="QNL12" s="0"/>
      <c r="QNM12" s="0"/>
      <c r="QNN12" s="0"/>
      <c r="QNO12" s="0"/>
      <c r="QNP12" s="0"/>
      <c r="QNQ12" s="0"/>
      <c r="QNR12" s="0"/>
      <c r="QNS12" s="0"/>
      <c r="QNT12" s="0"/>
      <c r="QNU12" s="0"/>
      <c r="QNV12" s="0"/>
      <c r="QNW12" s="0"/>
      <c r="QNX12" s="0"/>
      <c r="QNY12" s="0"/>
      <c r="QNZ12" s="0"/>
      <c r="QOA12" s="0"/>
      <c r="QOB12" s="0"/>
      <c r="QOC12" s="0"/>
      <c r="QOD12" s="0"/>
      <c r="QOE12" s="0"/>
      <c r="QOF12" s="0"/>
      <c r="QOG12" s="0"/>
      <c r="QOH12" s="0"/>
      <c r="QOI12" s="0"/>
      <c r="QOJ12" s="0"/>
      <c r="QOK12" s="0"/>
      <c r="QOL12" s="0"/>
      <c r="QOM12" s="0"/>
      <c r="QON12" s="0"/>
      <c r="QOO12" s="0"/>
      <c r="QOP12" s="0"/>
      <c r="QOQ12" s="0"/>
      <c r="QOR12" s="0"/>
      <c r="QOS12" s="0"/>
      <c r="QOT12" s="0"/>
      <c r="QOU12" s="0"/>
      <c r="QOV12" s="0"/>
      <c r="QOW12" s="0"/>
      <c r="QOX12" s="0"/>
      <c r="QOY12" s="0"/>
      <c r="QOZ12" s="0"/>
      <c r="QPA12" s="0"/>
      <c r="QPB12" s="0"/>
      <c r="QPC12" s="0"/>
      <c r="QPD12" s="0"/>
      <c r="QPE12" s="0"/>
      <c r="QPF12" s="0"/>
      <c r="QPG12" s="0"/>
      <c r="QPH12" s="0"/>
      <c r="QPI12" s="0"/>
      <c r="QPJ12" s="0"/>
      <c r="QPK12" s="0"/>
      <c r="QPL12" s="0"/>
      <c r="QPM12" s="0"/>
      <c r="QPN12" s="0"/>
      <c r="QPO12" s="0"/>
      <c r="QPP12" s="0"/>
      <c r="QPQ12" s="0"/>
      <c r="QPR12" s="0"/>
      <c r="QPS12" s="0"/>
      <c r="QPT12" s="0"/>
      <c r="QPU12" s="0"/>
      <c r="QPV12" s="0"/>
      <c r="QPW12" s="0"/>
      <c r="QPX12" s="0"/>
      <c r="QPY12" s="0"/>
      <c r="QPZ12" s="0"/>
      <c r="QQA12" s="0"/>
      <c r="QQB12" s="0"/>
      <c r="QQC12" s="0"/>
      <c r="QQD12" s="0"/>
      <c r="QQE12" s="0"/>
      <c r="QQF12" s="0"/>
      <c r="QQG12" s="0"/>
      <c r="QQH12" s="0"/>
      <c r="QQI12" s="0"/>
      <c r="QQJ12" s="0"/>
      <c r="QQK12" s="0"/>
      <c r="QQL12" s="0"/>
      <c r="QQM12" s="0"/>
      <c r="QQN12" s="0"/>
      <c r="QQO12" s="0"/>
      <c r="QQP12" s="0"/>
      <c r="QQQ12" s="0"/>
      <c r="QQR12" s="0"/>
      <c r="QQS12" s="0"/>
      <c r="QQT12" s="0"/>
      <c r="QQU12" s="0"/>
      <c r="QQV12" s="0"/>
      <c r="QQW12" s="0"/>
      <c r="QQX12" s="0"/>
      <c r="QQY12" s="0"/>
      <c r="QQZ12" s="0"/>
      <c r="QRA12" s="0"/>
      <c r="QRB12" s="0"/>
      <c r="QRC12" s="0"/>
      <c r="QRD12" s="0"/>
      <c r="QRE12" s="0"/>
      <c r="QRF12" s="0"/>
      <c r="QRG12" s="0"/>
      <c r="QRH12" s="0"/>
      <c r="QRI12" s="0"/>
      <c r="QRJ12" s="0"/>
      <c r="QRK12" s="0"/>
      <c r="QRL12" s="0"/>
      <c r="QRM12" s="0"/>
      <c r="QRN12" s="0"/>
      <c r="QRO12" s="0"/>
      <c r="QRP12" s="0"/>
      <c r="QRQ12" s="0"/>
      <c r="QRR12" s="0"/>
      <c r="QRS12" s="0"/>
      <c r="QRT12" s="0"/>
      <c r="QRU12" s="0"/>
      <c r="QRV12" s="0"/>
      <c r="QRW12" s="0"/>
      <c r="QRX12" s="0"/>
      <c r="QRY12" s="0"/>
      <c r="QRZ12" s="0"/>
      <c r="QSA12" s="0"/>
      <c r="QSB12" s="0"/>
      <c r="QSC12" s="0"/>
      <c r="QSD12" s="0"/>
      <c r="QSE12" s="0"/>
      <c r="QSF12" s="0"/>
      <c r="QSG12" s="0"/>
      <c r="QSH12" s="0"/>
      <c r="QSI12" s="0"/>
      <c r="QSJ12" s="0"/>
      <c r="QSK12" s="0"/>
      <c r="QSL12" s="0"/>
      <c r="QSM12" s="0"/>
      <c r="QSN12" s="0"/>
      <c r="QSO12" s="0"/>
      <c r="QSP12" s="0"/>
      <c r="QSQ12" s="0"/>
      <c r="QSR12" s="0"/>
      <c r="QSS12" s="0"/>
      <c r="QST12" s="0"/>
      <c r="QSU12" s="0"/>
      <c r="QSV12" s="0"/>
      <c r="QSW12" s="0"/>
      <c r="QSX12" s="0"/>
      <c r="QSY12" s="0"/>
      <c r="QSZ12" s="0"/>
      <c r="QTA12" s="0"/>
      <c r="QTB12" s="0"/>
      <c r="QTC12" s="0"/>
      <c r="QTD12" s="0"/>
      <c r="QTE12" s="0"/>
      <c r="QTF12" s="0"/>
      <c r="QTG12" s="0"/>
      <c r="QTH12" s="0"/>
      <c r="QTI12" s="0"/>
      <c r="QTJ12" s="0"/>
      <c r="QTK12" s="0"/>
      <c r="QTL12" s="0"/>
      <c r="QTM12" s="0"/>
      <c r="QTN12" s="0"/>
      <c r="QTO12" s="0"/>
      <c r="QTP12" s="0"/>
      <c r="QTQ12" s="0"/>
      <c r="QTR12" s="0"/>
      <c r="QTS12" s="0"/>
      <c r="QTT12" s="0"/>
      <c r="QTU12" s="0"/>
      <c r="QTV12" s="0"/>
      <c r="QTW12" s="0"/>
      <c r="QTX12" s="0"/>
      <c r="QTY12" s="0"/>
      <c r="QTZ12" s="0"/>
      <c r="QUA12" s="0"/>
      <c r="QUB12" s="0"/>
      <c r="QUC12" s="0"/>
      <c r="QUD12" s="0"/>
      <c r="QUE12" s="0"/>
      <c r="QUF12" s="0"/>
      <c r="QUG12" s="0"/>
      <c r="QUH12" s="0"/>
      <c r="QUI12" s="0"/>
      <c r="QUJ12" s="0"/>
      <c r="QUK12" s="0"/>
      <c r="QUL12" s="0"/>
      <c r="QUM12" s="0"/>
      <c r="QUN12" s="0"/>
      <c r="QUO12" s="0"/>
      <c r="QUP12" s="0"/>
      <c r="QUQ12" s="0"/>
      <c r="QUR12" s="0"/>
      <c r="QUS12" s="0"/>
      <c r="QUT12" s="0"/>
      <c r="QUU12" s="0"/>
      <c r="QUV12" s="0"/>
      <c r="QUW12" s="0"/>
      <c r="QUX12" s="0"/>
      <c r="QUY12" s="0"/>
      <c r="QUZ12" s="0"/>
      <c r="QVA12" s="0"/>
      <c r="QVB12" s="0"/>
      <c r="QVC12" s="0"/>
      <c r="QVD12" s="0"/>
      <c r="QVE12" s="0"/>
      <c r="QVF12" s="0"/>
      <c r="QVG12" s="0"/>
      <c r="QVH12" s="0"/>
      <c r="QVI12" s="0"/>
      <c r="QVJ12" s="0"/>
      <c r="QVK12" s="0"/>
      <c r="QVL12" s="0"/>
      <c r="QVM12" s="0"/>
      <c r="QVN12" s="0"/>
      <c r="QVO12" s="0"/>
      <c r="QVP12" s="0"/>
      <c r="QVQ12" s="0"/>
      <c r="QVR12" s="0"/>
      <c r="QVS12" s="0"/>
      <c r="QVT12" s="0"/>
      <c r="QVU12" s="0"/>
      <c r="QVV12" s="0"/>
      <c r="QVW12" s="0"/>
      <c r="QVX12" s="0"/>
      <c r="QVY12" s="0"/>
      <c r="QVZ12" s="0"/>
      <c r="QWA12" s="0"/>
      <c r="QWB12" s="0"/>
      <c r="QWC12" s="0"/>
      <c r="QWD12" s="0"/>
      <c r="QWE12" s="0"/>
      <c r="QWF12" s="0"/>
      <c r="QWG12" s="0"/>
      <c r="QWH12" s="0"/>
      <c r="QWI12" s="0"/>
      <c r="QWJ12" s="0"/>
      <c r="QWK12" s="0"/>
      <c r="QWL12" s="0"/>
      <c r="QWM12" s="0"/>
      <c r="QWN12" s="0"/>
      <c r="QWO12" s="0"/>
      <c r="QWP12" s="0"/>
      <c r="QWQ12" s="0"/>
      <c r="QWR12" s="0"/>
      <c r="QWS12" s="0"/>
      <c r="QWT12" s="0"/>
      <c r="QWU12" s="0"/>
      <c r="QWV12" s="0"/>
      <c r="QWW12" s="0"/>
      <c r="QWX12" s="0"/>
      <c r="QWY12" s="0"/>
      <c r="QWZ12" s="0"/>
      <c r="QXA12" s="0"/>
      <c r="QXB12" s="0"/>
      <c r="QXC12" s="0"/>
      <c r="QXD12" s="0"/>
      <c r="QXE12" s="0"/>
      <c r="QXF12" s="0"/>
      <c r="QXG12" s="0"/>
      <c r="QXH12" s="0"/>
      <c r="QXI12" s="0"/>
      <c r="QXJ12" s="0"/>
      <c r="QXK12" s="0"/>
      <c r="QXL12" s="0"/>
      <c r="QXM12" s="0"/>
      <c r="QXN12" s="0"/>
      <c r="QXO12" s="0"/>
      <c r="QXP12" s="0"/>
      <c r="QXQ12" s="0"/>
      <c r="QXR12" s="0"/>
      <c r="QXS12" s="0"/>
      <c r="QXT12" s="0"/>
      <c r="QXU12" s="0"/>
      <c r="QXV12" s="0"/>
      <c r="QXW12" s="0"/>
      <c r="QXX12" s="0"/>
      <c r="QXY12" s="0"/>
      <c r="QXZ12" s="0"/>
      <c r="QYA12" s="0"/>
      <c r="QYB12" s="0"/>
      <c r="QYC12" s="0"/>
      <c r="QYD12" s="0"/>
      <c r="QYE12" s="0"/>
      <c r="QYF12" s="0"/>
      <c r="QYG12" s="0"/>
      <c r="QYH12" s="0"/>
      <c r="QYI12" s="0"/>
      <c r="QYJ12" s="0"/>
      <c r="QYK12" s="0"/>
      <c r="QYL12" s="0"/>
      <c r="QYM12" s="0"/>
      <c r="QYN12" s="0"/>
      <c r="QYO12" s="0"/>
      <c r="QYP12" s="0"/>
      <c r="QYQ12" s="0"/>
      <c r="QYR12" s="0"/>
      <c r="QYS12" s="0"/>
      <c r="QYT12" s="0"/>
      <c r="QYU12" s="0"/>
      <c r="QYV12" s="0"/>
      <c r="QYW12" s="0"/>
      <c r="QYX12" s="0"/>
      <c r="QYY12" s="0"/>
      <c r="QYZ12" s="0"/>
      <c r="QZA12" s="0"/>
      <c r="QZB12" s="0"/>
      <c r="QZC12" s="0"/>
      <c r="QZD12" s="0"/>
      <c r="QZE12" s="0"/>
      <c r="QZF12" s="0"/>
      <c r="QZG12" s="0"/>
      <c r="QZH12" s="0"/>
      <c r="QZI12" s="0"/>
      <c r="QZJ12" s="0"/>
      <c r="QZK12" s="0"/>
      <c r="QZL12" s="0"/>
      <c r="QZM12" s="0"/>
      <c r="QZN12" s="0"/>
      <c r="QZO12" s="0"/>
      <c r="QZP12" s="0"/>
      <c r="QZQ12" s="0"/>
      <c r="QZR12" s="0"/>
      <c r="QZS12" s="0"/>
      <c r="QZT12" s="0"/>
      <c r="QZU12" s="0"/>
      <c r="QZV12" s="0"/>
      <c r="QZW12" s="0"/>
      <c r="QZX12" s="0"/>
      <c r="QZY12" s="0"/>
      <c r="QZZ12" s="0"/>
      <c r="RAA12" s="0"/>
      <c r="RAB12" s="0"/>
      <c r="RAC12" s="0"/>
      <c r="RAD12" s="0"/>
      <c r="RAE12" s="0"/>
      <c r="RAF12" s="0"/>
      <c r="RAG12" s="0"/>
      <c r="RAH12" s="0"/>
      <c r="RAI12" s="0"/>
      <c r="RAJ12" s="0"/>
      <c r="RAK12" s="0"/>
      <c r="RAL12" s="0"/>
      <c r="RAM12" s="0"/>
      <c r="RAN12" s="0"/>
      <c r="RAO12" s="0"/>
      <c r="RAP12" s="0"/>
      <c r="RAQ12" s="0"/>
      <c r="RAR12" s="0"/>
      <c r="RAS12" s="0"/>
      <c r="RAT12" s="0"/>
      <c r="RAU12" s="0"/>
      <c r="RAV12" s="0"/>
      <c r="RAW12" s="0"/>
      <c r="RAX12" s="0"/>
      <c r="RAY12" s="0"/>
      <c r="RAZ12" s="0"/>
      <c r="RBA12" s="0"/>
      <c r="RBB12" s="0"/>
      <c r="RBC12" s="0"/>
      <c r="RBD12" s="0"/>
      <c r="RBE12" s="0"/>
      <c r="RBF12" s="0"/>
      <c r="RBG12" s="0"/>
      <c r="RBH12" s="0"/>
      <c r="RBI12" s="0"/>
      <c r="RBJ12" s="0"/>
      <c r="RBK12" s="0"/>
      <c r="RBL12" s="0"/>
      <c r="RBM12" s="0"/>
      <c r="RBN12" s="0"/>
      <c r="RBO12" s="0"/>
      <c r="RBP12" s="0"/>
      <c r="RBQ12" s="0"/>
      <c r="RBR12" s="0"/>
      <c r="RBS12" s="0"/>
      <c r="RBT12" s="0"/>
      <c r="RBU12" s="0"/>
      <c r="RBV12" s="0"/>
      <c r="RBW12" s="0"/>
      <c r="RBX12" s="0"/>
      <c r="RBY12" s="0"/>
      <c r="RBZ12" s="0"/>
      <c r="RCA12" s="0"/>
      <c r="RCB12" s="0"/>
      <c r="RCC12" s="0"/>
      <c r="RCD12" s="0"/>
      <c r="RCE12" s="0"/>
      <c r="RCF12" s="0"/>
      <c r="RCG12" s="0"/>
      <c r="RCH12" s="0"/>
      <c r="RCI12" s="0"/>
      <c r="RCJ12" s="0"/>
      <c r="RCK12" s="0"/>
      <c r="RCL12" s="0"/>
      <c r="RCM12" s="0"/>
      <c r="RCN12" s="0"/>
      <c r="RCO12" s="0"/>
      <c r="RCP12" s="0"/>
      <c r="RCQ12" s="0"/>
      <c r="RCR12" s="0"/>
      <c r="RCS12" s="0"/>
      <c r="RCT12" s="0"/>
      <c r="RCU12" s="0"/>
      <c r="RCV12" s="0"/>
      <c r="RCW12" s="0"/>
      <c r="RCX12" s="0"/>
      <c r="RCY12" s="0"/>
      <c r="RCZ12" s="0"/>
      <c r="RDA12" s="0"/>
      <c r="RDB12" s="0"/>
      <c r="RDC12" s="0"/>
      <c r="RDD12" s="0"/>
      <c r="RDE12" s="0"/>
      <c r="RDF12" s="0"/>
      <c r="RDG12" s="0"/>
      <c r="RDH12" s="0"/>
      <c r="RDI12" s="0"/>
      <c r="RDJ12" s="0"/>
      <c r="RDK12" s="0"/>
      <c r="RDL12" s="0"/>
      <c r="RDM12" s="0"/>
      <c r="RDN12" s="0"/>
      <c r="RDO12" s="0"/>
      <c r="RDP12" s="0"/>
      <c r="RDQ12" s="0"/>
      <c r="RDR12" s="0"/>
      <c r="RDS12" s="0"/>
      <c r="RDT12" s="0"/>
      <c r="RDU12" s="0"/>
      <c r="RDV12" s="0"/>
      <c r="RDW12" s="0"/>
      <c r="RDX12" s="0"/>
      <c r="RDY12" s="0"/>
      <c r="RDZ12" s="0"/>
      <c r="REA12" s="0"/>
      <c r="REB12" s="0"/>
      <c r="REC12" s="0"/>
      <c r="RED12" s="0"/>
      <c r="REE12" s="0"/>
      <c r="REF12" s="0"/>
      <c r="REG12" s="0"/>
      <c r="REH12" s="0"/>
      <c r="REI12" s="0"/>
      <c r="REJ12" s="0"/>
      <c r="REK12" s="0"/>
      <c r="REL12" s="0"/>
      <c r="REM12" s="0"/>
      <c r="REN12" s="0"/>
      <c r="REO12" s="0"/>
      <c r="REP12" s="0"/>
      <c r="REQ12" s="0"/>
      <c r="RER12" s="0"/>
      <c r="RES12" s="0"/>
      <c r="RET12" s="0"/>
      <c r="REU12" s="0"/>
      <c r="REV12" s="0"/>
      <c r="REW12" s="0"/>
      <c r="REX12" s="0"/>
      <c r="REY12" s="0"/>
      <c r="REZ12" s="0"/>
      <c r="RFA12" s="0"/>
      <c r="RFB12" s="0"/>
      <c r="RFC12" s="0"/>
      <c r="RFD12" s="0"/>
      <c r="RFE12" s="0"/>
      <c r="RFF12" s="0"/>
      <c r="RFG12" s="0"/>
      <c r="RFH12" s="0"/>
      <c r="RFI12" s="0"/>
      <c r="RFJ12" s="0"/>
      <c r="RFK12" s="0"/>
      <c r="RFL12" s="0"/>
      <c r="RFM12" s="0"/>
      <c r="RFN12" s="0"/>
      <c r="RFO12" s="0"/>
      <c r="RFP12" s="0"/>
      <c r="RFQ12" s="0"/>
      <c r="RFR12" s="0"/>
      <c r="RFS12" s="0"/>
      <c r="RFT12" s="0"/>
      <c r="RFU12" s="0"/>
      <c r="RFV12" s="0"/>
      <c r="RFW12" s="0"/>
      <c r="RFX12" s="0"/>
      <c r="RFY12" s="0"/>
      <c r="RFZ12" s="0"/>
      <c r="RGA12" s="0"/>
      <c r="RGB12" s="0"/>
      <c r="RGC12" s="0"/>
      <c r="RGD12" s="0"/>
      <c r="RGE12" s="0"/>
      <c r="RGF12" s="0"/>
      <c r="RGG12" s="0"/>
      <c r="RGH12" s="0"/>
      <c r="RGI12" s="0"/>
      <c r="RGJ12" s="0"/>
      <c r="RGK12" s="0"/>
      <c r="RGL12" s="0"/>
      <c r="RGM12" s="0"/>
      <c r="RGN12" s="0"/>
      <c r="RGO12" s="0"/>
      <c r="RGP12" s="0"/>
      <c r="RGQ12" s="0"/>
      <c r="RGR12" s="0"/>
      <c r="RGS12" s="0"/>
      <c r="RGT12" s="0"/>
      <c r="RGU12" s="0"/>
      <c r="RGV12" s="0"/>
      <c r="RGW12" s="0"/>
      <c r="RGX12" s="0"/>
      <c r="RGY12" s="0"/>
      <c r="RGZ12" s="0"/>
      <c r="RHA12" s="0"/>
      <c r="RHB12" s="0"/>
      <c r="RHC12" s="0"/>
      <c r="RHD12" s="0"/>
      <c r="RHE12" s="0"/>
      <c r="RHF12" s="0"/>
      <c r="RHG12" s="0"/>
      <c r="RHH12" s="0"/>
      <c r="RHI12" s="0"/>
      <c r="RHJ12" s="0"/>
      <c r="RHK12" s="0"/>
      <c r="RHL12" s="0"/>
      <c r="RHM12" s="0"/>
      <c r="RHN12" s="0"/>
      <c r="RHO12" s="0"/>
      <c r="RHP12" s="0"/>
      <c r="RHQ12" s="0"/>
      <c r="RHR12" s="0"/>
      <c r="RHS12" s="0"/>
      <c r="RHT12" s="0"/>
      <c r="RHU12" s="0"/>
      <c r="RHV12" s="0"/>
      <c r="RHW12" s="0"/>
      <c r="RHX12" s="0"/>
      <c r="RHY12" s="0"/>
      <c r="RHZ12" s="0"/>
      <c r="RIA12" s="0"/>
      <c r="RIB12" s="0"/>
      <c r="RIC12" s="0"/>
      <c r="RID12" s="0"/>
      <c r="RIE12" s="0"/>
      <c r="RIF12" s="0"/>
      <c r="RIG12" s="0"/>
      <c r="RIH12" s="0"/>
      <c r="RII12" s="0"/>
      <c r="RIJ12" s="0"/>
      <c r="RIK12" s="0"/>
      <c r="RIL12" s="0"/>
      <c r="RIM12" s="0"/>
      <c r="RIN12" s="0"/>
      <c r="RIO12" s="0"/>
      <c r="RIP12" s="0"/>
      <c r="RIQ12" s="0"/>
      <c r="RIR12" s="0"/>
      <c r="RIS12" s="0"/>
      <c r="RIT12" s="0"/>
      <c r="RIU12" s="0"/>
      <c r="RIV12" s="0"/>
      <c r="RIW12" s="0"/>
      <c r="RIX12" s="0"/>
      <c r="RIY12" s="0"/>
      <c r="RIZ12" s="0"/>
      <c r="RJA12" s="0"/>
      <c r="RJB12" s="0"/>
      <c r="RJC12" s="0"/>
      <c r="RJD12" s="0"/>
      <c r="RJE12" s="0"/>
      <c r="RJF12" s="0"/>
      <c r="RJG12" s="0"/>
      <c r="RJH12" s="0"/>
      <c r="RJI12" s="0"/>
      <c r="RJJ12" s="0"/>
      <c r="RJK12" s="0"/>
      <c r="RJL12" s="0"/>
      <c r="RJM12" s="0"/>
      <c r="RJN12" s="0"/>
      <c r="RJO12" s="0"/>
      <c r="RJP12" s="0"/>
      <c r="RJQ12" s="0"/>
      <c r="RJR12" s="0"/>
      <c r="RJS12" s="0"/>
      <c r="RJT12" s="0"/>
      <c r="RJU12" s="0"/>
      <c r="RJV12" s="0"/>
      <c r="RJW12" s="0"/>
      <c r="RJX12" s="0"/>
      <c r="RJY12" s="0"/>
      <c r="RJZ12" s="0"/>
      <c r="RKA12" s="0"/>
      <c r="RKB12" s="0"/>
      <c r="RKC12" s="0"/>
      <c r="RKD12" s="0"/>
      <c r="RKE12" s="0"/>
      <c r="RKF12" s="0"/>
      <c r="RKG12" s="0"/>
      <c r="RKH12" s="0"/>
      <c r="RKI12" s="0"/>
      <c r="RKJ12" s="0"/>
      <c r="RKK12" s="0"/>
      <c r="RKL12" s="0"/>
      <c r="RKM12" s="0"/>
      <c r="RKN12" s="0"/>
      <c r="RKO12" s="0"/>
      <c r="RKP12" s="0"/>
      <c r="RKQ12" s="0"/>
      <c r="RKR12" s="0"/>
      <c r="RKS12" s="0"/>
      <c r="RKT12" s="0"/>
      <c r="RKU12" s="0"/>
      <c r="RKV12" s="0"/>
      <c r="RKW12" s="0"/>
      <c r="RKX12" s="0"/>
      <c r="RKY12" s="0"/>
      <c r="RKZ12" s="0"/>
      <c r="RLA12" s="0"/>
      <c r="RLB12" s="0"/>
      <c r="RLC12" s="0"/>
      <c r="RLD12" s="0"/>
      <c r="RLE12" s="0"/>
      <c r="RLF12" s="0"/>
      <c r="RLG12" s="0"/>
      <c r="RLH12" s="0"/>
      <c r="RLI12" s="0"/>
      <c r="RLJ12" s="0"/>
      <c r="RLK12" s="0"/>
      <c r="RLL12" s="0"/>
      <c r="RLM12" s="0"/>
      <c r="RLN12" s="0"/>
      <c r="RLO12" s="0"/>
      <c r="RLP12" s="0"/>
      <c r="RLQ12" s="0"/>
      <c r="RLR12" s="0"/>
      <c r="RLS12" s="0"/>
      <c r="RLT12" s="0"/>
      <c r="RLU12" s="0"/>
      <c r="RLV12" s="0"/>
      <c r="RLW12" s="0"/>
      <c r="RLX12" s="0"/>
      <c r="RLY12" s="0"/>
      <c r="RLZ12" s="0"/>
      <c r="RMA12" s="0"/>
      <c r="RMB12" s="0"/>
      <c r="RMC12" s="0"/>
      <c r="RMD12" s="0"/>
      <c r="RME12" s="0"/>
      <c r="RMF12" s="0"/>
      <c r="RMG12" s="0"/>
      <c r="RMH12" s="0"/>
      <c r="RMI12" s="0"/>
      <c r="RMJ12" s="0"/>
      <c r="RMK12" s="0"/>
      <c r="RML12" s="0"/>
      <c r="RMM12" s="0"/>
      <c r="RMN12" s="0"/>
      <c r="RMO12" s="0"/>
      <c r="RMP12" s="0"/>
      <c r="RMQ12" s="0"/>
      <c r="RMR12" s="0"/>
      <c r="RMS12" s="0"/>
      <c r="RMT12" s="0"/>
      <c r="RMU12" s="0"/>
      <c r="RMV12" s="0"/>
      <c r="RMW12" s="0"/>
      <c r="RMX12" s="0"/>
      <c r="RMY12" s="0"/>
      <c r="RMZ12" s="0"/>
      <c r="RNA12" s="0"/>
      <c r="RNB12" s="0"/>
      <c r="RNC12" s="0"/>
      <c r="RND12" s="0"/>
      <c r="RNE12" s="0"/>
      <c r="RNF12" s="0"/>
      <c r="RNG12" s="0"/>
      <c r="RNH12" s="0"/>
      <c r="RNI12" s="0"/>
      <c r="RNJ12" s="0"/>
      <c r="RNK12" s="0"/>
      <c r="RNL12" s="0"/>
      <c r="RNM12" s="0"/>
      <c r="RNN12" s="0"/>
      <c r="RNO12" s="0"/>
      <c r="RNP12" s="0"/>
      <c r="RNQ12" s="0"/>
      <c r="RNR12" s="0"/>
      <c r="RNS12" s="0"/>
      <c r="RNT12" s="0"/>
      <c r="RNU12" s="0"/>
      <c r="RNV12" s="0"/>
      <c r="RNW12" s="0"/>
      <c r="RNX12" s="0"/>
      <c r="RNY12" s="0"/>
      <c r="RNZ12" s="0"/>
      <c r="ROA12" s="0"/>
      <c r="ROB12" s="0"/>
      <c r="ROC12" s="0"/>
      <c r="ROD12" s="0"/>
      <c r="ROE12" s="0"/>
      <c r="ROF12" s="0"/>
      <c r="ROG12" s="0"/>
      <c r="ROH12" s="0"/>
      <c r="ROI12" s="0"/>
      <c r="ROJ12" s="0"/>
      <c r="ROK12" s="0"/>
      <c r="ROL12" s="0"/>
      <c r="ROM12" s="0"/>
      <c r="RON12" s="0"/>
      <c r="ROO12" s="0"/>
      <c r="ROP12" s="0"/>
      <c r="ROQ12" s="0"/>
      <c r="ROR12" s="0"/>
      <c r="ROS12" s="0"/>
      <c r="ROT12" s="0"/>
      <c r="ROU12" s="0"/>
      <c r="ROV12" s="0"/>
      <c r="ROW12" s="0"/>
      <c r="ROX12" s="0"/>
      <c r="ROY12" s="0"/>
      <c r="ROZ12" s="0"/>
      <c r="RPA12" s="0"/>
      <c r="RPB12" s="0"/>
      <c r="RPC12" s="0"/>
      <c r="RPD12" s="0"/>
      <c r="RPE12" s="0"/>
      <c r="RPF12" s="0"/>
      <c r="RPG12" s="0"/>
      <c r="RPH12" s="0"/>
      <c r="RPI12" s="0"/>
      <c r="RPJ12" s="0"/>
      <c r="RPK12" s="0"/>
      <c r="RPL12" s="0"/>
      <c r="RPM12" s="0"/>
      <c r="RPN12" s="0"/>
      <c r="RPO12" s="0"/>
      <c r="RPP12" s="0"/>
      <c r="RPQ12" s="0"/>
      <c r="RPR12" s="0"/>
      <c r="RPS12" s="0"/>
      <c r="RPT12" s="0"/>
      <c r="RPU12" s="0"/>
      <c r="RPV12" s="0"/>
      <c r="RPW12" s="0"/>
      <c r="RPX12" s="0"/>
      <c r="RPY12" s="0"/>
      <c r="RPZ12" s="0"/>
      <c r="RQA12" s="0"/>
      <c r="RQB12" s="0"/>
      <c r="RQC12" s="0"/>
      <c r="RQD12" s="0"/>
      <c r="RQE12" s="0"/>
      <c r="RQF12" s="0"/>
      <c r="RQG12" s="0"/>
      <c r="RQH12" s="0"/>
      <c r="RQI12" s="0"/>
      <c r="RQJ12" s="0"/>
      <c r="RQK12" s="0"/>
      <c r="RQL12" s="0"/>
      <c r="RQM12" s="0"/>
      <c r="RQN12" s="0"/>
      <c r="RQO12" s="0"/>
      <c r="RQP12" s="0"/>
      <c r="RQQ12" s="0"/>
      <c r="RQR12" s="0"/>
      <c r="RQS12" s="0"/>
      <c r="RQT12" s="0"/>
      <c r="RQU12" s="0"/>
      <c r="RQV12" s="0"/>
      <c r="RQW12" s="0"/>
      <c r="RQX12" s="0"/>
      <c r="RQY12" s="0"/>
      <c r="RQZ12" s="0"/>
      <c r="RRA12" s="0"/>
      <c r="RRB12" s="0"/>
      <c r="RRC12" s="0"/>
      <c r="RRD12" s="0"/>
      <c r="RRE12" s="0"/>
      <c r="RRF12" s="0"/>
      <c r="RRG12" s="0"/>
      <c r="RRH12" s="0"/>
      <c r="RRI12" s="0"/>
      <c r="RRJ12" s="0"/>
      <c r="RRK12" s="0"/>
      <c r="RRL12" s="0"/>
      <c r="RRM12" s="0"/>
      <c r="RRN12" s="0"/>
      <c r="RRO12" s="0"/>
      <c r="RRP12" s="0"/>
      <c r="RRQ12" s="0"/>
      <c r="RRR12" s="0"/>
      <c r="RRS12" s="0"/>
      <c r="RRT12" s="0"/>
      <c r="RRU12" s="0"/>
      <c r="RRV12" s="0"/>
      <c r="RRW12" s="0"/>
      <c r="RRX12" s="0"/>
      <c r="RRY12" s="0"/>
      <c r="RRZ12" s="0"/>
      <c r="RSA12" s="0"/>
      <c r="RSB12" s="0"/>
      <c r="RSC12" s="0"/>
      <c r="RSD12" s="0"/>
      <c r="RSE12" s="0"/>
      <c r="RSF12" s="0"/>
      <c r="RSG12" s="0"/>
      <c r="RSH12" s="0"/>
      <c r="RSI12" s="0"/>
      <c r="RSJ12" s="0"/>
      <c r="RSK12" s="0"/>
      <c r="RSL12" s="0"/>
      <c r="RSM12" s="0"/>
      <c r="RSN12" s="0"/>
      <c r="RSO12" s="0"/>
      <c r="RSP12" s="0"/>
      <c r="RSQ12" s="0"/>
      <c r="RSR12" s="0"/>
      <c r="RSS12" s="0"/>
      <c r="RST12" s="0"/>
      <c r="RSU12" s="0"/>
      <c r="RSV12" s="0"/>
      <c r="RSW12" s="0"/>
      <c r="RSX12" s="0"/>
      <c r="RSY12" s="0"/>
      <c r="RSZ12" s="0"/>
      <c r="RTA12" s="0"/>
      <c r="RTB12" s="0"/>
      <c r="RTC12" s="0"/>
      <c r="RTD12" s="0"/>
      <c r="RTE12" s="0"/>
      <c r="RTF12" s="0"/>
      <c r="RTG12" s="0"/>
      <c r="RTH12" s="0"/>
      <c r="RTI12" s="0"/>
      <c r="RTJ12" s="0"/>
      <c r="RTK12" s="0"/>
      <c r="RTL12" s="0"/>
      <c r="RTM12" s="0"/>
      <c r="RTN12" s="0"/>
      <c r="RTO12" s="0"/>
      <c r="RTP12" s="0"/>
      <c r="RTQ12" s="0"/>
      <c r="RTR12" s="0"/>
      <c r="RTS12" s="0"/>
      <c r="RTT12" s="0"/>
      <c r="RTU12" s="0"/>
      <c r="RTV12" s="0"/>
      <c r="RTW12" s="0"/>
      <c r="RTX12" s="0"/>
      <c r="RTY12" s="0"/>
      <c r="RTZ12" s="0"/>
      <c r="RUA12" s="0"/>
      <c r="RUB12" s="0"/>
      <c r="RUC12" s="0"/>
      <c r="RUD12" s="0"/>
      <c r="RUE12" s="0"/>
      <c r="RUF12" s="0"/>
      <c r="RUG12" s="0"/>
      <c r="RUH12" s="0"/>
      <c r="RUI12" s="0"/>
      <c r="RUJ12" s="0"/>
      <c r="RUK12" s="0"/>
      <c r="RUL12" s="0"/>
      <c r="RUM12" s="0"/>
      <c r="RUN12" s="0"/>
      <c r="RUO12" s="0"/>
      <c r="RUP12" s="0"/>
      <c r="RUQ12" s="0"/>
      <c r="RUR12" s="0"/>
      <c r="RUS12" s="0"/>
      <c r="RUT12" s="0"/>
      <c r="RUU12" s="0"/>
      <c r="RUV12" s="0"/>
      <c r="RUW12" s="0"/>
      <c r="RUX12" s="0"/>
      <c r="RUY12" s="0"/>
      <c r="RUZ12" s="0"/>
      <c r="RVA12" s="0"/>
      <c r="RVB12" s="0"/>
      <c r="RVC12" s="0"/>
      <c r="RVD12" s="0"/>
      <c r="RVE12" s="0"/>
      <c r="RVF12" s="0"/>
      <c r="RVG12" s="0"/>
      <c r="RVH12" s="0"/>
      <c r="RVI12" s="0"/>
      <c r="RVJ12" s="0"/>
      <c r="RVK12" s="0"/>
      <c r="RVL12" s="0"/>
      <c r="RVM12" s="0"/>
      <c r="RVN12" s="0"/>
      <c r="RVO12" s="0"/>
      <c r="RVP12" s="0"/>
      <c r="RVQ12" s="0"/>
      <c r="RVR12" s="0"/>
      <c r="RVS12" s="0"/>
      <c r="RVT12" s="0"/>
      <c r="RVU12" s="0"/>
      <c r="RVV12" s="0"/>
      <c r="RVW12" s="0"/>
      <c r="RVX12" s="0"/>
      <c r="RVY12" s="0"/>
      <c r="RVZ12" s="0"/>
      <c r="RWA12" s="0"/>
      <c r="RWB12" s="0"/>
      <c r="RWC12" s="0"/>
      <c r="RWD12" s="0"/>
      <c r="RWE12" s="0"/>
      <c r="RWF12" s="0"/>
      <c r="RWG12" s="0"/>
      <c r="RWH12" s="0"/>
      <c r="RWI12" s="0"/>
      <c r="RWJ12" s="0"/>
      <c r="RWK12" s="0"/>
      <c r="RWL12" s="0"/>
      <c r="RWM12" s="0"/>
      <c r="RWN12" s="0"/>
      <c r="RWO12" s="0"/>
      <c r="RWP12" s="0"/>
      <c r="RWQ12" s="0"/>
      <c r="RWR12" s="0"/>
      <c r="RWS12" s="0"/>
      <c r="RWT12" s="0"/>
      <c r="RWU12" s="0"/>
      <c r="RWV12" s="0"/>
      <c r="RWW12" s="0"/>
      <c r="RWX12" s="0"/>
      <c r="RWY12" s="0"/>
      <c r="RWZ12" s="0"/>
      <c r="RXA12" s="0"/>
      <c r="RXB12" s="0"/>
      <c r="RXC12" s="0"/>
      <c r="RXD12" s="0"/>
      <c r="RXE12" s="0"/>
      <c r="RXF12" s="0"/>
      <c r="RXG12" s="0"/>
      <c r="RXH12" s="0"/>
      <c r="RXI12" s="0"/>
      <c r="RXJ12" s="0"/>
      <c r="RXK12" s="0"/>
      <c r="RXL12" s="0"/>
      <c r="RXM12" s="0"/>
      <c r="RXN12" s="0"/>
      <c r="RXO12" s="0"/>
      <c r="RXP12" s="0"/>
      <c r="RXQ12" s="0"/>
      <c r="RXR12" s="0"/>
      <c r="RXS12" s="0"/>
      <c r="RXT12" s="0"/>
      <c r="RXU12" s="0"/>
      <c r="RXV12" s="0"/>
      <c r="RXW12" s="0"/>
      <c r="RXX12" s="0"/>
      <c r="RXY12" s="0"/>
      <c r="RXZ12" s="0"/>
      <c r="RYA12" s="0"/>
      <c r="RYB12" s="0"/>
      <c r="RYC12" s="0"/>
      <c r="RYD12" s="0"/>
      <c r="RYE12" s="0"/>
      <c r="RYF12" s="0"/>
      <c r="RYG12" s="0"/>
      <c r="RYH12" s="0"/>
      <c r="RYI12" s="0"/>
      <c r="RYJ12" s="0"/>
      <c r="RYK12" s="0"/>
      <c r="RYL12" s="0"/>
      <c r="RYM12" s="0"/>
      <c r="RYN12" s="0"/>
      <c r="RYO12" s="0"/>
      <c r="RYP12" s="0"/>
      <c r="RYQ12" s="0"/>
      <c r="RYR12" s="0"/>
      <c r="RYS12" s="0"/>
      <c r="RYT12" s="0"/>
      <c r="RYU12" s="0"/>
      <c r="RYV12" s="0"/>
      <c r="RYW12" s="0"/>
      <c r="RYX12" s="0"/>
      <c r="RYY12" s="0"/>
      <c r="RYZ12" s="0"/>
      <c r="RZA12" s="0"/>
      <c r="RZB12" s="0"/>
      <c r="RZC12" s="0"/>
      <c r="RZD12" s="0"/>
      <c r="RZE12" s="0"/>
      <c r="RZF12" s="0"/>
      <c r="RZG12" s="0"/>
      <c r="RZH12" s="0"/>
      <c r="RZI12" s="0"/>
      <c r="RZJ12" s="0"/>
      <c r="RZK12" s="0"/>
      <c r="RZL12" s="0"/>
      <c r="RZM12" s="0"/>
      <c r="RZN12" s="0"/>
      <c r="RZO12" s="0"/>
      <c r="RZP12" s="0"/>
      <c r="RZQ12" s="0"/>
      <c r="RZR12" s="0"/>
      <c r="RZS12" s="0"/>
      <c r="RZT12" s="0"/>
      <c r="RZU12" s="0"/>
      <c r="RZV12" s="0"/>
      <c r="RZW12" s="0"/>
      <c r="RZX12" s="0"/>
      <c r="RZY12" s="0"/>
      <c r="RZZ12" s="0"/>
      <c r="SAA12" s="0"/>
      <c r="SAB12" s="0"/>
      <c r="SAC12" s="0"/>
      <c r="SAD12" s="0"/>
      <c r="SAE12" s="0"/>
      <c r="SAF12" s="0"/>
      <c r="SAG12" s="0"/>
      <c r="SAH12" s="0"/>
      <c r="SAI12" s="0"/>
      <c r="SAJ12" s="0"/>
      <c r="SAK12" s="0"/>
      <c r="SAL12" s="0"/>
      <c r="SAM12" s="0"/>
      <c r="SAN12" s="0"/>
      <c r="SAO12" s="0"/>
      <c r="SAP12" s="0"/>
      <c r="SAQ12" s="0"/>
      <c r="SAR12" s="0"/>
      <c r="SAS12" s="0"/>
      <c r="SAT12" s="0"/>
      <c r="SAU12" s="0"/>
      <c r="SAV12" s="0"/>
      <c r="SAW12" s="0"/>
      <c r="SAX12" s="0"/>
      <c r="SAY12" s="0"/>
      <c r="SAZ12" s="0"/>
      <c r="SBA12" s="0"/>
      <c r="SBB12" s="0"/>
      <c r="SBC12" s="0"/>
      <c r="SBD12" s="0"/>
      <c r="SBE12" s="0"/>
      <c r="SBF12" s="0"/>
      <c r="SBG12" s="0"/>
      <c r="SBH12" s="0"/>
      <c r="SBI12" s="0"/>
      <c r="SBJ12" s="0"/>
      <c r="SBK12" s="0"/>
      <c r="SBL12" s="0"/>
      <c r="SBM12" s="0"/>
      <c r="SBN12" s="0"/>
      <c r="SBO12" s="0"/>
      <c r="SBP12" s="0"/>
      <c r="SBQ12" s="0"/>
      <c r="SBR12" s="0"/>
      <c r="SBS12" s="0"/>
      <c r="SBT12" s="0"/>
      <c r="SBU12" s="0"/>
      <c r="SBV12" s="0"/>
      <c r="SBW12" s="0"/>
      <c r="SBX12" s="0"/>
      <c r="SBY12" s="0"/>
      <c r="SBZ12" s="0"/>
      <c r="SCA12" s="0"/>
      <c r="SCB12" s="0"/>
      <c r="SCC12" s="0"/>
      <c r="SCD12" s="0"/>
      <c r="SCE12" s="0"/>
      <c r="SCF12" s="0"/>
      <c r="SCG12" s="0"/>
      <c r="SCH12" s="0"/>
      <c r="SCI12" s="0"/>
      <c r="SCJ12" s="0"/>
      <c r="SCK12" s="0"/>
      <c r="SCL12" s="0"/>
      <c r="SCM12" s="0"/>
      <c r="SCN12" s="0"/>
      <c r="SCO12" s="0"/>
      <c r="SCP12" s="0"/>
      <c r="SCQ12" s="0"/>
      <c r="SCR12" s="0"/>
      <c r="SCS12" s="0"/>
      <c r="SCT12" s="0"/>
      <c r="SCU12" s="0"/>
      <c r="SCV12" s="0"/>
      <c r="SCW12" s="0"/>
      <c r="SCX12" s="0"/>
      <c r="SCY12" s="0"/>
      <c r="SCZ12" s="0"/>
      <c r="SDA12" s="0"/>
      <c r="SDB12" s="0"/>
      <c r="SDC12" s="0"/>
      <c r="SDD12" s="0"/>
      <c r="SDE12" s="0"/>
      <c r="SDF12" s="0"/>
      <c r="SDG12" s="0"/>
      <c r="SDH12" s="0"/>
      <c r="SDI12" s="0"/>
      <c r="SDJ12" s="0"/>
      <c r="SDK12" s="0"/>
      <c r="SDL12" s="0"/>
      <c r="SDM12" s="0"/>
      <c r="SDN12" s="0"/>
      <c r="SDO12" s="0"/>
      <c r="SDP12" s="0"/>
      <c r="SDQ12" s="0"/>
      <c r="SDR12" s="0"/>
      <c r="SDS12" s="0"/>
      <c r="SDT12" s="0"/>
      <c r="SDU12" s="0"/>
      <c r="SDV12" s="0"/>
      <c r="SDW12" s="0"/>
      <c r="SDX12" s="0"/>
      <c r="SDY12" s="0"/>
      <c r="SDZ12" s="0"/>
      <c r="SEA12" s="0"/>
      <c r="SEB12" s="0"/>
      <c r="SEC12" s="0"/>
      <c r="SED12" s="0"/>
      <c r="SEE12" s="0"/>
      <c r="SEF12" s="0"/>
      <c r="SEG12" s="0"/>
      <c r="SEH12" s="0"/>
      <c r="SEI12" s="0"/>
      <c r="SEJ12" s="0"/>
      <c r="SEK12" s="0"/>
      <c r="SEL12" s="0"/>
      <c r="SEM12" s="0"/>
      <c r="SEN12" s="0"/>
      <c r="SEO12" s="0"/>
      <c r="SEP12" s="0"/>
      <c r="SEQ12" s="0"/>
      <c r="SER12" s="0"/>
      <c r="SES12" s="0"/>
      <c r="SET12" s="0"/>
      <c r="SEU12" s="0"/>
      <c r="SEV12" s="0"/>
      <c r="SEW12" s="0"/>
      <c r="SEX12" s="0"/>
      <c r="SEY12" s="0"/>
      <c r="SEZ12" s="0"/>
      <c r="SFA12" s="0"/>
      <c r="SFB12" s="0"/>
      <c r="SFC12" s="0"/>
      <c r="SFD12" s="0"/>
      <c r="SFE12" s="0"/>
      <c r="SFF12" s="0"/>
      <c r="SFG12" s="0"/>
      <c r="SFH12" s="0"/>
      <c r="SFI12" s="0"/>
      <c r="SFJ12" s="0"/>
      <c r="SFK12" s="0"/>
      <c r="SFL12" s="0"/>
      <c r="SFM12" s="0"/>
      <c r="SFN12" s="0"/>
      <c r="SFO12" s="0"/>
      <c r="SFP12" s="0"/>
      <c r="SFQ12" s="0"/>
      <c r="SFR12" s="0"/>
      <c r="SFS12" s="0"/>
      <c r="SFT12" s="0"/>
      <c r="SFU12" s="0"/>
      <c r="SFV12" s="0"/>
      <c r="SFW12" s="0"/>
      <c r="SFX12" s="0"/>
      <c r="SFY12" s="0"/>
      <c r="SFZ12" s="0"/>
      <c r="SGA12" s="0"/>
      <c r="SGB12" s="0"/>
      <c r="SGC12" s="0"/>
      <c r="SGD12" s="0"/>
      <c r="SGE12" s="0"/>
      <c r="SGF12" s="0"/>
      <c r="SGG12" s="0"/>
      <c r="SGH12" s="0"/>
      <c r="SGI12" s="0"/>
      <c r="SGJ12" s="0"/>
      <c r="SGK12" s="0"/>
      <c r="SGL12" s="0"/>
      <c r="SGM12" s="0"/>
      <c r="SGN12" s="0"/>
      <c r="SGO12" s="0"/>
      <c r="SGP12" s="0"/>
      <c r="SGQ12" s="0"/>
      <c r="SGR12" s="0"/>
      <c r="SGS12" s="0"/>
      <c r="SGT12" s="0"/>
      <c r="SGU12" s="0"/>
      <c r="SGV12" s="0"/>
      <c r="SGW12" s="0"/>
      <c r="SGX12" s="0"/>
      <c r="SGY12" s="0"/>
      <c r="SGZ12" s="0"/>
      <c r="SHA12" s="0"/>
      <c r="SHB12" s="0"/>
      <c r="SHC12" s="0"/>
      <c r="SHD12" s="0"/>
      <c r="SHE12" s="0"/>
      <c r="SHF12" s="0"/>
      <c r="SHG12" s="0"/>
      <c r="SHH12" s="0"/>
      <c r="SHI12" s="0"/>
      <c r="SHJ12" s="0"/>
      <c r="SHK12" s="0"/>
      <c r="SHL12" s="0"/>
      <c r="SHM12" s="0"/>
      <c r="SHN12" s="0"/>
      <c r="SHO12" s="0"/>
      <c r="SHP12" s="0"/>
      <c r="SHQ12" s="0"/>
      <c r="SHR12" s="0"/>
      <c r="SHS12" s="0"/>
      <c r="SHT12" s="0"/>
      <c r="SHU12" s="0"/>
      <c r="SHV12" s="0"/>
      <c r="SHW12" s="0"/>
      <c r="SHX12" s="0"/>
      <c r="SHY12" s="0"/>
      <c r="SHZ12" s="0"/>
      <c r="SIA12" s="0"/>
      <c r="SIB12" s="0"/>
      <c r="SIC12" s="0"/>
      <c r="SID12" s="0"/>
      <c r="SIE12" s="0"/>
      <c r="SIF12" s="0"/>
      <c r="SIG12" s="0"/>
      <c r="SIH12" s="0"/>
      <c r="SII12" s="0"/>
      <c r="SIJ12" s="0"/>
      <c r="SIK12" s="0"/>
      <c r="SIL12" s="0"/>
      <c r="SIM12" s="0"/>
      <c r="SIN12" s="0"/>
      <c r="SIO12" s="0"/>
      <c r="SIP12" s="0"/>
      <c r="SIQ12" s="0"/>
      <c r="SIR12" s="0"/>
      <c r="SIS12" s="0"/>
      <c r="SIT12" s="0"/>
      <c r="SIU12" s="0"/>
      <c r="SIV12" s="0"/>
      <c r="SIW12" s="0"/>
      <c r="SIX12" s="0"/>
      <c r="SIY12" s="0"/>
      <c r="SIZ12" s="0"/>
      <c r="SJA12" s="0"/>
      <c r="SJB12" s="0"/>
      <c r="SJC12" s="0"/>
      <c r="SJD12" s="0"/>
      <c r="SJE12" s="0"/>
      <c r="SJF12" s="0"/>
      <c r="SJG12" s="0"/>
      <c r="SJH12" s="0"/>
      <c r="SJI12" s="0"/>
      <c r="SJJ12" s="0"/>
      <c r="SJK12" s="0"/>
      <c r="SJL12" s="0"/>
      <c r="SJM12" s="0"/>
      <c r="SJN12" s="0"/>
      <c r="SJO12" s="0"/>
      <c r="SJP12" s="0"/>
      <c r="SJQ12" s="0"/>
      <c r="SJR12" s="0"/>
      <c r="SJS12" s="0"/>
      <c r="SJT12" s="0"/>
      <c r="SJU12" s="0"/>
      <c r="SJV12" s="0"/>
      <c r="SJW12" s="0"/>
      <c r="SJX12" s="0"/>
      <c r="SJY12" s="0"/>
      <c r="SJZ12" s="0"/>
      <c r="SKA12" s="0"/>
      <c r="SKB12" s="0"/>
      <c r="SKC12" s="0"/>
      <c r="SKD12" s="0"/>
      <c r="SKE12" s="0"/>
      <c r="SKF12" s="0"/>
      <c r="SKG12" s="0"/>
      <c r="SKH12" s="0"/>
      <c r="SKI12" s="0"/>
      <c r="SKJ12" s="0"/>
      <c r="SKK12" s="0"/>
      <c r="SKL12" s="0"/>
      <c r="SKM12" s="0"/>
      <c r="SKN12" s="0"/>
      <c r="SKO12" s="0"/>
      <c r="SKP12" s="0"/>
      <c r="SKQ12" s="0"/>
      <c r="SKR12" s="0"/>
      <c r="SKS12" s="0"/>
      <c r="SKT12" s="0"/>
      <c r="SKU12" s="0"/>
      <c r="SKV12" s="0"/>
      <c r="SKW12" s="0"/>
      <c r="SKX12" s="0"/>
      <c r="SKY12" s="0"/>
      <c r="SKZ12" s="0"/>
      <c r="SLA12" s="0"/>
      <c r="SLB12" s="0"/>
      <c r="SLC12" s="0"/>
      <c r="SLD12" s="0"/>
      <c r="SLE12" s="0"/>
      <c r="SLF12" s="0"/>
      <c r="SLG12" s="0"/>
      <c r="SLH12" s="0"/>
      <c r="SLI12" s="0"/>
      <c r="SLJ12" s="0"/>
      <c r="SLK12" s="0"/>
      <c r="SLL12" s="0"/>
      <c r="SLM12" s="0"/>
      <c r="SLN12" s="0"/>
      <c r="SLO12" s="0"/>
      <c r="SLP12" s="0"/>
      <c r="SLQ12" s="0"/>
      <c r="SLR12" s="0"/>
      <c r="SLS12" s="0"/>
      <c r="SLT12" s="0"/>
      <c r="SLU12" s="0"/>
      <c r="SLV12" s="0"/>
      <c r="SLW12" s="0"/>
      <c r="SLX12" s="0"/>
      <c r="SLY12" s="0"/>
      <c r="SLZ12" s="0"/>
      <c r="SMA12" s="0"/>
      <c r="SMB12" s="0"/>
      <c r="SMC12" s="0"/>
      <c r="SMD12" s="0"/>
      <c r="SME12" s="0"/>
      <c r="SMF12" s="0"/>
      <c r="SMG12" s="0"/>
      <c r="SMH12" s="0"/>
      <c r="SMI12" s="0"/>
      <c r="SMJ12" s="0"/>
      <c r="SMK12" s="0"/>
      <c r="SML12" s="0"/>
      <c r="SMM12" s="0"/>
      <c r="SMN12" s="0"/>
      <c r="SMO12" s="0"/>
      <c r="SMP12" s="0"/>
      <c r="SMQ12" s="0"/>
      <c r="SMR12" s="0"/>
      <c r="SMS12" s="0"/>
      <c r="SMT12" s="0"/>
      <c r="SMU12" s="0"/>
      <c r="SMV12" s="0"/>
      <c r="SMW12" s="0"/>
      <c r="SMX12" s="0"/>
      <c r="SMY12" s="0"/>
      <c r="SMZ12" s="0"/>
      <c r="SNA12" s="0"/>
      <c r="SNB12" s="0"/>
      <c r="SNC12" s="0"/>
      <c r="SND12" s="0"/>
      <c r="SNE12" s="0"/>
      <c r="SNF12" s="0"/>
      <c r="SNG12" s="0"/>
      <c r="SNH12" s="0"/>
      <c r="SNI12" s="0"/>
      <c r="SNJ12" s="0"/>
      <c r="SNK12" s="0"/>
      <c r="SNL12" s="0"/>
      <c r="SNM12" s="0"/>
      <c r="SNN12" s="0"/>
      <c r="SNO12" s="0"/>
      <c r="SNP12" s="0"/>
      <c r="SNQ12" s="0"/>
      <c r="SNR12" s="0"/>
      <c r="SNS12" s="0"/>
      <c r="SNT12" s="0"/>
      <c r="SNU12" s="0"/>
      <c r="SNV12" s="0"/>
      <c r="SNW12" s="0"/>
      <c r="SNX12" s="0"/>
      <c r="SNY12" s="0"/>
      <c r="SNZ12" s="0"/>
      <c r="SOA12" s="0"/>
      <c r="SOB12" s="0"/>
      <c r="SOC12" s="0"/>
      <c r="SOD12" s="0"/>
      <c r="SOE12" s="0"/>
      <c r="SOF12" s="0"/>
      <c r="SOG12" s="0"/>
      <c r="SOH12" s="0"/>
      <c r="SOI12" s="0"/>
      <c r="SOJ12" s="0"/>
      <c r="SOK12" s="0"/>
      <c r="SOL12" s="0"/>
      <c r="SOM12" s="0"/>
      <c r="SON12" s="0"/>
      <c r="SOO12" s="0"/>
      <c r="SOP12" s="0"/>
      <c r="SOQ12" s="0"/>
      <c r="SOR12" s="0"/>
      <c r="SOS12" s="0"/>
      <c r="SOT12" s="0"/>
      <c r="SOU12" s="0"/>
      <c r="SOV12" s="0"/>
      <c r="SOW12" s="0"/>
      <c r="SOX12" s="0"/>
      <c r="SOY12" s="0"/>
      <c r="SOZ12" s="0"/>
      <c r="SPA12" s="0"/>
      <c r="SPB12" s="0"/>
      <c r="SPC12" s="0"/>
      <c r="SPD12" s="0"/>
      <c r="SPE12" s="0"/>
      <c r="SPF12" s="0"/>
      <c r="SPG12" s="0"/>
      <c r="SPH12" s="0"/>
      <c r="SPI12" s="0"/>
      <c r="SPJ12" s="0"/>
      <c r="SPK12" s="0"/>
      <c r="SPL12" s="0"/>
      <c r="SPM12" s="0"/>
      <c r="SPN12" s="0"/>
      <c r="SPO12" s="0"/>
      <c r="SPP12" s="0"/>
      <c r="SPQ12" s="0"/>
      <c r="SPR12" s="0"/>
      <c r="SPS12" s="0"/>
      <c r="SPT12" s="0"/>
      <c r="SPU12" s="0"/>
      <c r="SPV12" s="0"/>
      <c r="SPW12" s="0"/>
      <c r="SPX12" s="0"/>
      <c r="SPY12" s="0"/>
      <c r="SPZ12" s="0"/>
      <c r="SQA12" s="0"/>
      <c r="SQB12" s="0"/>
      <c r="SQC12" s="0"/>
      <c r="SQD12" s="0"/>
      <c r="SQE12" s="0"/>
      <c r="SQF12" s="0"/>
      <c r="SQG12" s="0"/>
      <c r="SQH12" s="0"/>
      <c r="SQI12" s="0"/>
      <c r="SQJ12" s="0"/>
      <c r="SQK12" s="0"/>
      <c r="SQL12" s="0"/>
      <c r="SQM12" s="0"/>
      <c r="SQN12" s="0"/>
      <c r="SQO12" s="0"/>
      <c r="SQP12" s="0"/>
      <c r="SQQ12" s="0"/>
      <c r="SQR12" s="0"/>
      <c r="SQS12" s="0"/>
      <c r="SQT12" s="0"/>
      <c r="SQU12" s="0"/>
      <c r="SQV12" s="0"/>
      <c r="SQW12" s="0"/>
      <c r="SQX12" s="0"/>
      <c r="SQY12" s="0"/>
      <c r="SQZ12" s="0"/>
      <c r="SRA12" s="0"/>
      <c r="SRB12" s="0"/>
      <c r="SRC12" s="0"/>
      <c r="SRD12" s="0"/>
      <c r="SRE12" s="0"/>
      <c r="SRF12" s="0"/>
      <c r="SRG12" s="0"/>
      <c r="SRH12" s="0"/>
      <c r="SRI12" s="0"/>
      <c r="SRJ12" s="0"/>
      <c r="SRK12" s="0"/>
      <c r="SRL12" s="0"/>
      <c r="SRM12" s="0"/>
      <c r="SRN12" s="0"/>
      <c r="SRO12" s="0"/>
      <c r="SRP12" s="0"/>
      <c r="SRQ12" s="0"/>
      <c r="SRR12" s="0"/>
      <c r="SRS12" s="0"/>
      <c r="SRT12" s="0"/>
      <c r="SRU12" s="0"/>
      <c r="SRV12" s="0"/>
      <c r="SRW12" s="0"/>
      <c r="SRX12" s="0"/>
      <c r="SRY12" s="0"/>
      <c r="SRZ12" s="0"/>
      <c r="SSA12" s="0"/>
      <c r="SSB12" s="0"/>
      <c r="SSC12" s="0"/>
      <c r="SSD12" s="0"/>
      <c r="SSE12" s="0"/>
      <c r="SSF12" s="0"/>
      <c r="SSG12" s="0"/>
      <c r="SSH12" s="0"/>
      <c r="SSI12" s="0"/>
      <c r="SSJ12" s="0"/>
      <c r="SSK12" s="0"/>
      <c r="SSL12" s="0"/>
      <c r="SSM12" s="0"/>
      <c r="SSN12" s="0"/>
      <c r="SSO12" s="0"/>
      <c r="SSP12" s="0"/>
      <c r="SSQ12" s="0"/>
      <c r="SSR12" s="0"/>
      <c r="SSS12" s="0"/>
      <c r="SST12" s="0"/>
      <c r="SSU12" s="0"/>
      <c r="SSV12" s="0"/>
      <c r="SSW12" s="0"/>
      <c r="SSX12" s="0"/>
      <c r="SSY12" s="0"/>
      <c r="SSZ12" s="0"/>
      <c r="STA12" s="0"/>
      <c r="STB12" s="0"/>
      <c r="STC12" s="0"/>
      <c r="STD12" s="0"/>
      <c r="STE12" s="0"/>
      <c r="STF12" s="0"/>
      <c r="STG12" s="0"/>
      <c r="STH12" s="0"/>
      <c r="STI12" s="0"/>
      <c r="STJ12" s="0"/>
      <c r="STK12" s="0"/>
      <c r="STL12" s="0"/>
      <c r="STM12" s="0"/>
      <c r="STN12" s="0"/>
      <c r="STO12" s="0"/>
      <c r="STP12" s="0"/>
      <c r="STQ12" s="0"/>
      <c r="STR12" s="0"/>
      <c r="STS12" s="0"/>
      <c r="STT12" s="0"/>
      <c r="STU12" s="0"/>
      <c r="STV12" s="0"/>
      <c r="STW12" s="0"/>
      <c r="STX12" s="0"/>
      <c r="STY12" s="0"/>
      <c r="STZ12" s="0"/>
      <c r="SUA12" s="0"/>
      <c r="SUB12" s="0"/>
      <c r="SUC12" s="0"/>
      <c r="SUD12" s="0"/>
      <c r="SUE12" s="0"/>
      <c r="SUF12" s="0"/>
      <c r="SUG12" s="0"/>
      <c r="SUH12" s="0"/>
      <c r="SUI12" s="0"/>
      <c r="SUJ12" s="0"/>
      <c r="SUK12" s="0"/>
      <c r="SUL12" s="0"/>
      <c r="SUM12" s="0"/>
      <c r="SUN12" s="0"/>
      <c r="SUO12" s="0"/>
      <c r="SUP12" s="0"/>
      <c r="SUQ12" s="0"/>
      <c r="SUR12" s="0"/>
      <c r="SUS12" s="0"/>
      <c r="SUT12" s="0"/>
      <c r="SUU12" s="0"/>
      <c r="SUV12" s="0"/>
      <c r="SUW12" s="0"/>
      <c r="SUX12" s="0"/>
      <c r="SUY12" s="0"/>
      <c r="SUZ12" s="0"/>
      <c r="SVA12" s="0"/>
      <c r="SVB12" s="0"/>
      <c r="SVC12" s="0"/>
      <c r="SVD12" s="0"/>
      <c r="SVE12" s="0"/>
      <c r="SVF12" s="0"/>
      <c r="SVG12" s="0"/>
      <c r="SVH12" s="0"/>
      <c r="SVI12" s="0"/>
      <c r="SVJ12" s="0"/>
      <c r="SVK12" s="0"/>
      <c r="SVL12" s="0"/>
      <c r="SVM12" s="0"/>
      <c r="SVN12" s="0"/>
      <c r="SVO12" s="0"/>
      <c r="SVP12" s="0"/>
      <c r="SVQ12" s="0"/>
      <c r="SVR12" s="0"/>
      <c r="SVS12" s="0"/>
      <c r="SVT12" s="0"/>
      <c r="SVU12" s="0"/>
      <c r="SVV12" s="0"/>
      <c r="SVW12" s="0"/>
      <c r="SVX12" s="0"/>
      <c r="SVY12" s="0"/>
      <c r="SVZ12" s="0"/>
      <c r="SWA12" s="0"/>
      <c r="SWB12" s="0"/>
      <c r="SWC12" s="0"/>
      <c r="SWD12" s="0"/>
      <c r="SWE12" s="0"/>
      <c r="SWF12" s="0"/>
      <c r="SWG12" s="0"/>
      <c r="SWH12" s="0"/>
      <c r="SWI12" s="0"/>
      <c r="SWJ12" s="0"/>
      <c r="SWK12" s="0"/>
      <c r="SWL12" s="0"/>
      <c r="SWM12" s="0"/>
      <c r="SWN12" s="0"/>
      <c r="SWO12" s="0"/>
      <c r="SWP12" s="0"/>
      <c r="SWQ12" s="0"/>
      <c r="SWR12" s="0"/>
      <c r="SWS12" s="0"/>
      <c r="SWT12" s="0"/>
      <c r="SWU12" s="0"/>
      <c r="SWV12" s="0"/>
      <c r="SWW12" s="0"/>
      <c r="SWX12" s="0"/>
      <c r="SWY12" s="0"/>
      <c r="SWZ12" s="0"/>
      <c r="SXA12" s="0"/>
      <c r="SXB12" s="0"/>
      <c r="SXC12" s="0"/>
      <c r="SXD12" s="0"/>
      <c r="SXE12" s="0"/>
      <c r="SXF12" s="0"/>
      <c r="SXG12" s="0"/>
      <c r="SXH12" s="0"/>
      <c r="SXI12" s="0"/>
      <c r="SXJ12" s="0"/>
      <c r="SXK12" s="0"/>
      <c r="SXL12" s="0"/>
      <c r="SXM12" s="0"/>
      <c r="SXN12" s="0"/>
      <c r="SXO12" s="0"/>
      <c r="SXP12" s="0"/>
      <c r="SXQ12" s="0"/>
      <c r="SXR12" s="0"/>
      <c r="SXS12" s="0"/>
      <c r="SXT12" s="0"/>
      <c r="SXU12" s="0"/>
      <c r="SXV12" s="0"/>
      <c r="SXW12" s="0"/>
      <c r="SXX12" s="0"/>
      <c r="SXY12" s="0"/>
      <c r="SXZ12" s="0"/>
      <c r="SYA12" s="0"/>
      <c r="SYB12" s="0"/>
      <c r="SYC12" s="0"/>
      <c r="SYD12" s="0"/>
      <c r="SYE12" s="0"/>
      <c r="SYF12" s="0"/>
      <c r="SYG12" s="0"/>
      <c r="SYH12" s="0"/>
      <c r="SYI12" s="0"/>
      <c r="SYJ12" s="0"/>
      <c r="SYK12" s="0"/>
      <c r="SYL12" s="0"/>
      <c r="SYM12" s="0"/>
      <c r="SYN12" s="0"/>
      <c r="SYO12" s="0"/>
      <c r="SYP12" s="0"/>
      <c r="SYQ12" s="0"/>
      <c r="SYR12" s="0"/>
      <c r="SYS12" s="0"/>
      <c r="SYT12" s="0"/>
      <c r="SYU12" s="0"/>
      <c r="SYV12" s="0"/>
      <c r="SYW12" s="0"/>
      <c r="SYX12" s="0"/>
      <c r="SYY12" s="0"/>
      <c r="SYZ12" s="0"/>
      <c r="SZA12" s="0"/>
      <c r="SZB12" s="0"/>
      <c r="SZC12" s="0"/>
      <c r="SZD12" s="0"/>
      <c r="SZE12" s="0"/>
      <c r="SZF12" s="0"/>
      <c r="SZG12" s="0"/>
      <c r="SZH12" s="0"/>
      <c r="SZI12" s="0"/>
      <c r="SZJ12" s="0"/>
      <c r="SZK12" s="0"/>
      <c r="SZL12" s="0"/>
      <c r="SZM12" s="0"/>
      <c r="SZN12" s="0"/>
      <c r="SZO12" s="0"/>
      <c r="SZP12" s="0"/>
      <c r="SZQ12" s="0"/>
      <c r="SZR12" s="0"/>
      <c r="SZS12" s="0"/>
      <c r="SZT12" s="0"/>
      <c r="SZU12" s="0"/>
      <c r="SZV12" s="0"/>
      <c r="SZW12" s="0"/>
      <c r="SZX12" s="0"/>
      <c r="SZY12" s="0"/>
      <c r="SZZ12" s="0"/>
      <c r="TAA12" s="0"/>
      <c r="TAB12" s="0"/>
      <c r="TAC12" s="0"/>
      <c r="TAD12" s="0"/>
      <c r="TAE12" s="0"/>
      <c r="TAF12" s="0"/>
      <c r="TAG12" s="0"/>
      <c r="TAH12" s="0"/>
      <c r="TAI12" s="0"/>
      <c r="TAJ12" s="0"/>
      <c r="TAK12" s="0"/>
      <c r="TAL12" s="0"/>
      <c r="TAM12" s="0"/>
      <c r="TAN12" s="0"/>
      <c r="TAO12" s="0"/>
      <c r="TAP12" s="0"/>
      <c r="TAQ12" s="0"/>
      <c r="TAR12" s="0"/>
      <c r="TAS12" s="0"/>
      <c r="TAT12" s="0"/>
      <c r="TAU12" s="0"/>
      <c r="TAV12" s="0"/>
      <c r="TAW12" s="0"/>
      <c r="TAX12" s="0"/>
      <c r="TAY12" s="0"/>
      <c r="TAZ12" s="0"/>
      <c r="TBA12" s="0"/>
      <c r="TBB12" s="0"/>
      <c r="TBC12" s="0"/>
      <c r="TBD12" s="0"/>
      <c r="TBE12" s="0"/>
      <c r="TBF12" s="0"/>
      <c r="TBG12" s="0"/>
      <c r="TBH12" s="0"/>
      <c r="TBI12" s="0"/>
      <c r="TBJ12" s="0"/>
      <c r="TBK12" s="0"/>
      <c r="TBL12" s="0"/>
      <c r="TBM12" s="0"/>
      <c r="TBN12" s="0"/>
      <c r="TBO12" s="0"/>
      <c r="TBP12" s="0"/>
      <c r="TBQ12" s="0"/>
      <c r="TBR12" s="0"/>
      <c r="TBS12" s="0"/>
      <c r="TBT12" s="0"/>
      <c r="TBU12" s="0"/>
      <c r="TBV12" s="0"/>
      <c r="TBW12" s="0"/>
      <c r="TBX12" s="0"/>
      <c r="TBY12" s="0"/>
      <c r="TBZ12" s="0"/>
      <c r="TCA12" s="0"/>
      <c r="TCB12" s="0"/>
      <c r="TCC12" s="0"/>
      <c r="TCD12" s="0"/>
      <c r="TCE12" s="0"/>
      <c r="TCF12" s="0"/>
      <c r="TCG12" s="0"/>
      <c r="TCH12" s="0"/>
      <c r="TCI12" s="0"/>
      <c r="TCJ12" s="0"/>
      <c r="TCK12" s="0"/>
      <c r="TCL12" s="0"/>
      <c r="TCM12" s="0"/>
      <c r="TCN12" s="0"/>
      <c r="TCO12" s="0"/>
      <c r="TCP12" s="0"/>
      <c r="TCQ12" s="0"/>
      <c r="TCR12" s="0"/>
      <c r="TCS12" s="0"/>
      <c r="TCT12" s="0"/>
      <c r="TCU12" s="0"/>
      <c r="TCV12" s="0"/>
      <c r="TCW12" s="0"/>
      <c r="TCX12" s="0"/>
      <c r="TCY12" s="0"/>
      <c r="TCZ12" s="0"/>
      <c r="TDA12" s="0"/>
      <c r="TDB12" s="0"/>
      <c r="TDC12" s="0"/>
      <c r="TDD12" s="0"/>
      <c r="TDE12" s="0"/>
      <c r="TDF12" s="0"/>
      <c r="TDG12" s="0"/>
      <c r="TDH12" s="0"/>
      <c r="TDI12" s="0"/>
      <c r="TDJ12" s="0"/>
      <c r="TDK12" s="0"/>
      <c r="TDL12" s="0"/>
      <c r="TDM12" s="0"/>
      <c r="TDN12" s="0"/>
      <c r="TDO12" s="0"/>
      <c r="TDP12" s="0"/>
      <c r="TDQ12" s="0"/>
      <c r="TDR12" s="0"/>
      <c r="TDS12" s="0"/>
      <c r="TDT12" s="0"/>
      <c r="TDU12" s="0"/>
      <c r="TDV12" s="0"/>
      <c r="TDW12" s="0"/>
      <c r="TDX12" s="0"/>
      <c r="TDY12" s="0"/>
      <c r="TDZ12" s="0"/>
      <c r="TEA12" s="0"/>
      <c r="TEB12" s="0"/>
      <c r="TEC12" s="0"/>
      <c r="TED12" s="0"/>
      <c r="TEE12" s="0"/>
      <c r="TEF12" s="0"/>
      <c r="TEG12" s="0"/>
      <c r="TEH12" s="0"/>
      <c r="TEI12" s="0"/>
      <c r="TEJ12" s="0"/>
      <c r="TEK12" s="0"/>
      <c r="TEL12" s="0"/>
      <c r="TEM12" s="0"/>
      <c r="TEN12" s="0"/>
      <c r="TEO12" s="0"/>
      <c r="TEP12" s="0"/>
      <c r="TEQ12" s="0"/>
      <c r="TER12" s="0"/>
      <c r="TES12" s="0"/>
      <c r="TET12" s="0"/>
      <c r="TEU12" s="0"/>
      <c r="TEV12" s="0"/>
      <c r="TEW12" s="0"/>
      <c r="TEX12" s="0"/>
      <c r="TEY12" s="0"/>
      <c r="TEZ12" s="0"/>
      <c r="TFA12" s="0"/>
      <c r="TFB12" s="0"/>
      <c r="TFC12" s="0"/>
      <c r="TFD12" s="0"/>
      <c r="TFE12" s="0"/>
      <c r="TFF12" s="0"/>
      <c r="TFG12" s="0"/>
      <c r="TFH12" s="0"/>
      <c r="TFI12" s="0"/>
      <c r="TFJ12" s="0"/>
      <c r="TFK12" s="0"/>
      <c r="TFL12" s="0"/>
      <c r="TFM12" s="0"/>
      <c r="TFN12" s="0"/>
      <c r="TFO12" s="0"/>
      <c r="TFP12" s="0"/>
      <c r="TFQ12" s="0"/>
      <c r="TFR12" s="0"/>
      <c r="TFS12" s="0"/>
      <c r="TFT12" s="0"/>
      <c r="TFU12" s="0"/>
      <c r="TFV12" s="0"/>
      <c r="TFW12" s="0"/>
      <c r="TFX12" s="0"/>
      <c r="TFY12" s="0"/>
      <c r="TFZ12" s="0"/>
      <c r="TGA12" s="0"/>
      <c r="TGB12" s="0"/>
      <c r="TGC12" s="0"/>
      <c r="TGD12" s="0"/>
      <c r="TGE12" s="0"/>
      <c r="TGF12" s="0"/>
      <c r="TGG12" s="0"/>
      <c r="TGH12" s="0"/>
      <c r="TGI12" s="0"/>
      <c r="TGJ12" s="0"/>
      <c r="TGK12" s="0"/>
      <c r="TGL12" s="0"/>
      <c r="TGM12" s="0"/>
      <c r="TGN12" s="0"/>
      <c r="TGO12" s="0"/>
      <c r="TGP12" s="0"/>
      <c r="TGQ12" s="0"/>
      <c r="TGR12" s="0"/>
      <c r="TGS12" s="0"/>
      <c r="TGT12" s="0"/>
      <c r="TGU12" s="0"/>
      <c r="TGV12" s="0"/>
      <c r="TGW12" s="0"/>
      <c r="TGX12" s="0"/>
      <c r="TGY12" s="0"/>
      <c r="TGZ12" s="0"/>
      <c r="THA12" s="0"/>
      <c r="THB12" s="0"/>
      <c r="THC12" s="0"/>
      <c r="THD12" s="0"/>
      <c r="THE12" s="0"/>
      <c r="THF12" s="0"/>
      <c r="THG12" s="0"/>
      <c r="THH12" s="0"/>
      <c r="THI12" s="0"/>
      <c r="THJ12" s="0"/>
      <c r="THK12" s="0"/>
      <c r="THL12" s="0"/>
      <c r="THM12" s="0"/>
      <c r="THN12" s="0"/>
      <c r="THO12" s="0"/>
      <c r="THP12" s="0"/>
      <c r="THQ12" s="0"/>
      <c r="THR12" s="0"/>
      <c r="THS12" s="0"/>
      <c r="THT12" s="0"/>
      <c r="THU12" s="0"/>
      <c r="THV12" s="0"/>
      <c r="THW12" s="0"/>
      <c r="THX12" s="0"/>
      <c r="THY12" s="0"/>
      <c r="THZ12" s="0"/>
      <c r="TIA12" s="0"/>
      <c r="TIB12" s="0"/>
      <c r="TIC12" s="0"/>
      <c r="TID12" s="0"/>
      <c r="TIE12" s="0"/>
      <c r="TIF12" s="0"/>
      <c r="TIG12" s="0"/>
      <c r="TIH12" s="0"/>
      <c r="TII12" s="0"/>
      <c r="TIJ12" s="0"/>
      <c r="TIK12" s="0"/>
      <c r="TIL12" s="0"/>
      <c r="TIM12" s="0"/>
      <c r="TIN12" s="0"/>
      <c r="TIO12" s="0"/>
      <c r="TIP12" s="0"/>
      <c r="TIQ12" s="0"/>
      <c r="TIR12" s="0"/>
      <c r="TIS12" s="0"/>
      <c r="TIT12" s="0"/>
      <c r="TIU12" s="0"/>
      <c r="TIV12" s="0"/>
      <c r="TIW12" s="0"/>
      <c r="TIX12" s="0"/>
      <c r="TIY12" s="0"/>
      <c r="TIZ12" s="0"/>
      <c r="TJA12" s="0"/>
      <c r="TJB12" s="0"/>
      <c r="TJC12" s="0"/>
      <c r="TJD12" s="0"/>
      <c r="TJE12" s="0"/>
      <c r="TJF12" s="0"/>
      <c r="TJG12" s="0"/>
      <c r="TJH12" s="0"/>
      <c r="TJI12" s="0"/>
      <c r="TJJ12" s="0"/>
      <c r="TJK12" s="0"/>
      <c r="TJL12" s="0"/>
      <c r="TJM12" s="0"/>
      <c r="TJN12" s="0"/>
      <c r="TJO12" s="0"/>
      <c r="TJP12" s="0"/>
      <c r="TJQ12" s="0"/>
      <c r="TJR12" s="0"/>
      <c r="TJS12" s="0"/>
      <c r="TJT12" s="0"/>
      <c r="TJU12" s="0"/>
      <c r="TJV12" s="0"/>
      <c r="TJW12" s="0"/>
      <c r="TJX12" s="0"/>
      <c r="TJY12" s="0"/>
      <c r="TJZ12" s="0"/>
      <c r="TKA12" s="0"/>
      <c r="TKB12" s="0"/>
      <c r="TKC12" s="0"/>
      <c r="TKD12" s="0"/>
      <c r="TKE12" s="0"/>
      <c r="TKF12" s="0"/>
      <c r="TKG12" s="0"/>
      <c r="TKH12" s="0"/>
      <c r="TKI12" s="0"/>
      <c r="TKJ12" s="0"/>
      <c r="TKK12" s="0"/>
      <c r="TKL12" s="0"/>
      <c r="TKM12" s="0"/>
      <c r="TKN12" s="0"/>
      <c r="TKO12" s="0"/>
      <c r="TKP12" s="0"/>
      <c r="TKQ12" s="0"/>
      <c r="TKR12" s="0"/>
      <c r="TKS12" s="0"/>
      <c r="TKT12" s="0"/>
      <c r="TKU12" s="0"/>
      <c r="TKV12" s="0"/>
      <c r="TKW12" s="0"/>
      <c r="TKX12" s="0"/>
      <c r="TKY12" s="0"/>
      <c r="TKZ12" s="0"/>
      <c r="TLA12" s="0"/>
      <c r="TLB12" s="0"/>
      <c r="TLC12" s="0"/>
      <c r="TLD12" s="0"/>
      <c r="TLE12" s="0"/>
      <c r="TLF12" s="0"/>
      <c r="TLG12" s="0"/>
      <c r="TLH12" s="0"/>
      <c r="TLI12" s="0"/>
      <c r="TLJ12" s="0"/>
      <c r="TLK12" s="0"/>
      <c r="TLL12" s="0"/>
      <c r="TLM12" s="0"/>
      <c r="TLN12" s="0"/>
      <c r="TLO12" s="0"/>
      <c r="TLP12" s="0"/>
      <c r="TLQ12" s="0"/>
      <c r="TLR12" s="0"/>
      <c r="TLS12" s="0"/>
      <c r="TLT12" s="0"/>
      <c r="TLU12" s="0"/>
      <c r="TLV12" s="0"/>
      <c r="TLW12" s="0"/>
      <c r="TLX12" s="0"/>
      <c r="TLY12" s="0"/>
      <c r="TLZ12" s="0"/>
      <c r="TMA12" s="0"/>
      <c r="TMB12" s="0"/>
      <c r="TMC12" s="0"/>
      <c r="TMD12" s="0"/>
      <c r="TME12" s="0"/>
      <c r="TMF12" s="0"/>
      <c r="TMG12" s="0"/>
      <c r="TMH12" s="0"/>
      <c r="TMI12" s="0"/>
      <c r="TMJ12" s="0"/>
      <c r="TMK12" s="0"/>
      <c r="TML12" s="0"/>
      <c r="TMM12" s="0"/>
      <c r="TMN12" s="0"/>
      <c r="TMO12" s="0"/>
      <c r="TMP12" s="0"/>
      <c r="TMQ12" s="0"/>
      <c r="TMR12" s="0"/>
      <c r="TMS12" s="0"/>
      <c r="TMT12" s="0"/>
      <c r="TMU12" s="0"/>
      <c r="TMV12" s="0"/>
      <c r="TMW12" s="0"/>
      <c r="TMX12" s="0"/>
      <c r="TMY12" s="0"/>
      <c r="TMZ12" s="0"/>
      <c r="TNA12" s="0"/>
      <c r="TNB12" s="0"/>
      <c r="TNC12" s="0"/>
      <c r="TND12" s="0"/>
      <c r="TNE12" s="0"/>
      <c r="TNF12" s="0"/>
      <c r="TNG12" s="0"/>
      <c r="TNH12" s="0"/>
      <c r="TNI12" s="0"/>
      <c r="TNJ12" s="0"/>
      <c r="TNK12" s="0"/>
      <c r="TNL12" s="0"/>
      <c r="TNM12" s="0"/>
      <c r="TNN12" s="0"/>
      <c r="TNO12" s="0"/>
      <c r="TNP12" s="0"/>
      <c r="TNQ12" s="0"/>
      <c r="TNR12" s="0"/>
      <c r="TNS12" s="0"/>
      <c r="TNT12" s="0"/>
      <c r="TNU12" s="0"/>
      <c r="TNV12" s="0"/>
      <c r="TNW12" s="0"/>
      <c r="TNX12" s="0"/>
      <c r="TNY12" s="0"/>
      <c r="TNZ12" s="0"/>
      <c r="TOA12" s="0"/>
      <c r="TOB12" s="0"/>
      <c r="TOC12" s="0"/>
      <c r="TOD12" s="0"/>
      <c r="TOE12" s="0"/>
      <c r="TOF12" s="0"/>
      <c r="TOG12" s="0"/>
      <c r="TOH12" s="0"/>
      <c r="TOI12" s="0"/>
      <c r="TOJ12" s="0"/>
      <c r="TOK12" s="0"/>
      <c r="TOL12" s="0"/>
      <c r="TOM12" s="0"/>
      <c r="TON12" s="0"/>
      <c r="TOO12" s="0"/>
      <c r="TOP12" s="0"/>
      <c r="TOQ12" s="0"/>
      <c r="TOR12" s="0"/>
      <c r="TOS12" s="0"/>
      <c r="TOT12" s="0"/>
      <c r="TOU12" s="0"/>
      <c r="TOV12" s="0"/>
      <c r="TOW12" s="0"/>
      <c r="TOX12" s="0"/>
      <c r="TOY12" s="0"/>
      <c r="TOZ12" s="0"/>
      <c r="TPA12" s="0"/>
      <c r="TPB12" s="0"/>
      <c r="TPC12" s="0"/>
      <c r="TPD12" s="0"/>
      <c r="TPE12" s="0"/>
      <c r="TPF12" s="0"/>
      <c r="TPG12" s="0"/>
      <c r="TPH12" s="0"/>
      <c r="TPI12" s="0"/>
      <c r="TPJ12" s="0"/>
      <c r="TPK12" s="0"/>
      <c r="TPL12" s="0"/>
      <c r="TPM12" s="0"/>
      <c r="TPN12" s="0"/>
      <c r="TPO12" s="0"/>
      <c r="TPP12" s="0"/>
      <c r="TPQ12" s="0"/>
      <c r="TPR12" s="0"/>
      <c r="TPS12" s="0"/>
      <c r="TPT12" s="0"/>
      <c r="TPU12" s="0"/>
      <c r="TPV12" s="0"/>
      <c r="TPW12" s="0"/>
      <c r="TPX12" s="0"/>
      <c r="TPY12" s="0"/>
      <c r="TPZ12" s="0"/>
      <c r="TQA12" s="0"/>
      <c r="TQB12" s="0"/>
      <c r="TQC12" s="0"/>
      <c r="TQD12" s="0"/>
      <c r="TQE12" s="0"/>
      <c r="TQF12" s="0"/>
      <c r="TQG12" s="0"/>
      <c r="TQH12" s="0"/>
      <c r="TQI12" s="0"/>
      <c r="TQJ12" s="0"/>
      <c r="TQK12" s="0"/>
      <c r="TQL12" s="0"/>
      <c r="TQM12" s="0"/>
      <c r="TQN12" s="0"/>
      <c r="TQO12" s="0"/>
      <c r="TQP12" s="0"/>
      <c r="TQQ12" s="0"/>
      <c r="TQR12" s="0"/>
      <c r="TQS12" s="0"/>
      <c r="TQT12" s="0"/>
      <c r="TQU12" s="0"/>
      <c r="TQV12" s="0"/>
      <c r="TQW12" s="0"/>
      <c r="TQX12" s="0"/>
      <c r="TQY12" s="0"/>
      <c r="TQZ12" s="0"/>
      <c r="TRA12" s="0"/>
      <c r="TRB12" s="0"/>
      <c r="TRC12" s="0"/>
      <c r="TRD12" s="0"/>
      <c r="TRE12" s="0"/>
      <c r="TRF12" s="0"/>
      <c r="TRG12" s="0"/>
      <c r="TRH12" s="0"/>
      <c r="TRI12" s="0"/>
      <c r="TRJ12" s="0"/>
      <c r="TRK12" s="0"/>
      <c r="TRL12" s="0"/>
      <c r="TRM12" s="0"/>
      <c r="TRN12" s="0"/>
      <c r="TRO12" s="0"/>
      <c r="TRP12" s="0"/>
      <c r="TRQ12" s="0"/>
      <c r="TRR12" s="0"/>
      <c r="TRS12" s="0"/>
      <c r="TRT12" s="0"/>
      <c r="TRU12" s="0"/>
      <c r="TRV12" s="0"/>
      <c r="TRW12" s="0"/>
      <c r="TRX12" s="0"/>
      <c r="TRY12" s="0"/>
      <c r="TRZ12" s="0"/>
      <c r="TSA12" s="0"/>
      <c r="TSB12" s="0"/>
      <c r="TSC12" s="0"/>
      <c r="TSD12" s="0"/>
      <c r="TSE12" s="0"/>
      <c r="TSF12" s="0"/>
      <c r="TSG12" s="0"/>
      <c r="TSH12" s="0"/>
      <c r="TSI12" s="0"/>
      <c r="TSJ12" s="0"/>
      <c r="TSK12" s="0"/>
      <c r="TSL12" s="0"/>
      <c r="TSM12" s="0"/>
      <c r="TSN12" s="0"/>
      <c r="TSO12" s="0"/>
      <c r="TSP12" s="0"/>
      <c r="TSQ12" s="0"/>
      <c r="TSR12" s="0"/>
      <c r="TSS12" s="0"/>
      <c r="TST12" s="0"/>
      <c r="TSU12" s="0"/>
      <c r="TSV12" s="0"/>
      <c r="TSW12" s="0"/>
      <c r="TSX12" s="0"/>
      <c r="TSY12" s="0"/>
      <c r="TSZ12" s="0"/>
      <c r="TTA12" s="0"/>
      <c r="TTB12" s="0"/>
      <c r="TTC12" s="0"/>
      <c r="TTD12" s="0"/>
      <c r="TTE12" s="0"/>
      <c r="TTF12" s="0"/>
      <c r="TTG12" s="0"/>
      <c r="TTH12" s="0"/>
      <c r="TTI12" s="0"/>
      <c r="TTJ12" s="0"/>
      <c r="TTK12" s="0"/>
      <c r="TTL12" s="0"/>
      <c r="TTM12" s="0"/>
      <c r="TTN12" s="0"/>
      <c r="TTO12" s="0"/>
      <c r="TTP12" s="0"/>
      <c r="TTQ12" s="0"/>
      <c r="TTR12" s="0"/>
      <c r="TTS12" s="0"/>
      <c r="TTT12" s="0"/>
      <c r="TTU12" s="0"/>
      <c r="TTV12" s="0"/>
      <c r="TTW12" s="0"/>
      <c r="TTX12" s="0"/>
      <c r="TTY12" s="0"/>
      <c r="TTZ12" s="0"/>
      <c r="TUA12" s="0"/>
      <c r="TUB12" s="0"/>
      <c r="TUC12" s="0"/>
      <c r="TUD12" s="0"/>
      <c r="TUE12" s="0"/>
      <c r="TUF12" s="0"/>
      <c r="TUG12" s="0"/>
      <c r="TUH12" s="0"/>
      <c r="TUI12" s="0"/>
      <c r="TUJ12" s="0"/>
      <c r="TUK12" s="0"/>
      <c r="TUL12" s="0"/>
      <c r="TUM12" s="0"/>
      <c r="TUN12" s="0"/>
      <c r="TUO12" s="0"/>
      <c r="TUP12" s="0"/>
      <c r="TUQ12" s="0"/>
      <c r="TUR12" s="0"/>
      <c r="TUS12" s="0"/>
      <c r="TUT12" s="0"/>
      <c r="TUU12" s="0"/>
      <c r="TUV12" s="0"/>
      <c r="TUW12" s="0"/>
      <c r="TUX12" s="0"/>
      <c r="TUY12" s="0"/>
      <c r="TUZ12" s="0"/>
      <c r="TVA12" s="0"/>
      <c r="TVB12" s="0"/>
      <c r="TVC12" s="0"/>
      <c r="TVD12" s="0"/>
      <c r="TVE12" s="0"/>
      <c r="TVF12" s="0"/>
      <c r="TVG12" s="0"/>
      <c r="TVH12" s="0"/>
      <c r="TVI12" s="0"/>
      <c r="TVJ12" s="0"/>
      <c r="TVK12" s="0"/>
      <c r="TVL12" s="0"/>
      <c r="TVM12" s="0"/>
      <c r="TVN12" s="0"/>
      <c r="TVO12" s="0"/>
      <c r="TVP12" s="0"/>
      <c r="TVQ12" s="0"/>
      <c r="TVR12" s="0"/>
      <c r="TVS12" s="0"/>
      <c r="TVT12" s="0"/>
      <c r="TVU12" s="0"/>
      <c r="TVV12" s="0"/>
      <c r="TVW12" s="0"/>
      <c r="TVX12" s="0"/>
      <c r="TVY12" s="0"/>
      <c r="TVZ12" s="0"/>
      <c r="TWA12" s="0"/>
      <c r="TWB12" s="0"/>
      <c r="TWC12" s="0"/>
      <c r="TWD12" s="0"/>
      <c r="TWE12" s="0"/>
      <c r="TWF12" s="0"/>
      <c r="TWG12" s="0"/>
      <c r="TWH12" s="0"/>
      <c r="TWI12" s="0"/>
      <c r="TWJ12" s="0"/>
      <c r="TWK12" s="0"/>
      <c r="TWL12" s="0"/>
      <c r="TWM12" s="0"/>
      <c r="TWN12" s="0"/>
      <c r="TWO12" s="0"/>
      <c r="TWP12" s="0"/>
      <c r="TWQ12" s="0"/>
      <c r="TWR12" s="0"/>
      <c r="TWS12" s="0"/>
      <c r="TWT12" s="0"/>
      <c r="TWU12" s="0"/>
      <c r="TWV12" s="0"/>
      <c r="TWW12" s="0"/>
      <c r="TWX12" s="0"/>
      <c r="TWY12" s="0"/>
      <c r="TWZ12" s="0"/>
      <c r="TXA12" s="0"/>
      <c r="TXB12" s="0"/>
      <c r="TXC12" s="0"/>
      <c r="TXD12" s="0"/>
      <c r="TXE12" s="0"/>
      <c r="TXF12" s="0"/>
      <c r="TXG12" s="0"/>
      <c r="TXH12" s="0"/>
      <c r="TXI12" s="0"/>
      <c r="TXJ12" s="0"/>
      <c r="TXK12" s="0"/>
      <c r="TXL12" s="0"/>
      <c r="TXM12" s="0"/>
      <c r="TXN12" s="0"/>
      <c r="TXO12" s="0"/>
      <c r="TXP12" s="0"/>
      <c r="TXQ12" s="0"/>
      <c r="TXR12" s="0"/>
      <c r="TXS12" s="0"/>
      <c r="TXT12" s="0"/>
      <c r="TXU12" s="0"/>
      <c r="TXV12" s="0"/>
      <c r="TXW12" s="0"/>
      <c r="TXX12" s="0"/>
      <c r="TXY12" s="0"/>
      <c r="TXZ12" s="0"/>
      <c r="TYA12" s="0"/>
      <c r="TYB12" s="0"/>
      <c r="TYC12" s="0"/>
      <c r="TYD12" s="0"/>
      <c r="TYE12" s="0"/>
      <c r="TYF12" s="0"/>
      <c r="TYG12" s="0"/>
      <c r="TYH12" s="0"/>
      <c r="TYI12" s="0"/>
      <c r="TYJ12" s="0"/>
      <c r="TYK12" s="0"/>
      <c r="TYL12" s="0"/>
      <c r="TYM12" s="0"/>
      <c r="TYN12" s="0"/>
      <c r="TYO12" s="0"/>
      <c r="TYP12" s="0"/>
      <c r="TYQ12" s="0"/>
      <c r="TYR12" s="0"/>
      <c r="TYS12" s="0"/>
      <c r="TYT12" s="0"/>
      <c r="TYU12" s="0"/>
      <c r="TYV12" s="0"/>
      <c r="TYW12" s="0"/>
      <c r="TYX12" s="0"/>
      <c r="TYY12" s="0"/>
      <c r="TYZ12" s="0"/>
      <c r="TZA12" s="0"/>
      <c r="TZB12" s="0"/>
      <c r="TZC12" s="0"/>
      <c r="TZD12" s="0"/>
      <c r="TZE12" s="0"/>
      <c r="TZF12" s="0"/>
      <c r="TZG12" s="0"/>
      <c r="TZH12" s="0"/>
      <c r="TZI12" s="0"/>
      <c r="TZJ12" s="0"/>
      <c r="TZK12" s="0"/>
      <c r="TZL12" s="0"/>
      <c r="TZM12" s="0"/>
      <c r="TZN12" s="0"/>
      <c r="TZO12" s="0"/>
      <c r="TZP12" s="0"/>
      <c r="TZQ12" s="0"/>
      <c r="TZR12" s="0"/>
      <c r="TZS12" s="0"/>
      <c r="TZT12" s="0"/>
      <c r="TZU12" s="0"/>
      <c r="TZV12" s="0"/>
      <c r="TZW12" s="0"/>
      <c r="TZX12" s="0"/>
      <c r="TZY12" s="0"/>
      <c r="TZZ12" s="0"/>
      <c r="UAA12" s="0"/>
      <c r="UAB12" s="0"/>
      <c r="UAC12" s="0"/>
      <c r="UAD12" s="0"/>
      <c r="UAE12" s="0"/>
      <c r="UAF12" s="0"/>
      <c r="UAG12" s="0"/>
      <c r="UAH12" s="0"/>
      <c r="UAI12" s="0"/>
      <c r="UAJ12" s="0"/>
      <c r="UAK12" s="0"/>
      <c r="UAL12" s="0"/>
      <c r="UAM12" s="0"/>
      <c r="UAN12" s="0"/>
      <c r="UAO12" s="0"/>
      <c r="UAP12" s="0"/>
      <c r="UAQ12" s="0"/>
      <c r="UAR12" s="0"/>
      <c r="UAS12" s="0"/>
      <c r="UAT12" s="0"/>
      <c r="UAU12" s="0"/>
      <c r="UAV12" s="0"/>
      <c r="UAW12" s="0"/>
      <c r="UAX12" s="0"/>
      <c r="UAY12" s="0"/>
      <c r="UAZ12" s="0"/>
      <c r="UBA12" s="0"/>
      <c r="UBB12" s="0"/>
      <c r="UBC12" s="0"/>
      <c r="UBD12" s="0"/>
      <c r="UBE12" s="0"/>
      <c r="UBF12" s="0"/>
      <c r="UBG12" s="0"/>
      <c r="UBH12" s="0"/>
      <c r="UBI12" s="0"/>
      <c r="UBJ12" s="0"/>
      <c r="UBK12" s="0"/>
      <c r="UBL12" s="0"/>
      <c r="UBM12" s="0"/>
      <c r="UBN12" s="0"/>
      <c r="UBO12" s="0"/>
      <c r="UBP12" s="0"/>
      <c r="UBQ12" s="0"/>
      <c r="UBR12" s="0"/>
      <c r="UBS12" s="0"/>
      <c r="UBT12" s="0"/>
      <c r="UBU12" s="0"/>
      <c r="UBV12" s="0"/>
      <c r="UBW12" s="0"/>
      <c r="UBX12" s="0"/>
      <c r="UBY12" s="0"/>
      <c r="UBZ12" s="0"/>
      <c r="UCA12" s="0"/>
      <c r="UCB12" s="0"/>
      <c r="UCC12" s="0"/>
      <c r="UCD12" s="0"/>
      <c r="UCE12" s="0"/>
      <c r="UCF12" s="0"/>
      <c r="UCG12" s="0"/>
      <c r="UCH12" s="0"/>
      <c r="UCI12" s="0"/>
      <c r="UCJ12" s="0"/>
      <c r="UCK12" s="0"/>
      <c r="UCL12" s="0"/>
      <c r="UCM12" s="0"/>
      <c r="UCN12" s="0"/>
      <c r="UCO12" s="0"/>
      <c r="UCP12" s="0"/>
      <c r="UCQ12" s="0"/>
      <c r="UCR12" s="0"/>
      <c r="UCS12" s="0"/>
      <c r="UCT12" s="0"/>
      <c r="UCU12" s="0"/>
      <c r="UCV12" s="0"/>
      <c r="UCW12" s="0"/>
      <c r="UCX12" s="0"/>
      <c r="UCY12" s="0"/>
      <c r="UCZ12" s="0"/>
      <c r="UDA12" s="0"/>
      <c r="UDB12" s="0"/>
      <c r="UDC12" s="0"/>
      <c r="UDD12" s="0"/>
      <c r="UDE12" s="0"/>
      <c r="UDF12" s="0"/>
      <c r="UDG12" s="0"/>
      <c r="UDH12" s="0"/>
      <c r="UDI12" s="0"/>
      <c r="UDJ12" s="0"/>
      <c r="UDK12" s="0"/>
      <c r="UDL12" s="0"/>
      <c r="UDM12" s="0"/>
      <c r="UDN12" s="0"/>
      <c r="UDO12" s="0"/>
      <c r="UDP12" s="0"/>
      <c r="UDQ12" s="0"/>
      <c r="UDR12" s="0"/>
      <c r="UDS12" s="0"/>
      <c r="UDT12" s="0"/>
      <c r="UDU12" s="0"/>
      <c r="UDV12" s="0"/>
      <c r="UDW12" s="0"/>
      <c r="UDX12" s="0"/>
      <c r="UDY12" s="0"/>
      <c r="UDZ12" s="0"/>
      <c r="UEA12" s="0"/>
      <c r="UEB12" s="0"/>
      <c r="UEC12" s="0"/>
      <c r="UED12" s="0"/>
      <c r="UEE12" s="0"/>
      <c r="UEF12" s="0"/>
      <c r="UEG12" s="0"/>
      <c r="UEH12" s="0"/>
      <c r="UEI12" s="0"/>
      <c r="UEJ12" s="0"/>
      <c r="UEK12" s="0"/>
      <c r="UEL12" s="0"/>
      <c r="UEM12" s="0"/>
      <c r="UEN12" s="0"/>
      <c r="UEO12" s="0"/>
      <c r="UEP12" s="0"/>
      <c r="UEQ12" s="0"/>
      <c r="UER12" s="0"/>
      <c r="UES12" s="0"/>
      <c r="UET12" s="0"/>
      <c r="UEU12" s="0"/>
      <c r="UEV12" s="0"/>
      <c r="UEW12" s="0"/>
      <c r="UEX12" s="0"/>
      <c r="UEY12" s="0"/>
      <c r="UEZ12" s="0"/>
      <c r="UFA12" s="0"/>
      <c r="UFB12" s="0"/>
      <c r="UFC12" s="0"/>
      <c r="UFD12" s="0"/>
      <c r="UFE12" s="0"/>
      <c r="UFF12" s="0"/>
      <c r="UFG12" s="0"/>
      <c r="UFH12" s="0"/>
      <c r="UFI12" s="0"/>
      <c r="UFJ12" s="0"/>
      <c r="UFK12" s="0"/>
      <c r="UFL12" s="0"/>
      <c r="UFM12" s="0"/>
      <c r="UFN12" s="0"/>
      <c r="UFO12" s="0"/>
      <c r="UFP12" s="0"/>
      <c r="UFQ12" s="0"/>
      <c r="UFR12" s="0"/>
      <c r="UFS12" s="0"/>
      <c r="UFT12" s="0"/>
      <c r="UFU12" s="0"/>
      <c r="UFV12" s="0"/>
      <c r="UFW12" s="0"/>
      <c r="UFX12" s="0"/>
      <c r="UFY12" s="0"/>
      <c r="UFZ12" s="0"/>
      <c r="UGA12" s="0"/>
      <c r="UGB12" s="0"/>
      <c r="UGC12" s="0"/>
      <c r="UGD12" s="0"/>
      <c r="UGE12" s="0"/>
      <c r="UGF12" s="0"/>
      <c r="UGG12" s="0"/>
      <c r="UGH12" s="0"/>
      <c r="UGI12" s="0"/>
      <c r="UGJ12" s="0"/>
      <c r="UGK12" s="0"/>
      <c r="UGL12" s="0"/>
      <c r="UGM12" s="0"/>
      <c r="UGN12" s="0"/>
      <c r="UGO12" s="0"/>
      <c r="UGP12" s="0"/>
      <c r="UGQ12" s="0"/>
      <c r="UGR12" s="0"/>
      <c r="UGS12" s="0"/>
      <c r="UGT12" s="0"/>
      <c r="UGU12" s="0"/>
      <c r="UGV12" s="0"/>
      <c r="UGW12" s="0"/>
      <c r="UGX12" s="0"/>
      <c r="UGY12" s="0"/>
      <c r="UGZ12" s="0"/>
      <c r="UHA12" s="0"/>
      <c r="UHB12" s="0"/>
      <c r="UHC12" s="0"/>
      <c r="UHD12" s="0"/>
      <c r="UHE12" s="0"/>
      <c r="UHF12" s="0"/>
      <c r="UHG12" s="0"/>
      <c r="UHH12" s="0"/>
      <c r="UHI12" s="0"/>
      <c r="UHJ12" s="0"/>
      <c r="UHK12" s="0"/>
      <c r="UHL12" s="0"/>
      <c r="UHM12" s="0"/>
      <c r="UHN12" s="0"/>
      <c r="UHO12" s="0"/>
      <c r="UHP12" s="0"/>
      <c r="UHQ12" s="0"/>
      <c r="UHR12" s="0"/>
      <c r="UHS12" s="0"/>
      <c r="UHT12" s="0"/>
      <c r="UHU12" s="0"/>
      <c r="UHV12" s="0"/>
      <c r="UHW12" s="0"/>
      <c r="UHX12" s="0"/>
      <c r="UHY12" s="0"/>
      <c r="UHZ12" s="0"/>
      <c r="UIA12" s="0"/>
      <c r="UIB12" s="0"/>
      <c r="UIC12" s="0"/>
      <c r="UID12" s="0"/>
      <c r="UIE12" s="0"/>
      <c r="UIF12" s="0"/>
      <c r="UIG12" s="0"/>
      <c r="UIH12" s="0"/>
      <c r="UII12" s="0"/>
      <c r="UIJ12" s="0"/>
      <c r="UIK12" s="0"/>
      <c r="UIL12" s="0"/>
      <c r="UIM12" s="0"/>
      <c r="UIN12" s="0"/>
      <c r="UIO12" s="0"/>
      <c r="UIP12" s="0"/>
      <c r="UIQ12" s="0"/>
      <c r="UIR12" s="0"/>
      <c r="UIS12" s="0"/>
      <c r="UIT12" s="0"/>
      <c r="UIU12" s="0"/>
      <c r="UIV12" s="0"/>
      <c r="UIW12" s="0"/>
      <c r="UIX12" s="0"/>
      <c r="UIY12" s="0"/>
      <c r="UIZ12" s="0"/>
      <c r="UJA12" s="0"/>
      <c r="UJB12" s="0"/>
      <c r="UJC12" s="0"/>
      <c r="UJD12" s="0"/>
      <c r="UJE12" s="0"/>
      <c r="UJF12" s="0"/>
      <c r="UJG12" s="0"/>
      <c r="UJH12" s="0"/>
      <c r="UJI12" s="0"/>
      <c r="UJJ12" s="0"/>
      <c r="UJK12" s="0"/>
      <c r="UJL12" s="0"/>
      <c r="UJM12" s="0"/>
      <c r="UJN12" s="0"/>
      <c r="UJO12" s="0"/>
      <c r="UJP12" s="0"/>
      <c r="UJQ12" s="0"/>
      <c r="UJR12" s="0"/>
      <c r="UJS12" s="0"/>
      <c r="UJT12" s="0"/>
      <c r="UJU12" s="0"/>
      <c r="UJV12" s="0"/>
      <c r="UJW12" s="0"/>
      <c r="UJX12" s="0"/>
      <c r="UJY12" s="0"/>
      <c r="UJZ12" s="0"/>
      <c r="UKA12" s="0"/>
      <c r="UKB12" s="0"/>
      <c r="UKC12" s="0"/>
      <c r="UKD12" s="0"/>
      <c r="UKE12" s="0"/>
      <c r="UKF12" s="0"/>
      <c r="UKG12" s="0"/>
      <c r="UKH12" s="0"/>
      <c r="UKI12" s="0"/>
      <c r="UKJ12" s="0"/>
      <c r="UKK12" s="0"/>
      <c r="UKL12" s="0"/>
      <c r="UKM12" s="0"/>
      <c r="UKN12" s="0"/>
      <c r="UKO12" s="0"/>
      <c r="UKP12" s="0"/>
      <c r="UKQ12" s="0"/>
      <c r="UKR12" s="0"/>
      <c r="UKS12" s="0"/>
      <c r="UKT12" s="0"/>
      <c r="UKU12" s="0"/>
      <c r="UKV12" s="0"/>
      <c r="UKW12" s="0"/>
      <c r="UKX12" s="0"/>
      <c r="UKY12" s="0"/>
      <c r="UKZ12" s="0"/>
      <c r="ULA12" s="0"/>
      <c r="ULB12" s="0"/>
      <c r="ULC12" s="0"/>
      <c r="ULD12" s="0"/>
      <c r="ULE12" s="0"/>
      <c r="ULF12" s="0"/>
      <c r="ULG12" s="0"/>
      <c r="ULH12" s="0"/>
      <c r="ULI12" s="0"/>
      <c r="ULJ12" s="0"/>
      <c r="ULK12" s="0"/>
      <c r="ULL12" s="0"/>
      <c r="ULM12" s="0"/>
      <c r="ULN12" s="0"/>
      <c r="ULO12" s="0"/>
      <c r="ULP12" s="0"/>
      <c r="ULQ12" s="0"/>
      <c r="ULR12" s="0"/>
      <c r="ULS12" s="0"/>
      <c r="ULT12" s="0"/>
      <c r="ULU12" s="0"/>
      <c r="ULV12" s="0"/>
      <c r="ULW12" s="0"/>
      <c r="ULX12" s="0"/>
      <c r="ULY12" s="0"/>
      <c r="ULZ12" s="0"/>
      <c r="UMA12" s="0"/>
      <c r="UMB12" s="0"/>
      <c r="UMC12" s="0"/>
      <c r="UMD12" s="0"/>
      <c r="UME12" s="0"/>
      <c r="UMF12" s="0"/>
      <c r="UMG12" s="0"/>
      <c r="UMH12" s="0"/>
      <c r="UMI12" s="0"/>
      <c r="UMJ12" s="0"/>
      <c r="UMK12" s="0"/>
      <c r="UML12" s="0"/>
      <c r="UMM12" s="0"/>
      <c r="UMN12" s="0"/>
      <c r="UMO12" s="0"/>
      <c r="UMP12" s="0"/>
      <c r="UMQ12" s="0"/>
      <c r="UMR12" s="0"/>
      <c r="UMS12" s="0"/>
      <c r="UMT12" s="0"/>
      <c r="UMU12" s="0"/>
      <c r="UMV12" s="0"/>
      <c r="UMW12" s="0"/>
      <c r="UMX12" s="0"/>
      <c r="UMY12" s="0"/>
      <c r="UMZ12" s="0"/>
      <c r="UNA12" s="0"/>
      <c r="UNB12" s="0"/>
      <c r="UNC12" s="0"/>
      <c r="UND12" s="0"/>
      <c r="UNE12" s="0"/>
      <c r="UNF12" s="0"/>
      <c r="UNG12" s="0"/>
      <c r="UNH12" s="0"/>
      <c r="UNI12" s="0"/>
      <c r="UNJ12" s="0"/>
      <c r="UNK12" s="0"/>
      <c r="UNL12" s="0"/>
      <c r="UNM12" s="0"/>
      <c r="UNN12" s="0"/>
      <c r="UNO12" s="0"/>
      <c r="UNP12" s="0"/>
      <c r="UNQ12" s="0"/>
      <c r="UNR12" s="0"/>
      <c r="UNS12" s="0"/>
      <c r="UNT12" s="0"/>
      <c r="UNU12" s="0"/>
      <c r="UNV12" s="0"/>
      <c r="UNW12" s="0"/>
      <c r="UNX12" s="0"/>
      <c r="UNY12" s="0"/>
      <c r="UNZ12" s="0"/>
      <c r="UOA12" s="0"/>
      <c r="UOB12" s="0"/>
      <c r="UOC12" s="0"/>
      <c r="UOD12" s="0"/>
      <c r="UOE12" s="0"/>
      <c r="UOF12" s="0"/>
      <c r="UOG12" s="0"/>
      <c r="UOH12" s="0"/>
      <c r="UOI12" s="0"/>
      <c r="UOJ12" s="0"/>
      <c r="UOK12" s="0"/>
      <c r="UOL12" s="0"/>
      <c r="UOM12" s="0"/>
      <c r="UON12" s="0"/>
      <c r="UOO12" s="0"/>
      <c r="UOP12" s="0"/>
      <c r="UOQ12" s="0"/>
      <c r="UOR12" s="0"/>
      <c r="UOS12" s="0"/>
      <c r="UOT12" s="0"/>
      <c r="UOU12" s="0"/>
      <c r="UOV12" s="0"/>
      <c r="UOW12" s="0"/>
      <c r="UOX12" s="0"/>
      <c r="UOY12" s="0"/>
      <c r="UOZ12" s="0"/>
      <c r="UPA12" s="0"/>
      <c r="UPB12" s="0"/>
      <c r="UPC12" s="0"/>
      <c r="UPD12" s="0"/>
      <c r="UPE12" s="0"/>
      <c r="UPF12" s="0"/>
      <c r="UPG12" s="0"/>
      <c r="UPH12" s="0"/>
      <c r="UPI12" s="0"/>
      <c r="UPJ12" s="0"/>
      <c r="UPK12" s="0"/>
      <c r="UPL12" s="0"/>
      <c r="UPM12" s="0"/>
      <c r="UPN12" s="0"/>
      <c r="UPO12" s="0"/>
      <c r="UPP12" s="0"/>
      <c r="UPQ12" s="0"/>
      <c r="UPR12" s="0"/>
      <c r="UPS12" s="0"/>
      <c r="UPT12" s="0"/>
      <c r="UPU12" s="0"/>
      <c r="UPV12" s="0"/>
      <c r="UPW12" s="0"/>
      <c r="UPX12" s="0"/>
      <c r="UPY12" s="0"/>
      <c r="UPZ12" s="0"/>
      <c r="UQA12" s="0"/>
      <c r="UQB12" s="0"/>
      <c r="UQC12" s="0"/>
      <c r="UQD12" s="0"/>
      <c r="UQE12" s="0"/>
      <c r="UQF12" s="0"/>
      <c r="UQG12" s="0"/>
      <c r="UQH12" s="0"/>
      <c r="UQI12" s="0"/>
      <c r="UQJ12" s="0"/>
      <c r="UQK12" s="0"/>
      <c r="UQL12" s="0"/>
      <c r="UQM12" s="0"/>
      <c r="UQN12" s="0"/>
      <c r="UQO12" s="0"/>
      <c r="UQP12" s="0"/>
      <c r="UQQ12" s="0"/>
      <c r="UQR12" s="0"/>
      <c r="UQS12" s="0"/>
      <c r="UQT12" s="0"/>
      <c r="UQU12" s="0"/>
      <c r="UQV12" s="0"/>
      <c r="UQW12" s="0"/>
      <c r="UQX12" s="0"/>
      <c r="UQY12" s="0"/>
      <c r="UQZ12" s="0"/>
      <c r="URA12" s="0"/>
      <c r="URB12" s="0"/>
      <c r="URC12" s="0"/>
      <c r="URD12" s="0"/>
      <c r="URE12" s="0"/>
      <c r="URF12" s="0"/>
      <c r="URG12" s="0"/>
      <c r="URH12" s="0"/>
      <c r="URI12" s="0"/>
      <c r="URJ12" s="0"/>
      <c r="URK12" s="0"/>
      <c r="URL12" s="0"/>
      <c r="URM12" s="0"/>
      <c r="URN12" s="0"/>
      <c r="URO12" s="0"/>
      <c r="URP12" s="0"/>
      <c r="URQ12" s="0"/>
      <c r="URR12" s="0"/>
      <c r="URS12" s="0"/>
      <c r="URT12" s="0"/>
      <c r="URU12" s="0"/>
      <c r="URV12" s="0"/>
      <c r="URW12" s="0"/>
      <c r="URX12" s="0"/>
      <c r="URY12" s="0"/>
      <c r="URZ12" s="0"/>
      <c r="USA12" s="0"/>
      <c r="USB12" s="0"/>
      <c r="USC12" s="0"/>
      <c r="USD12" s="0"/>
      <c r="USE12" s="0"/>
      <c r="USF12" s="0"/>
      <c r="USG12" s="0"/>
      <c r="USH12" s="0"/>
      <c r="USI12" s="0"/>
      <c r="USJ12" s="0"/>
      <c r="USK12" s="0"/>
      <c r="USL12" s="0"/>
      <c r="USM12" s="0"/>
      <c r="USN12" s="0"/>
      <c r="USO12" s="0"/>
      <c r="USP12" s="0"/>
      <c r="USQ12" s="0"/>
      <c r="USR12" s="0"/>
      <c r="USS12" s="0"/>
      <c r="UST12" s="0"/>
      <c r="USU12" s="0"/>
      <c r="USV12" s="0"/>
      <c r="USW12" s="0"/>
      <c r="USX12" s="0"/>
      <c r="USY12" s="0"/>
      <c r="USZ12" s="0"/>
      <c r="UTA12" s="0"/>
      <c r="UTB12" s="0"/>
      <c r="UTC12" s="0"/>
      <c r="UTD12" s="0"/>
      <c r="UTE12" s="0"/>
      <c r="UTF12" s="0"/>
      <c r="UTG12" s="0"/>
      <c r="UTH12" s="0"/>
      <c r="UTI12" s="0"/>
      <c r="UTJ12" s="0"/>
      <c r="UTK12" s="0"/>
      <c r="UTL12" s="0"/>
      <c r="UTM12" s="0"/>
      <c r="UTN12" s="0"/>
      <c r="UTO12" s="0"/>
      <c r="UTP12" s="0"/>
      <c r="UTQ12" s="0"/>
      <c r="UTR12" s="0"/>
      <c r="UTS12" s="0"/>
      <c r="UTT12" s="0"/>
      <c r="UTU12" s="0"/>
      <c r="UTV12" s="0"/>
      <c r="UTW12" s="0"/>
      <c r="UTX12" s="0"/>
      <c r="UTY12" s="0"/>
      <c r="UTZ12" s="0"/>
      <c r="UUA12" s="0"/>
      <c r="UUB12" s="0"/>
      <c r="UUC12" s="0"/>
      <c r="UUD12" s="0"/>
      <c r="UUE12" s="0"/>
      <c r="UUF12" s="0"/>
      <c r="UUG12" s="0"/>
      <c r="UUH12" s="0"/>
      <c r="UUI12" s="0"/>
      <c r="UUJ12" s="0"/>
      <c r="UUK12" s="0"/>
      <c r="UUL12" s="0"/>
      <c r="UUM12" s="0"/>
      <c r="UUN12" s="0"/>
      <c r="UUO12" s="0"/>
      <c r="UUP12" s="0"/>
      <c r="UUQ12" s="0"/>
      <c r="UUR12" s="0"/>
      <c r="UUS12" s="0"/>
      <c r="UUT12" s="0"/>
      <c r="UUU12" s="0"/>
      <c r="UUV12" s="0"/>
      <c r="UUW12" s="0"/>
      <c r="UUX12" s="0"/>
      <c r="UUY12" s="0"/>
      <c r="UUZ12" s="0"/>
      <c r="UVA12" s="0"/>
      <c r="UVB12" s="0"/>
      <c r="UVC12" s="0"/>
      <c r="UVD12" s="0"/>
      <c r="UVE12" s="0"/>
      <c r="UVF12" s="0"/>
      <c r="UVG12" s="0"/>
      <c r="UVH12" s="0"/>
      <c r="UVI12" s="0"/>
      <c r="UVJ12" s="0"/>
      <c r="UVK12" s="0"/>
      <c r="UVL12" s="0"/>
      <c r="UVM12" s="0"/>
      <c r="UVN12" s="0"/>
      <c r="UVO12" s="0"/>
      <c r="UVP12" s="0"/>
      <c r="UVQ12" s="0"/>
      <c r="UVR12" s="0"/>
      <c r="UVS12" s="0"/>
      <c r="UVT12" s="0"/>
      <c r="UVU12" s="0"/>
      <c r="UVV12" s="0"/>
      <c r="UVW12" s="0"/>
      <c r="UVX12" s="0"/>
      <c r="UVY12" s="0"/>
      <c r="UVZ12" s="0"/>
      <c r="UWA12" s="0"/>
      <c r="UWB12" s="0"/>
      <c r="UWC12" s="0"/>
      <c r="UWD12" s="0"/>
      <c r="UWE12" s="0"/>
      <c r="UWF12" s="0"/>
      <c r="UWG12" s="0"/>
      <c r="UWH12" s="0"/>
      <c r="UWI12" s="0"/>
      <c r="UWJ12" s="0"/>
      <c r="UWK12" s="0"/>
      <c r="UWL12" s="0"/>
      <c r="UWM12" s="0"/>
      <c r="UWN12" s="0"/>
      <c r="UWO12" s="0"/>
      <c r="UWP12" s="0"/>
      <c r="UWQ12" s="0"/>
      <c r="UWR12" s="0"/>
      <c r="UWS12" s="0"/>
      <c r="UWT12" s="0"/>
      <c r="UWU12" s="0"/>
      <c r="UWV12" s="0"/>
      <c r="UWW12" s="0"/>
      <c r="UWX12" s="0"/>
      <c r="UWY12" s="0"/>
      <c r="UWZ12" s="0"/>
      <c r="UXA12" s="0"/>
      <c r="UXB12" s="0"/>
      <c r="UXC12" s="0"/>
      <c r="UXD12" s="0"/>
      <c r="UXE12" s="0"/>
      <c r="UXF12" s="0"/>
      <c r="UXG12" s="0"/>
      <c r="UXH12" s="0"/>
      <c r="UXI12" s="0"/>
      <c r="UXJ12" s="0"/>
      <c r="UXK12" s="0"/>
      <c r="UXL12" s="0"/>
      <c r="UXM12" s="0"/>
      <c r="UXN12" s="0"/>
      <c r="UXO12" s="0"/>
      <c r="UXP12" s="0"/>
      <c r="UXQ12" s="0"/>
      <c r="UXR12" s="0"/>
      <c r="UXS12" s="0"/>
      <c r="UXT12" s="0"/>
      <c r="UXU12" s="0"/>
      <c r="UXV12" s="0"/>
      <c r="UXW12" s="0"/>
      <c r="UXX12" s="0"/>
      <c r="UXY12" s="0"/>
      <c r="UXZ12" s="0"/>
      <c r="UYA12" s="0"/>
      <c r="UYB12" s="0"/>
      <c r="UYC12" s="0"/>
      <c r="UYD12" s="0"/>
      <c r="UYE12" s="0"/>
      <c r="UYF12" s="0"/>
      <c r="UYG12" s="0"/>
      <c r="UYH12" s="0"/>
      <c r="UYI12" s="0"/>
      <c r="UYJ12" s="0"/>
      <c r="UYK12" s="0"/>
      <c r="UYL12" s="0"/>
      <c r="UYM12" s="0"/>
      <c r="UYN12" s="0"/>
      <c r="UYO12" s="0"/>
      <c r="UYP12" s="0"/>
      <c r="UYQ12" s="0"/>
      <c r="UYR12" s="0"/>
      <c r="UYS12" s="0"/>
      <c r="UYT12" s="0"/>
      <c r="UYU12" s="0"/>
      <c r="UYV12" s="0"/>
      <c r="UYW12" s="0"/>
      <c r="UYX12" s="0"/>
      <c r="UYY12" s="0"/>
      <c r="UYZ12" s="0"/>
      <c r="UZA12" s="0"/>
      <c r="UZB12" s="0"/>
      <c r="UZC12" s="0"/>
      <c r="UZD12" s="0"/>
      <c r="UZE12" s="0"/>
      <c r="UZF12" s="0"/>
      <c r="UZG12" s="0"/>
      <c r="UZH12" s="0"/>
      <c r="UZI12" s="0"/>
      <c r="UZJ12" s="0"/>
      <c r="UZK12" s="0"/>
      <c r="UZL12" s="0"/>
      <c r="UZM12" s="0"/>
      <c r="UZN12" s="0"/>
      <c r="UZO12" s="0"/>
      <c r="UZP12" s="0"/>
      <c r="UZQ12" s="0"/>
      <c r="UZR12" s="0"/>
      <c r="UZS12" s="0"/>
      <c r="UZT12" s="0"/>
      <c r="UZU12" s="0"/>
      <c r="UZV12" s="0"/>
      <c r="UZW12" s="0"/>
      <c r="UZX12" s="0"/>
      <c r="UZY12" s="0"/>
      <c r="UZZ12" s="0"/>
      <c r="VAA12" s="0"/>
      <c r="VAB12" s="0"/>
      <c r="VAC12" s="0"/>
      <c r="VAD12" s="0"/>
      <c r="VAE12" s="0"/>
      <c r="VAF12" s="0"/>
      <c r="VAG12" s="0"/>
      <c r="VAH12" s="0"/>
      <c r="VAI12" s="0"/>
      <c r="VAJ12" s="0"/>
      <c r="VAK12" s="0"/>
      <c r="VAL12" s="0"/>
      <c r="VAM12" s="0"/>
      <c r="VAN12" s="0"/>
      <c r="VAO12" s="0"/>
      <c r="VAP12" s="0"/>
      <c r="VAQ12" s="0"/>
      <c r="VAR12" s="0"/>
      <c r="VAS12" s="0"/>
      <c r="VAT12" s="0"/>
      <c r="VAU12" s="0"/>
      <c r="VAV12" s="0"/>
      <c r="VAW12" s="0"/>
      <c r="VAX12" s="0"/>
      <c r="VAY12" s="0"/>
      <c r="VAZ12" s="0"/>
      <c r="VBA12" s="0"/>
      <c r="VBB12" s="0"/>
      <c r="VBC12" s="0"/>
      <c r="VBD12" s="0"/>
      <c r="VBE12" s="0"/>
      <c r="VBF12" s="0"/>
      <c r="VBG12" s="0"/>
      <c r="VBH12" s="0"/>
      <c r="VBI12" s="0"/>
      <c r="VBJ12" s="0"/>
      <c r="VBK12" s="0"/>
      <c r="VBL12" s="0"/>
      <c r="VBM12" s="0"/>
      <c r="VBN12" s="0"/>
      <c r="VBO12" s="0"/>
      <c r="VBP12" s="0"/>
      <c r="VBQ12" s="0"/>
      <c r="VBR12" s="0"/>
      <c r="VBS12" s="0"/>
      <c r="VBT12" s="0"/>
      <c r="VBU12" s="0"/>
      <c r="VBV12" s="0"/>
      <c r="VBW12" s="0"/>
      <c r="VBX12" s="0"/>
      <c r="VBY12" s="0"/>
      <c r="VBZ12" s="0"/>
      <c r="VCA12" s="0"/>
      <c r="VCB12" s="0"/>
      <c r="VCC12" s="0"/>
      <c r="VCD12" s="0"/>
      <c r="VCE12" s="0"/>
      <c r="VCF12" s="0"/>
      <c r="VCG12" s="0"/>
      <c r="VCH12" s="0"/>
      <c r="VCI12" s="0"/>
      <c r="VCJ12" s="0"/>
      <c r="VCK12" s="0"/>
      <c r="VCL12" s="0"/>
      <c r="VCM12" s="0"/>
      <c r="VCN12" s="0"/>
      <c r="VCO12" s="0"/>
      <c r="VCP12" s="0"/>
      <c r="VCQ12" s="0"/>
      <c r="VCR12" s="0"/>
      <c r="VCS12" s="0"/>
      <c r="VCT12" s="0"/>
      <c r="VCU12" s="0"/>
      <c r="VCV12" s="0"/>
      <c r="VCW12" s="0"/>
      <c r="VCX12" s="0"/>
      <c r="VCY12" s="0"/>
      <c r="VCZ12" s="0"/>
      <c r="VDA12" s="0"/>
      <c r="VDB12" s="0"/>
      <c r="VDC12" s="0"/>
      <c r="VDD12" s="0"/>
      <c r="VDE12" s="0"/>
      <c r="VDF12" s="0"/>
      <c r="VDG12" s="0"/>
      <c r="VDH12" s="0"/>
      <c r="VDI12" s="0"/>
      <c r="VDJ12" s="0"/>
      <c r="VDK12" s="0"/>
      <c r="VDL12" s="0"/>
      <c r="VDM12" s="0"/>
      <c r="VDN12" s="0"/>
      <c r="VDO12" s="0"/>
      <c r="VDP12" s="0"/>
      <c r="VDQ12" s="0"/>
      <c r="VDR12" s="0"/>
      <c r="VDS12" s="0"/>
      <c r="VDT12" s="0"/>
      <c r="VDU12" s="0"/>
      <c r="VDV12" s="0"/>
      <c r="VDW12" s="0"/>
      <c r="VDX12" s="0"/>
      <c r="VDY12" s="0"/>
      <c r="VDZ12" s="0"/>
      <c r="VEA12" s="0"/>
      <c r="VEB12" s="0"/>
      <c r="VEC12" s="0"/>
      <c r="VED12" s="0"/>
      <c r="VEE12" s="0"/>
      <c r="VEF12" s="0"/>
      <c r="VEG12" s="0"/>
      <c r="VEH12" s="0"/>
      <c r="VEI12" s="0"/>
      <c r="VEJ12" s="0"/>
      <c r="VEK12" s="0"/>
      <c r="VEL12" s="0"/>
      <c r="VEM12" s="0"/>
      <c r="VEN12" s="0"/>
      <c r="VEO12" s="0"/>
      <c r="VEP12" s="0"/>
      <c r="VEQ12" s="0"/>
      <c r="VER12" s="0"/>
      <c r="VES12" s="0"/>
      <c r="VET12" s="0"/>
      <c r="VEU12" s="0"/>
      <c r="VEV12" s="0"/>
      <c r="VEW12" s="0"/>
      <c r="VEX12" s="0"/>
      <c r="VEY12" s="0"/>
      <c r="VEZ12" s="0"/>
      <c r="VFA12" s="0"/>
      <c r="VFB12" s="0"/>
      <c r="VFC12" s="0"/>
      <c r="VFD12" s="0"/>
      <c r="VFE12" s="0"/>
      <c r="VFF12" s="0"/>
      <c r="VFG12" s="0"/>
      <c r="VFH12" s="0"/>
      <c r="VFI12" s="0"/>
      <c r="VFJ12" s="0"/>
      <c r="VFK12" s="0"/>
      <c r="VFL12" s="0"/>
      <c r="VFM12" s="0"/>
      <c r="VFN12" s="0"/>
      <c r="VFO12" s="0"/>
      <c r="VFP12" s="0"/>
      <c r="VFQ12" s="0"/>
      <c r="VFR12" s="0"/>
      <c r="VFS12" s="0"/>
      <c r="VFT12" s="0"/>
      <c r="VFU12" s="0"/>
      <c r="VFV12" s="0"/>
      <c r="VFW12" s="0"/>
      <c r="VFX12" s="0"/>
      <c r="VFY12" s="0"/>
      <c r="VFZ12" s="0"/>
      <c r="VGA12" s="0"/>
      <c r="VGB12" s="0"/>
      <c r="VGC12" s="0"/>
      <c r="VGD12" s="0"/>
      <c r="VGE12" s="0"/>
      <c r="VGF12" s="0"/>
      <c r="VGG12" s="0"/>
      <c r="VGH12" s="0"/>
      <c r="VGI12" s="0"/>
      <c r="VGJ12" s="0"/>
      <c r="VGK12" s="0"/>
      <c r="VGL12" s="0"/>
      <c r="VGM12" s="0"/>
      <c r="VGN12" s="0"/>
      <c r="VGO12" s="0"/>
      <c r="VGP12" s="0"/>
      <c r="VGQ12" s="0"/>
      <c r="VGR12" s="0"/>
      <c r="VGS12" s="0"/>
      <c r="VGT12" s="0"/>
      <c r="VGU12" s="0"/>
      <c r="VGV12" s="0"/>
      <c r="VGW12" s="0"/>
      <c r="VGX12" s="0"/>
      <c r="VGY12" s="0"/>
      <c r="VGZ12" s="0"/>
      <c r="VHA12" s="0"/>
      <c r="VHB12" s="0"/>
      <c r="VHC12" s="0"/>
      <c r="VHD12" s="0"/>
      <c r="VHE12" s="0"/>
      <c r="VHF12" s="0"/>
      <c r="VHG12" s="0"/>
      <c r="VHH12" s="0"/>
      <c r="VHI12" s="0"/>
      <c r="VHJ12" s="0"/>
      <c r="VHK12" s="0"/>
      <c r="VHL12" s="0"/>
      <c r="VHM12" s="0"/>
      <c r="VHN12" s="0"/>
      <c r="VHO12" s="0"/>
      <c r="VHP12" s="0"/>
      <c r="VHQ12" s="0"/>
      <c r="VHR12" s="0"/>
      <c r="VHS12" s="0"/>
      <c r="VHT12" s="0"/>
      <c r="VHU12" s="0"/>
      <c r="VHV12" s="0"/>
      <c r="VHW12" s="0"/>
      <c r="VHX12" s="0"/>
      <c r="VHY12" s="0"/>
      <c r="VHZ12" s="0"/>
      <c r="VIA12" s="0"/>
      <c r="VIB12" s="0"/>
      <c r="VIC12" s="0"/>
      <c r="VID12" s="0"/>
      <c r="VIE12" s="0"/>
      <c r="VIF12" s="0"/>
      <c r="VIG12" s="0"/>
      <c r="VIH12" s="0"/>
      <c r="VII12" s="0"/>
      <c r="VIJ12" s="0"/>
      <c r="VIK12" s="0"/>
      <c r="VIL12" s="0"/>
      <c r="VIM12" s="0"/>
      <c r="VIN12" s="0"/>
      <c r="VIO12" s="0"/>
      <c r="VIP12" s="0"/>
      <c r="VIQ12" s="0"/>
      <c r="VIR12" s="0"/>
      <c r="VIS12" s="0"/>
      <c r="VIT12" s="0"/>
      <c r="VIU12" s="0"/>
      <c r="VIV12" s="0"/>
      <c r="VIW12" s="0"/>
      <c r="VIX12" s="0"/>
      <c r="VIY12" s="0"/>
      <c r="VIZ12" s="0"/>
      <c r="VJA12" s="0"/>
      <c r="VJB12" s="0"/>
      <c r="VJC12" s="0"/>
      <c r="VJD12" s="0"/>
      <c r="VJE12" s="0"/>
      <c r="VJF12" s="0"/>
      <c r="VJG12" s="0"/>
      <c r="VJH12" s="0"/>
      <c r="VJI12" s="0"/>
      <c r="VJJ12" s="0"/>
      <c r="VJK12" s="0"/>
      <c r="VJL12" s="0"/>
      <c r="VJM12" s="0"/>
      <c r="VJN12" s="0"/>
      <c r="VJO12" s="0"/>
      <c r="VJP12" s="0"/>
      <c r="VJQ12" s="0"/>
      <c r="VJR12" s="0"/>
      <c r="VJS12" s="0"/>
      <c r="VJT12" s="0"/>
      <c r="VJU12" s="0"/>
      <c r="VJV12" s="0"/>
      <c r="VJW12" s="0"/>
      <c r="VJX12" s="0"/>
      <c r="VJY12" s="0"/>
      <c r="VJZ12" s="0"/>
      <c r="VKA12" s="0"/>
      <c r="VKB12" s="0"/>
      <c r="VKC12" s="0"/>
      <c r="VKD12" s="0"/>
      <c r="VKE12" s="0"/>
      <c r="VKF12" s="0"/>
      <c r="VKG12" s="0"/>
      <c r="VKH12" s="0"/>
      <c r="VKI12" s="0"/>
      <c r="VKJ12" s="0"/>
      <c r="VKK12" s="0"/>
      <c r="VKL12" s="0"/>
      <c r="VKM12" s="0"/>
      <c r="VKN12" s="0"/>
      <c r="VKO12" s="0"/>
      <c r="VKP12" s="0"/>
      <c r="VKQ12" s="0"/>
      <c r="VKR12" s="0"/>
      <c r="VKS12" s="0"/>
      <c r="VKT12" s="0"/>
      <c r="VKU12" s="0"/>
      <c r="VKV12" s="0"/>
      <c r="VKW12" s="0"/>
      <c r="VKX12" s="0"/>
      <c r="VKY12" s="0"/>
      <c r="VKZ12" s="0"/>
      <c r="VLA12" s="0"/>
      <c r="VLB12" s="0"/>
      <c r="VLC12" s="0"/>
      <c r="VLD12" s="0"/>
      <c r="VLE12" s="0"/>
      <c r="VLF12" s="0"/>
      <c r="VLG12" s="0"/>
      <c r="VLH12" s="0"/>
      <c r="VLI12" s="0"/>
      <c r="VLJ12" s="0"/>
      <c r="VLK12" s="0"/>
      <c r="VLL12" s="0"/>
      <c r="VLM12" s="0"/>
      <c r="VLN12" s="0"/>
      <c r="VLO12" s="0"/>
      <c r="VLP12" s="0"/>
      <c r="VLQ12" s="0"/>
      <c r="VLR12" s="0"/>
      <c r="VLS12" s="0"/>
      <c r="VLT12" s="0"/>
      <c r="VLU12" s="0"/>
      <c r="VLV12" s="0"/>
      <c r="VLW12" s="0"/>
      <c r="VLX12" s="0"/>
      <c r="VLY12" s="0"/>
      <c r="VLZ12" s="0"/>
      <c r="VMA12" s="0"/>
      <c r="VMB12" s="0"/>
      <c r="VMC12" s="0"/>
      <c r="VMD12" s="0"/>
      <c r="VME12" s="0"/>
      <c r="VMF12" s="0"/>
      <c r="VMG12" s="0"/>
      <c r="VMH12" s="0"/>
      <c r="VMI12" s="0"/>
      <c r="VMJ12" s="0"/>
      <c r="VMK12" s="0"/>
      <c r="VML12" s="0"/>
      <c r="VMM12" s="0"/>
      <c r="VMN12" s="0"/>
      <c r="VMO12" s="0"/>
      <c r="VMP12" s="0"/>
      <c r="VMQ12" s="0"/>
      <c r="VMR12" s="0"/>
      <c r="VMS12" s="0"/>
      <c r="VMT12" s="0"/>
      <c r="VMU12" s="0"/>
      <c r="VMV12" s="0"/>
      <c r="VMW12" s="0"/>
      <c r="VMX12" s="0"/>
      <c r="VMY12" s="0"/>
      <c r="VMZ12" s="0"/>
      <c r="VNA12" s="0"/>
      <c r="VNB12" s="0"/>
      <c r="VNC12" s="0"/>
      <c r="VND12" s="0"/>
      <c r="VNE12" s="0"/>
      <c r="VNF12" s="0"/>
      <c r="VNG12" s="0"/>
      <c r="VNH12" s="0"/>
      <c r="VNI12" s="0"/>
      <c r="VNJ12" s="0"/>
      <c r="VNK12" s="0"/>
      <c r="VNL12" s="0"/>
      <c r="VNM12" s="0"/>
      <c r="VNN12" s="0"/>
      <c r="VNO12" s="0"/>
      <c r="VNP12" s="0"/>
      <c r="VNQ12" s="0"/>
      <c r="VNR12" s="0"/>
      <c r="VNS12" s="0"/>
      <c r="VNT12" s="0"/>
      <c r="VNU12" s="0"/>
      <c r="VNV12" s="0"/>
      <c r="VNW12" s="0"/>
      <c r="VNX12" s="0"/>
      <c r="VNY12" s="0"/>
      <c r="VNZ12" s="0"/>
      <c r="VOA12" s="0"/>
      <c r="VOB12" s="0"/>
      <c r="VOC12" s="0"/>
      <c r="VOD12" s="0"/>
      <c r="VOE12" s="0"/>
      <c r="VOF12" s="0"/>
      <c r="VOG12" s="0"/>
      <c r="VOH12" s="0"/>
      <c r="VOI12" s="0"/>
      <c r="VOJ12" s="0"/>
      <c r="VOK12" s="0"/>
      <c r="VOL12" s="0"/>
      <c r="VOM12" s="0"/>
      <c r="VON12" s="0"/>
      <c r="VOO12" s="0"/>
      <c r="VOP12" s="0"/>
      <c r="VOQ12" s="0"/>
      <c r="VOR12" s="0"/>
      <c r="VOS12" s="0"/>
      <c r="VOT12" s="0"/>
      <c r="VOU12" s="0"/>
      <c r="VOV12" s="0"/>
      <c r="VOW12" s="0"/>
      <c r="VOX12" s="0"/>
      <c r="VOY12" s="0"/>
      <c r="VOZ12" s="0"/>
      <c r="VPA12" s="0"/>
      <c r="VPB12" s="0"/>
      <c r="VPC12" s="0"/>
      <c r="VPD12" s="0"/>
      <c r="VPE12" s="0"/>
      <c r="VPF12" s="0"/>
      <c r="VPG12" s="0"/>
      <c r="VPH12" s="0"/>
      <c r="VPI12" s="0"/>
      <c r="VPJ12" s="0"/>
      <c r="VPK12" s="0"/>
      <c r="VPL12" s="0"/>
      <c r="VPM12" s="0"/>
      <c r="VPN12" s="0"/>
      <c r="VPO12" s="0"/>
      <c r="VPP12" s="0"/>
      <c r="VPQ12" s="0"/>
      <c r="VPR12" s="0"/>
      <c r="VPS12" s="0"/>
      <c r="VPT12" s="0"/>
      <c r="VPU12" s="0"/>
      <c r="VPV12" s="0"/>
      <c r="VPW12" s="0"/>
      <c r="VPX12" s="0"/>
      <c r="VPY12" s="0"/>
      <c r="VPZ12" s="0"/>
      <c r="VQA12" s="0"/>
      <c r="VQB12" s="0"/>
      <c r="VQC12" s="0"/>
      <c r="VQD12" s="0"/>
      <c r="VQE12" s="0"/>
      <c r="VQF12" s="0"/>
      <c r="VQG12" s="0"/>
      <c r="VQH12" s="0"/>
      <c r="VQI12" s="0"/>
      <c r="VQJ12" s="0"/>
      <c r="VQK12" s="0"/>
      <c r="VQL12" s="0"/>
      <c r="VQM12" s="0"/>
      <c r="VQN12" s="0"/>
      <c r="VQO12" s="0"/>
      <c r="VQP12" s="0"/>
      <c r="VQQ12" s="0"/>
      <c r="VQR12" s="0"/>
      <c r="VQS12" s="0"/>
      <c r="VQT12" s="0"/>
      <c r="VQU12" s="0"/>
      <c r="VQV12" s="0"/>
      <c r="VQW12" s="0"/>
      <c r="VQX12" s="0"/>
      <c r="VQY12" s="0"/>
      <c r="VQZ12" s="0"/>
      <c r="VRA12" s="0"/>
      <c r="VRB12" s="0"/>
      <c r="VRC12" s="0"/>
      <c r="VRD12" s="0"/>
      <c r="VRE12" s="0"/>
      <c r="VRF12" s="0"/>
      <c r="VRG12" s="0"/>
      <c r="VRH12" s="0"/>
      <c r="VRI12" s="0"/>
      <c r="VRJ12" s="0"/>
      <c r="VRK12" s="0"/>
      <c r="VRL12" s="0"/>
      <c r="VRM12" s="0"/>
      <c r="VRN12" s="0"/>
      <c r="VRO12" s="0"/>
      <c r="VRP12" s="0"/>
      <c r="VRQ12" s="0"/>
      <c r="VRR12" s="0"/>
      <c r="VRS12" s="0"/>
      <c r="VRT12" s="0"/>
      <c r="VRU12" s="0"/>
      <c r="VRV12" s="0"/>
      <c r="VRW12" s="0"/>
      <c r="VRX12" s="0"/>
      <c r="VRY12" s="0"/>
      <c r="VRZ12" s="0"/>
      <c r="VSA12" s="0"/>
      <c r="VSB12" s="0"/>
      <c r="VSC12" s="0"/>
      <c r="VSD12" s="0"/>
      <c r="VSE12" s="0"/>
      <c r="VSF12" s="0"/>
      <c r="VSG12" s="0"/>
      <c r="VSH12" s="0"/>
      <c r="VSI12" s="0"/>
      <c r="VSJ12" s="0"/>
      <c r="VSK12" s="0"/>
      <c r="VSL12" s="0"/>
      <c r="VSM12" s="0"/>
      <c r="VSN12" s="0"/>
      <c r="VSO12" s="0"/>
      <c r="VSP12" s="0"/>
      <c r="VSQ12" s="0"/>
      <c r="VSR12" s="0"/>
      <c r="VSS12" s="0"/>
      <c r="VST12" s="0"/>
      <c r="VSU12" s="0"/>
      <c r="VSV12" s="0"/>
      <c r="VSW12" s="0"/>
      <c r="VSX12" s="0"/>
      <c r="VSY12" s="0"/>
      <c r="VSZ12" s="0"/>
      <c r="VTA12" s="0"/>
      <c r="VTB12" s="0"/>
      <c r="VTC12" s="0"/>
      <c r="VTD12" s="0"/>
      <c r="VTE12" s="0"/>
      <c r="VTF12" s="0"/>
      <c r="VTG12" s="0"/>
      <c r="VTH12" s="0"/>
      <c r="VTI12" s="0"/>
      <c r="VTJ12" s="0"/>
      <c r="VTK12" s="0"/>
      <c r="VTL12" s="0"/>
      <c r="VTM12" s="0"/>
      <c r="VTN12" s="0"/>
      <c r="VTO12" s="0"/>
      <c r="VTP12" s="0"/>
      <c r="VTQ12" s="0"/>
      <c r="VTR12" s="0"/>
      <c r="VTS12" s="0"/>
      <c r="VTT12" s="0"/>
      <c r="VTU12" s="0"/>
      <c r="VTV12" s="0"/>
      <c r="VTW12" s="0"/>
      <c r="VTX12" s="0"/>
      <c r="VTY12" s="0"/>
      <c r="VTZ12" s="0"/>
      <c r="VUA12" s="0"/>
      <c r="VUB12" s="0"/>
      <c r="VUC12" s="0"/>
      <c r="VUD12" s="0"/>
      <c r="VUE12" s="0"/>
      <c r="VUF12" s="0"/>
      <c r="VUG12" s="0"/>
      <c r="VUH12" s="0"/>
      <c r="VUI12" s="0"/>
      <c r="VUJ12" s="0"/>
      <c r="VUK12" s="0"/>
      <c r="VUL12" s="0"/>
      <c r="VUM12" s="0"/>
      <c r="VUN12" s="0"/>
      <c r="VUO12" s="0"/>
      <c r="VUP12" s="0"/>
      <c r="VUQ12" s="0"/>
      <c r="VUR12" s="0"/>
      <c r="VUS12" s="0"/>
      <c r="VUT12" s="0"/>
      <c r="VUU12" s="0"/>
      <c r="VUV12" s="0"/>
      <c r="VUW12" s="0"/>
      <c r="VUX12" s="0"/>
      <c r="VUY12" s="0"/>
      <c r="VUZ12" s="0"/>
      <c r="VVA12" s="0"/>
      <c r="VVB12" s="0"/>
      <c r="VVC12" s="0"/>
      <c r="VVD12" s="0"/>
      <c r="VVE12" s="0"/>
      <c r="VVF12" s="0"/>
      <c r="VVG12" s="0"/>
      <c r="VVH12" s="0"/>
      <c r="VVI12" s="0"/>
      <c r="VVJ12" s="0"/>
      <c r="VVK12" s="0"/>
      <c r="VVL12" s="0"/>
      <c r="VVM12" s="0"/>
      <c r="VVN12" s="0"/>
      <c r="VVO12" s="0"/>
      <c r="VVP12" s="0"/>
      <c r="VVQ12" s="0"/>
      <c r="VVR12" s="0"/>
      <c r="VVS12" s="0"/>
      <c r="VVT12" s="0"/>
      <c r="VVU12" s="0"/>
      <c r="VVV12" s="0"/>
      <c r="VVW12" s="0"/>
      <c r="VVX12" s="0"/>
      <c r="VVY12" s="0"/>
      <c r="VVZ12" s="0"/>
      <c r="VWA12" s="0"/>
      <c r="VWB12" s="0"/>
      <c r="VWC12" s="0"/>
      <c r="VWD12" s="0"/>
      <c r="VWE12" s="0"/>
      <c r="VWF12" s="0"/>
      <c r="VWG12" s="0"/>
      <c r="VWH12" s="0"/>
      <c r="VWI12" s="0"/>
      <c r="VWJ12" s="0"/>
      <c r="VWK12" s="0"/>
      <c r="VWL12" s="0"/>
      <c r="VWM12" s="0"/>
      <c r="VWN12" s="0"/>
      <c r="VWO12" s="0"/>
      <c r="VWP12" s="0"/>
      <c r="VWQ12" s="0"/>
      <c r="VWR12" s="0"/>
      <c r="VWS12" s="0"/>
      <c r="VWT12" s="0"/>
      <c r="VWU12" s="0"/>
      <c r="VWV12" s="0"/>
      <c r="VWW12" s="0"/>
      <c r="VWX12" s="0"/>
      <c r="VWY12" s="0"/>
      <c r="VWZ12" s="0"/>
      <c r="VXA12" s="0"/>
      <c r="VXB12" s="0"/>
      <c r="VXC12" s="0"/>
      <c r="VXD12" s="0"/>
      <c r="VXE12" s="0"/>
      <c r="VXF12" s="0"/>
      <c r="VXG12" s="0"/>
      <c r="VXH12" s="0"/>
      <c r="VXI12" s="0"/>
      <c r="VXJ12" s="0"/>
      <c r="VXK12" s="0"/>
      <c r="VXL12" s="0"/>
      <c r="VXM12" s="0"/>
      <c r="VXN12" s="0"/>
      <c r="VXO12" s="0"/>
      <c r="VXP12" s="0"/>
      <c r="VXQ12" s="0"/>
      <c r="VXR12" s="0"/>
      <c r="VXS12" s="0"/>
      <c r="VXT12" s="0"/>
      <c r="VXU12" s="0"/>
      <c r="VXV12" s="0"/>
      <c r="VXW12" s="0"/>
      <c r="VXX12" s="0"/>
      <c r="VXY12" s="0"/>
      <c r="VXZ12" s="0"/>
      <c r="VYA12" s="0"/>
      <c r="VYB12" s="0"/>
      <c r="VYC12" s="0"/>
      <c r="VYD12" s="0"/>
      <c r="VYE12" s="0"/>
      <c r="VYF12" s="0"/>
      <c r="VYG12" s="0"/>
      <c r="VYH12" s="0"/>
      <c r="VYI12" s="0"/>
      <c r="VYJ12" s="0"/>
      <c r="VYK12" s="0"/>
      <c r="VYL12" s="0"/>
      <c r="VYM12" s="0"/>
      <c r="VYN12" s="0"/>
      <c r="VYO12" s="0"/>
      <c r="VYP12" s="0"/>
      <c r="VYQ12" s="0"/>
      <c r="VYR12" s="0"/>
      <c r="VYS12" s="0"/>
      <c r="VYT12" s="0"/>
      <c r="VYU12" s="0"/>
      <c r="VYV12" s="0"/>
      <c r="VYW12" s="0"/>
      <c r="VYX12" s="0"/>
      <c r="VYY12" s="0"/>
      <c r="VYZ12" s="0"/>
      <c r="VZA12" s="0"/>
      <c r="VZB12" s="0"/>
      <c r="VZC12" s="0"/>
      <c r="VZD12" s="0"/>
      <c r="VZE12" s="0"/>
      <c r="VZF12" s="0"/>
      <c r="VZG12" s="0"/>
      <c r="VZH12" s="0"/>
      <c r="VZI12" s="0"/>
      <c r="VZJ12" s="0"/>
      <c r="VZK12" s="0"/>
      <c r="VZL12" s="0"/>
      <c r="VZM12" s="0"/>
      <c r="VZN12" s="0"/>
      <c r="VZO12" s="0"/>
      <c r="VZP12" s="0"/>
      <c r="VZQ12" s="0"/>
      <c r="VZR12" s="0"/>
      <c r="VZS12" s="0"/>
      <c r="VZT12" s="0"/>
      <c r="VZU12" s="0"/>
      <c r="VZV12" s="0"/>
      <c r="VZW12" s="0"/>
      <c r="VZX12" s="0"/>
      <c r="VZY12" s="0"/>
      <c r="VZZ12" s="0"/>
      <c r="WAA12" s="0"/>
      <c r="WAB12" s="0"/>
      <c r="WAC12" s="0"/>
      <c r="WAD12" s="0"/>
      <c r="WAE12" s="0"/>
      <c r="WAF12" s="0"/>
      <c r="WAG12" s="0"/>
      <c r="WAH12" s="0"/>
      <c r="WAI12" s="0"/>
      <c r="WAJ12" s="0"/>
      <c r="WAK12" s="0"/>
      <c r="WAL12" s="0"/>
      <c r="WAM12" s="0"/>
      <c r="WAN12" s="0"/>
      <c r="WAO12" s="0"/>
      <c r="WAP12" s="0"/>
      <c r="WAQ12" s="0"/>
      <c r="WAR12" s="0"/>
      <c r="WAS12" s="0"/>
      <c r="WAT12" s="0"/>
      <c r="WAU12" s="0"/>
      <c r="WAV12" s="0"/>
      <c r="WAW12" s="0"/>
      <c r="WAX12" s="0"/>
      <c r="WAY12" s="0"/>
      <c r="WAZ12" s="0"/>
      <c r="WBA12" s="0"/>
      <c r="WBB12" s="0"/>
      <c r="WBC12" s="0"/>
      <c r="WBD12" s="0"/>
      <c r="WBE12" s="0"/>
      <c r="WBF12" s="0"/>
      <c r="WBG12" s="0"/>
      <c r="WBH12" s="0"/>
      <c r="WBI12" s="0"/>
      <c r="WBJ12" s="0"/>
      <c r="WBK12" s="0"/>
      <c r="WBL12" s="0"/>
      <c r="WBM12" s="0"/>
      <c r="WBN12" s="0"/>
      <c r="WBO12" s="0"/>
      <c r="WBP12" s="0"/>
      <c r="WBQ12" s="0"/>
      <c r="WBR12" s="0"/>
      <c r="WBS12" s="0"/>
      <c r="WBT12" s="0"/>
      <c r="WBU12" s="0"/>
      <c r="WBV12" s="0"/>
      <c r="WBW12" s="0"/>
      <c r="WBX12" s="0"/>
      <c r="WBY12" s="0"/>
      <c r="WBZ12" s="0"/>
      <c r="WCA12" s="0"/>
      <c r="WCB12" s="0"/>
      <c r="WCC12" s="0"/>
      <c r="WCD12" s="0"/>
      <c r="WCE12" s="0"/>
      <c r="WCF12" s="0"/>
      <c r="WCG12" s="0"/>
      <c r="WCH12" s="0"/>
      <c r="WCI12" s="0"/>
      <c r="WCJ12" s="0"/>
      <c r="WCK12" s="0"/>
      <c r="WCL12" s="0"/>
      <c r="WCM12" s="0"/>
      <c r="WCN12" s="0"/>
      <c r="WCO12" s="0"/>
      <c r="WCP12" s="0"/>
      <c r="WCQ12" s="0"/>
      <c r="WCR12" s="0"/>
      <c r="WCS12" s="0"/>
      <c r="WCT12" s="0"/>
      <c r="WCU12" s="0"/>
      <c r="WCV12" s="0"/>
      <c r="WCW12" s="0"/>
      <c r="WCX12" s="0"/>
      <c r="WCY12" s="0"/>
      <c r="WCZ12" s="0"/>
      <c r="WDA12" s="0"/>
      <c r="WDB12" s="0"/>
      <c r="WDC12" s="0"/>
      <c r="WDD12" s="0"/>
      <c r="WDE12" s="0"/>
      <c r="WDF12" s="0"/>
      <c r="WDG12" s="0"/>
      <c r="WDH12" s="0"/>
      <c r="WDI12" s="0"/>
      <c r="WDJ12" s="0"/>
      <c r="WDK12" s="0"/>
      <c r="WDL12" s="0"/>
      <c r="WDM12" s="0"/>
      <c r="WDN12" s="0"/>
      <c r="WDO12" s="0"/>
      <c r="WDP12" s="0"/>
      <c r="WDQ12" s="0"/>
      <c r="WDR12" s="0"/>
      <c r="WDS12" s="0"/>
      <c r="WDT12" s="0"/>
      <c r="WDU12" s="0"/>
      <c r="WDV12" s="0"/>
      <c r="WDW12" s="0"/>
      <c r="WDX12" s="0"/>
      <c r="WDY12" s="0"/>
      <c r="WDZ12" s="0"/>
      <c r="WEA12" s="0"/>
      <c r="WEB12" s="0"/>
      <c r="WEC12" s="0"/>
      <c r="WED12" s="0"/>
      <c r="WEE12" s="0"/>
      <c r="WEF12" s="0"/>
      <c r="WEG12" s="0"/>
      <c r="WEH12" s="0"/>
      <c r="WEI12" s="0"/>
      <c r="WEJ12" s="0"/>
      <c r="WEK12" s="0"/>
      <c r="WEL12" s="0"/>
      <c r="WEM12" s="0"/>
      <c r="WEN12" s="0"/>
      <c r="WEO12" s="0"/>
      <c r="WEP12" s="0"/>
      <c r="WEQ12" s="0"/>
      <c r="WER12" s="0"/>
      <c r="WES12" s="0"/>
      <c r="WET12" s="0"/>
      <c r="WEU12" s="0"/>
      <c r="WEV12" s="0"/>
      <c r="WEW12" s="0"/>
      <c r="WEX12" s="0"/>
      <c r="WEY12" s="0"/>
      <c r="WEZ12" s="0"/>
      <c r="WFA12" s="0"/>
      <c r="WFB12" s="0"/>
      <c r="WFC12" s="0"/>
      <c r="WFD12" s="0"/>
      <c r="WFE12" s="0"/>
      <c r="WFF12" s="0"/>
      <c r="WFG12" s="0"/>
      <c r="WFH12" s="0"/>
      <c r="WFI12" s="0"/>
      <c r="WFJ12" s="0"/>
      <c r="WFK12" s="0"/>
      <c r="WFL12" s="0"/>
      <c r="WFM12" s="0"/>
      <c r="WFN12" s="0"/>
      <c r="WFO12" s="0"/>
      <c r="WFP12" s="0"/>
      <c r="WFQ12" s="0"/>
      <c r="WFR12" s="0"/>
      <c r="WFS12" s="0"/>
      <c r="WFT12" s="0"/>
      <c r="WFU12" s="0"/>
      <c r="WFV12" s="0"/>
      <c r="WFW12" s="0"/>
      <c r="WFX12" s="0"/>
      <c r="WFY12" s="0"/>
      <c r="WFZ12" s="0"/>
      <c r="WGA12" s="0"/>
      <c r="WGB12" s="0"/>
      <c r="WGC12" s="0"/>
      <c r="WGD12" s="0"/>
      <c r="WGE12" s="0"/>
      <c r="WGF12" s="0"/>
      <c r="WGG12" s="0"/>
      <c r="WGH12" s="0"/>
      <c r="WGI12" s="0"/>
      <c r="WGJ12" s="0"/>
      <c r="WGK12" s="0"/>
      <c r="WGL12" s="0"/>
      <c r="WGM12" s="0"/>
      <c r="WGN12" s="0"/>
      <c r="WGO12" s="0"/>
      <c r="WGP12" s="0"/>
      <c r="WGQ12" s="0"/>
      <c r="WGR12" s="0"/>
      <c r="WGS12" s="0"/>
      <c r="WGT12" s="0"/>
      <c r="WGU12" s="0"/>
      <c r="WGV12" s="0"/>
      <c r="WGW12" s="0"/>
      <c r="WGX12" s="0"/>
      <c r="WGY12" s="0"/>
      <c r="WGZ12" s="0"/>
      <c r="WHA12" s="0"/>
      <c r="WHB12" s="0"/>
      <c r="WHC12" s="0"/>
      <c r="WHD12" s="0"/>
      <c r="WHE12" s="0"/>
      <c r="WHF12" s="0"/>
      <c r="WHG12" s="0"/>
      <c r="WHH12" s="0"/>
      <c r="WHI12" s="0"/>
      <c r="WHJ12" s="0"/>
      <c r="WHK12" s="0"/>
      <c r="WHL12" s="0"/>
      <c r="WHM12" s="0"/>
      <c r="WHN12" s="0"/>
      <c r="WHO12" s="0"/>
      <c r="WHP12" s="0"/>
      <c r="WHQ12" s="0"/>
      <c r="WHR12" s="0"/>
      <c r="WHS12" s="0"/>
      <c r="WHT12" s="0"/>
      <c r="WHU12" s="0"/>
      <c r="WHV12" s="0"/>
      <c r="WHW12" s="0"/>
      <c r="WHX12" s="0"/>
      <c r="WHY12" s="0"/>
      <c r="WHZ12" s="0"/>
      <c r="WIA12" s="0"/>
      <c r="WIB12" s="0"/>
      <c r="WIC12" s="0"/>
      <c r="WID12" s="0"/>
      <c r="WIE12" s="0"/>
      <c r="WIF12" s="0"/>
      <c r="WIG12" s="0"/>
      <c r="WIH12" s="0"/>
      <c r="WII12" s="0"/>
      <c r="WIJ12" s="0"/>
      <c r="WIK12" s="0"/>
      <c r="WIL12" s="0"/>
      <c r="WIM12" s="0"/>
      <c r="WIN12" s="0"/>
      <c r="WIO12" s="0"/>
      <c r="WIP12" s="0"/>
      <c r="WIQ12" s="0"/>
      <c r="WIR12" s="0"/>
      <c r="WIS12" s="0"/>
      <c r="WIT12" s="0"/>
      <c r="WIU12" s="0"/>
      <c r="WIV12" s="0"/>
      <c r="WIW12" s="0"/>
      <c r="WIX12" s="0"/>
      <c r="WIY12" s="0"/>
      <c r="WIZ12" s="0"/>
      <c r="WJA12" s="0"/>
      <c r="WJB12" s="0"/>
      <c r="WJC12" s="0"/>
      <c r="WJD12" s="0"/>
      <c r="WJE12" s="0"/>
      <c r="WJF12" s="0"/>
      <c r="WJG12" s="0"/>
      <c r="WJH12" s="0"/>
      <c r="WJI12" s="0"/>
      <c r="WJJ12" s="0"/>
      <c r="WJK12" s="0"/>
      <c r="WJL12" s="0"/>
      <c r="WJM12" s="0"/>
      <c r="WJN12" s="0"/>
      <c r="WJO12" s="0"/>
      <c r="WJP12" s="0"/>
      <c r="WJQ12" s="0"/>
      <c r="WJR12" s="0"/>
      <c r="WJS12" s="0"/>
      <c r="WJT12" s="0"/>
      <c r="WJU12" s="0"/>
      <c r="WJV12" s="0"/>
      <c r="WJW12" s="0"/>
      <c r="WJX12" s="0"/>
      <c r="WJY12" s="0"/>
      <c r="WJZ12" s="0"/>
      <c r="WKA12" s="0"/>
      <c r="WKB12" s="0"/>
      <c r="WKC12" s="0"/>
      <c r="WKD12" s="0"/>
      <c r="WKE12" s="0"/>
      <c r="WKF12" s="0"/>
      <c r="WKG12" s="0"/>
      <c r="WKH12" s="0"/>
      <c r="WKI12" s="0"/>
      <c r="WKJ12" s="0"/>
      <c r="WKK12" s="0"/>
      <c r="WKL12" s="0"/>
      <c r="WKM12" s="0"/>
      <c r="WKN12" s="0"/>
      <c r="WKO12" s="0"/>
      <c r="WKP12" s="0"/>
      <c r="WKQ12" s="0"/>
      <c r="WKR12" s="0"/>
      <c r="WKS12" s="0"/>
      <c r="WKT12" s="0"/>
      <c r="WKU12" s="0"/>
      <c r="WKV12" s="0"/>
      <c r="WKW12" s="0"/>
      <c r="WKX12" s="0"/>
      <c r="WKY12" s="0"/>
      <c r="WKZ12" s="0"/>
      <c r="WLA12" s="0"/>
      <c r="WLB12" s="0"/>
      <c r="WLC12" s="0"/>
      <c r="WLD12" s="0"/>
      <c r="WLE12" s="0"/>
      <c r="WLF12" s="0"/>
      <c r="WLG12" s="0"/>
      <c r="WLH12" s="0"/>
      <c r="WLI12" s="0"/>
      <c r="WLJ12" s="0"/>
      <c r="WLK12" s="0"/>
      <c r="WLL12" s="0"/>
      <c r="WLM12" s="0"/>
      <c r="WLN12" s="0"/>
      <c r="WLO12" s="0"/>
      <c r="WLP12" s="0"/>
      <c r="WLQ12" s="0"/>
      <c r="WLR12" s="0"/>
      <c r="WLS12" s="0"/>
      <c r="WLT12" s="0"/>
      <c r="WLU12" s="0"/>
      <c r="WLV12" s="0"/>
      <c r="WLW12" s="0"/>
      <c r="WLX12" s="0"/>
      <c r="WLY12" s="0"/>
      <c r="WLZ12" s="0"/>
      <c r="WMA12" s="0"/>
      <c r="WMB12" s="0"/>
      <c r="WMC12" s="0"/>
      <c r="WMD12" s="0"/>
      <c r="WME12" s="0"/>
      <c r="WMF12" s="0"/>
      <c r="WMG12" s="0"/>
      <c r="WMH12" s="0"/>
      <c r="WMI12" s="0"/>
      <c r="WMJ12" s="0"/>
      <c r="WMK12" s="0"/>
      <c r="WML12" s="0"/>
      <c r="WMM12" s="0"/>
      <c r="WMN12" s="0"/>
      <c r="WMO12" s="0"/>
      <c r="WMP12" s="0"/>
      <c r="WMQ12" s="0"/>
      <c r="WMR12" s="0"/>
      <c r="WMS12" s="0"/>
      <c r="WMT12" s="0"/>
      <c r="WMU12" s="0"/>
      <c r="WMV12" s="0"/>
      <c r="WMW12" s="0"/>
      <c r="WMX12" s="0"/>
      <c r="WMY12" s="0"/>
      <c r="WMZ12" s="0"/>
      <c r="WNA12" s="0"/>
      <c r="WNB12" s="0"/>
      <c r="WNC12" s="0"/>
      <c r="WND12" s="0"/>
      <c r="WNE12" s="0"/>
      <c r="WNF12" s="0"/>
      <c r="WNG12" s="0"/>
      <c r="WNH12" s="0"/>
      <c r="WNI12" s="0"/>
      <c r="WNJ12" s="0"/>
      <c r="WNK12" s="0"/>
      <c r="WNL12" s="0"/>
      <c r="WNM12" s="0"/>
      <c r="WNN12" s="0"/>
      <c r="WNO12" s="0"/>
      <c r="WNP12" s="0"/>
      <c r="WNQ12" s="0"/>
      <c r="WNR12" s="0"/>
      <c r="WNS12" s="0"/>
      <c r="WNT12" s="0"/>
      <c r="WNU12" s="0"/>
      <c r="WNV12" s="0"/>
      <c r="WNW12" s="0"/>
      <c r="WNX12" s="0"/>
      <c r="WNY12" s="0"/>
      <c r="WNZ12" s="0"/>
      <c r="WOA12" s="0"/>
      <c r="WOB12" s="0"/>
      <c r="WOC12" s="0"/>
      <c r="WOD12" s="0"/>
      <c r="WOE12" s="0"/>
      <c r="WOF12" s="0"/>
      <c r="WOG12" s="0"/>
      <c r="WOH12" s="0"/>
      <c r="WOI12" s="0"/>
      <c r="WOJ12" s="0"/>
      <c r="WOK12" s="0"/>
      <c r="WOL12" s="0"/>
      <c r="WOM12" s="0"/>
      <c r="WON12" s="0"/>
      <c r="WOO12" s="0"/>
      <c r="WOP12" s="0"/>
      <c r="WOQ12" s="0"/>
      <c r="WOR12" s="0"/>
      <c r="WOS12" s="0"/>
      <c r="WOT12" s="0"/>
      <c r="WOU12" s="0"/>
      <c r="WOV12" s="0"/>
      <c r="WOW12" s="0"/>
      <c r="WOX12" s="0"/>
      <c r="WOY12" s="0"/>
      <c r="WOZ12" s="0"/>
      <c r="WPA12" s="0"/>
      <c r="WPB12" s="0"/>
      <c r="WPC12" s="0"/>
      <c r="WPD12" s="0"/>
      <c r="WPE12" s="0"/>
      <c r="WPF12" s="0"/>
      <c r="WPG12" s="0"/>
      <c r="WPH12" s="0"/>
      <c r="WPI12" s="0"/>
      <c r="WPJ12" s="0"/>
      <c r="WPK12" s="0"/>
      <c r="WPL12" s="0"/>
      <c r="WPM12" s="0"/>
      <c r="WPN12" s="0"/>
      <c r="WPO12" s="0"/>
      <c r="WPP12" s="0"/>
      <c r="WPQ12" s="0"/>
      <c r="WPR12" s="0"/>
      <c r="WPS12" s="0"/>
      <c r="WPT12" s="0"/>
      <c r="WPU12" s="0"/>
      <c r="WPV12" s="0"/>
      <c r="WPW12" s="0"/>
      <c r="WPX12" s="0"/>
      <c r="WPY12" s="0"/>
      <c r="WPZ12" s="0"/>
      <c r="WQA12" s="0"/>
      <c r="WQB12" s="0"/>
      <c r="WQC12" s="0"/>
      <c r="WQD12" s="0"/>
      <c r="WQE12" s="0"/>
      <c r="WQF12" s="0"/>
      <c r="WQG12" s="0"/>
      <c r="WQH12" s="0"/>
      <c r="WQI12" s="0"/>
      <c r="WQJ12" s="0"/>
      <c r="WQK12" s="0"/>
      <c r="WQL12" s="0"/>
      <c r="WQM12" s="0"/>
      <c r="WQN12" s="0"/>
      <c r="WQO12" s="0"/>
      <c r="WQP12" s="0"/>
      <c r="WQQ12" s="0"/>
      <c r="WQR12" s="0"/>
      <c r="WQS12" s="0"/>
      <c r="WQT12" s="0"/>
      <c r="WQU12" s="0"/>
      <c r="WQV12" s="0"/>
      <c r="WQW12" s="0"/>
      <c r="WQX12" s="0"/>
      <c r="WQY12" s="0"/>
      <c r="WQZ12" s="0"/>
      <c r="WRA12" s="0"/>
      <c r="WRB12" s="0"/>
      <c r="WRC12" s="0"/>
      <c r="WRD12" s="0"/>
      <c r="WRE12" s="0"/>
      <c r="WRF12" s="0"/>
      <c r="WRG12" s="0"/>
      <c r="WRH12" s="0"/>
      <c r="WRI12" s="0"/>
      <c r="WRJ12" s="0"/>
      <c r="WRK12" s="0"/>
      <c r="WRL12" s="0"/>
      <c r="WRM12" s="0"/>
      <c r="WRN12" s="0"/>
      <c r="WRO12" s="0"/>
      <c r="WRP12" s="0"/>
      <c r="WRQ12" s="0"/>
      <c r="WRR12" s="0"/>
      <c r="WRS12" s="0"/>
      <c r="WRT12" s="0"/>
      <c r="WRU12" s="0"/>
      <c r="WRV12" s="0"/>
      <c r="WRW12" s="0"/>
      <c r="WRX12" s="0"/>
      <c r="WRY12" s="0"/>
      <c r="WRZ12" s="0"/>
      <c r="WSA12" s="0"/>
      <c r="WSB12" s="0"/>
      <c r="WSC12" s="0"/>
      <c r="WSD12" s="0"/>
      <c r="WSE12" s="0"/>
      <c r="WSF12" s="0"/>
      <c r="WSG12" s="0"/>
      <c r="WSH12" s="0"/>
      <c r="WSI12" s="0"/>
      <c r="WSJ12" s="0"/>
      <c r="WSK12" s="0"/>
      <c r="WSL12" s="0"/>
      <c r="WSM12" s="0"/>
      <c r="WSN12" s="0"/>
      <c r="WSO12" s="0"/>
      <c r="WSP12" s="0"/>
      <c r="WSQ12" s="0"/>
      <c r="WSR12" s="0"/>
      <c r="WSS12" s="0"/>
      <c r="WST12" s="0"/>
      <c r="WSU12" s="0"/>
      <c r="WSV12" s="0"/>
      <c r="WSW12" s="0"/>
      <c r="WSX12" s="0"/>
      <c r="WSY12" s="0"/>
      <c r="WSZ12" s="0"/>
      <c r="WTA12" s="0"/>
      <c r="WTB12" s="0"/>
      <c r="WTC12" s="0"/>
      <c r="WTD12" s="0"/>
      <c r="WTE12" s="0"/>
      <c r="WTF12" s="0"/>
      <c r="WTG12" s="0"/>
      <c r="WTH12" s="0"/>
      <c r="WTI12" s="0"/>
      <c r="WTJ12" s="0"/>
      <c r="WTK12" s="0"/>
      <c r="WTL12" s="0"/>
      <c r="WTM12" s="0"/>
      <c r="WTN12" s="0"/>
      <c r="WTO12" s="0"/>
      <c r="WTP12" s="0"/>
      <c r="WTQ12" s="0"/>
      <c r="WTR12" s="0"/>
      <c r="WTS12" s="0"/>
      <c r="WTT12" s="0"/>
      <c r="WTU12" s="0"/>
      <c r="WTV12" s="0"/>
      <c r="WTW12" s="0"/>
      <c r="WTX12" s="0"/>
      <c r="WTY12" s="0"/>
      <c r="WTZ12" s="0"/>
      <c r="WUA12" s="0"/>
      <c r="WUB12" s="0"/>
      <c r="WUC12" s="0"/>
      <c r="WUD12" s="0"/>
      <c r="WUE12" s="0"/>
      <c r="WUF12" s="0"/>
      <c r="WUG12" s="0"/>
      <c r="WUH12" s="0"/>
      <c r="WUI12" s="0"/>
      <c r="WUJ12" s="0"/>
      <c r="WUK12" s="0"/>
      <c r="WUL12" s="0"/>
      <c r="WUM12" s="0"/>
      <c r="WUN12" s="0"/>
      <c r="WUO12" s="0"/>
      <c r="WUP12" s="0"/>
      <c r="WUQ12" s="0"/>
      <c r="WUR12" s="0"/>
      <c r="WUS12" s="0"/>
      <c r="WUT12" s="0"/>
      <c r="WUU12" s="0"/>
      <c r="WUV12" s="0"/>
      <c r="WUW12" s="0"/>
      <c r="WUX12" s="0"/>
      <c r="WUY12" s="0"/>
      <c r="WUZ12" s="0"/>
      <c r="WVA12" s="0"/>
      <c r="WVB12" s="0"/>
      <c r="WVC12" s="0"/>
      <c r="WVD12" s="0"/>
      <c r="WVE12" s="0"/>
      <c r="WVF12" s="0"/>
      <c r="WVG12" s="0"/>
      <c r="WVH12" s="0"/>
      <c r="WVI12" s="0"/>
      <c r="WVJ12" s="0"/>
      <c r="WVK12" s="0"/>
      <c r="WVL12" s="0"/>
      <c r="WVM12" s="0"/>
      <c r="WVN12" s="0"/>
      <c r="WVO12" s="0"/>
      <c r="WVP12" s="0"/>
      <c r="WVQ12" s="0"/>
      <c r="WVR12" s="0"/>
      <c r="WVS12" s="0"/>
      <c r="WVT12" s="0"/>
      <c r="WVU12" s="0"/>
      <c r="WVV12" s="0"/>
      <c r="WVW12" s="0"/>
      <c r="WVX12" s="0"/>
      <c r="WVY12" s="0"/>
      <c r="WVZ12" s="0"/>
      <c r="WWA12" s="0"/>
      <c r="WWB12" s="0"/>
      <c r="WWC12" s="0"/>
      <c r="WWD12" s="0"/>
      <c r="WWE12" s="0"/>
      <c r="WWF12" s="0"/>
      <c r="WWG12" s="0"/>
      <c r="WWH12" s="0"/>
      <c r="WWI12" s="0"/>
      <c r="WWJ12" s="0"/>
      <c r="WWK12" s="0"/>
      <c r="WWL12" s="0"/>
      <c r="WWM12" s="0"/>
      <c r="WWN12" s="0"/>
      <c r="WWO12" s="0"/>
      <c r="WWP12" s="0"/>
      <c r="WWQ12" s="0"/>
      <c r="WWR12" s="0"/>
      <c r="WWS12" s="0"/>
      <c r="WWT12" s="0"/>
      <c r="WWU12" s="0"/>
      <c r="WWV12" s="0"/>
      <c r="WWW12" s="0"/>
      <c r="WWX12" s="0"/>
      <c r="WWY12" s="0"/>
      <c r="WWZ12" s="0"/>
      <c r="WXA12" s="0"/>
      <c r="WXB12" s="0"/>
      <c r="WXC12" s="0"/>
      <c r="WXD12" s="0"/>
      <c r="WXE12" s="0"/>
      <c r="WXF12" s="0"/>
      <c r="WXG12" s="0"/>
      <c r="WXH12" s="0"/>
      <c r="WXI12" s="0"/>
      <c r="WXJ12" s="0"/>
      <c r="WXK12" s="0"/>
      <c r="WXL12" s="0"/>
      <c r="WXM12" s="0"/>
      <c r="WXN12" s="0"/>
      <c r="WXO12" s="0"/>
      <c r="WXP12" s="0"/>
      <c r="WXQ12" s="0"/>
      <c r="WXR12" s="0"/>
      <c r="WXS12" s="0"/>
      <c r="WXT12" s="0"/>
      <c r="WXU12" s="0"/>
      <c r="WXV12" s="0"/>
      <c r="WXW12" s="0"/>
      <c r="WXX12" s="0"/>
      <c r="WXY12" s="0"/>
      <c r="WXZ12" s="0"/>
      <c r="WYA12" s="0"/>
      <c r="WYB12" s="0"/>
      <c r="WYC12" s="0"/>
      <c r="WYD12" s="0"/>
      <c r="WYE12" s="0"/>
      <c r="WYF12" s="0"/>
      <c r="WYG12" s="0"/>
      <c r="WYH12" s="0"/>
      <c r="WYI12" s="0"/>
      <c r="WYJ12" s="0"/>
      <c r="WYK12" s="0"/>
      <c r="WYL12" s="0"/>
      <c r="WYM12" s="0"/>
      <c r="WYN12" s="0"/>
      <c r="WYO12" s="0"/>
      <c r="WYP12" s="0"/>
      <c r="WYQ12" s="0"/>
      <c r="WYR12" s="0"/>
      <c r="WYS12" s="0"/>
      <c r="WYT12" s="0"/>
      <c r="WYU12" s="0"/>
      <c r="WYV12" s="0"/>
      <c r="WYW12" s="0"/>
      <c r="WYX12" s="0"/>
      <c r="WYY12" s="0"/>
      <c r="WYZ12" s="0"/>
      <c r="WZA12" s="0"/>
      <c r="WZB12" s="0"/>
      <c r="WZC12" s="0"/>
      <c r="WZD12" s="0"/>
      <c r="WZE12" s="0"/>
      <c r="WZF12" s="0"/>
      <c r="WZG12" s="0"/>
      <c r="WZH12" s="0"/>
      <c r="WZI12" s="0"/>
      <c r="WZJ12" s="0"/>
      <c r="WZK12" s="0"/>
      <c r="WZL12" s="0"/>
      <c r="WZM12" s="0"/>
      <c r="WZN12" s="0"/>
      <c r="WZO12" s="0"/>
      <c r="WZP12" s="0"/>
      <c r="WZQ12" s="0"/>
      <c r="WZR12" s="0"/>
      <c r="WZS12" s="0"/>
      <c r="WZT12" s="0"/>
      <c r="WZU12" s="0"/>
      <c r="WZV12" s="0"/>
      <c r="WZW12" s="0"/>
      <c r="WZX12" s="0"/>
      <c r="WZY12" s="0"/>
      <c r="WZZ12" s="0"/>
      <c r="XAA12" s="0"/>
      <c r="XAB12" s="0"/>
      <c r="XAC12" s="0"/>
      <c r="XAD12" s="0"/>
      <c r="XAE12" s="0"/>
      <c r="XAF12" s="0"/>
      <c r="XAG12" s="0"/>
      <c r="XAH12" s="0"/>
      <c r="XAI12" s="0"/>
      <c r="XAJ12" s="0"/>
      <c r="XAK12" s="0"/>
      <c r="XAL12" s="0"/>
      <c r="XAM12" s="0"/>
      <c r="XAN12" s="0"/>
      <c r="XAO12" s="0"/>
      <c r="XAP12" s="0"/>
      <c r="XAQ12" s="0"/>
      <c r="XAR12" s="0"/>
      <c r="XAS12" s="0"/>
      <c r="XAT12" s="0"/>
      <c r="XAU12" s="0"/>
      <c r="XAV12" s="0"/>
      <c r="XAW12" s="0"/>
      <c r="XAX12" s="0"/>
      <c r="XAY12" s="0"/>
      <c r="XAZ12" s="0"/>
      <c r="XBA12" s="0"/>
      <c r="XBB12" s="0"/>
      <c r="XBC12" s="0"/>
      <c r="XBD12" s="0"/>
      <c r="XBE12" s="0"/>
      <c r="XBF12" s="0"/>
      <c r="XBG12" s="0"/>
      <c r="XBH12" s="0"/>
      <c r="XBI12" s="0"/>
      <c r="XBJ12" s="0"/>
      <c r="XBK12" s="0"/>
      <c r="XBL12" s="0"/>
      <c r="XBM12" s="0"/>
      <c r="XBN12" s="0"/>
      <c r="XBO12" s="0"/>
      <c r="XBP12" s="0"/>
      <c r="XBQ12" s="0"/>
      <c r="XBR12" s="0"/>
      <c r="XBS12" s="0"/>
      <c r="XBT12" s="0"/>
      <c r="XBU12" s="0"/>
      <c r="XBV12" s="0"/>
      <c r="XBW12" s="0"/>
      <c r="XBX12" s="0"/>
      <c r="XBY12" s="0"/>
      <c r="XBZ12" s="0"/>
      <c r="XCA12" s="0"/>
      <c r="XCB12" s="0"/>
      <c r="XCC12" s="0"/>
      <c r="XCD12" s="0"/>
      <c r="XCE12" s="0"/>
      <c r="XCF12" s="0"/>
      <c r="XCG12" s="0"/>
      <c r="XCH12" s="0"/>
      <c r="XCI12" s="0"/>
      <c r="XCJ12" s="0"/>
      <c r="XCK12" s="0"/>
      <c r="XCL12" s="0"/>
      <c r="XCM12" s="0"/>
      <c r="XCN12" s="0"/>
      <c r="XCO12" s="0"/>
      <c r="XCP12" s="0"/>
      <c r="XCQ12" s="0"/>
      <c r="XCR12" s="0"/>
      <c r="XCS12" s="0"/>
      <c r="XCT12" s="0"/>
      <c r="XCU12" s="0"/>
      <c r="XCV12" s="0"/>
      <c r="XCW12" s="0"/>
      <c r="XCX12" s="0"/>
      <c r="XCY12" s="0"/>
      <c r="XCZ12" s="0"/>
      <c r="XDA12" s="0"/>
      <c r="XDB12" s="0"/>
      <c r="XDC12" s="0"/>
      <c r="XDD12" s="0"/>
      <c r="XDE12" s="0"/>
      <c r="XDF12" s="0"/>
      <c r="XDG12" s="0"/>
      <c r="XDH12" s="0"/>
      <c r="XDI12" s="0"/>
      <c r="XDJ12" s="0"/>
      <c r="XDK12" s="0"/>
      <c r="XDL12" s="0"/>
      <c r="XDM12" s="0"/>
      <c r="XDN12" s="0"/>
      <c r="XDO12" s="0"/>
      <c r="XDP12" s="0"/>
      <c r="XDQ12" s="0"/>
      <c r="XDR12" s="0"/>
      <c r="XDS12" s="0"/>
      <c r="XDT12" s="0"/>
      <c r="XDU12" s="0"/>
      <c r="XDV12" s="0"/>
      <c r="XDW12" s="0"/>
      <c r="XDX12" s="0"/>
      <c r="XDY12" s="0"/>
      <c r="XDZ12" s="0"/>
      <c r="XEA12" s="0"/>
      <c r="XEB12" s="0"/>
      <c r="XEC12" s="0"/>
      <c r="XED12" s="0"/>
      <c r="XEE12" s="0"/>
      <c r="XEF12" s="0"/>
      <c r="XEG12" s="0"/>
      <c r="XEH12" s="0"/>
      <c r="XEI12" s="0"/>
      <c r="XEJ12" s="0"/>
      <c r="XEK12" s="0"/>
      <c r="XEL12" s="0"/>
      <c r="XEM12" s="0"/>
      <c r="XEN12" s="0"/>
      <c r="XEO12" s="0"/>
      <c r="XEP12" s="0"/>
      <c r="XEQ12" s="0"/>
      <c r="XER12" s="0"/>
      <c r="XES12" s="0"/>
      <c r="XET12" s="0"/>
      <c r="XEU12" s="0"/>
      <c r="XEV12" s="0"/>
      <c r="XEW12" s="0"/>
      <c r="XEX12" s="0"/>
      <c r="XEY12" s="0"/>
      <c r="XEZ12" s="0"/>
      <c r="XFA12" s="0"/>
      <c r="XFB12" s="0"/>
      <c r="XFC12" s="0"/>
      <c r="XFD12" s="0"/>
    </row>
    <row r="13" customFormat="false" ht="14.25" hidden="false" customHeight="false" outlineLevel="0" collapsed="false">
      <c r="A13" s="9" t="n">
        <v>11</v>
      </c>
      <c r="B13" s="9" t="n">
        <v>1</v>
      </c>
      <c r="C13" s="10" t="s">
        <v>12</v>
      </c>
      <c r="D13" s="21" t="s">
        <v>46</v>
      </c>
      <c r="E13" s="21"/>
      <c r="F13" s="44"/>
      <c r="G13" s="21"/>
      <c r="H13" s="21"/>
      <c r="I13" s="21" t="n">
        <v>5.95</v>
      </c>
      <c r="J13" s="9" t="n">
        <v>1</v>
      </c>
      <c r="K13" s="21"/>
    </row>
    <row r="14" customFormat="false" ht="14.25" hidden="false" customHeight="false" outlineLevel="0" collapsed="false">
      <c r="A14" s="9" t="n">
        <v>12</v>
      </c>
      <c r="B14" s="9" t="n">
        <v>1</v>
      </c>
      <c r="C14" s="10" t="s">
        <v>12</v>
      </c>
      <c r="D14" s="21" t="s">
        <v>47</v>
      </c>
      <c r="E14" s="21"/>
      <c r="F14" s="44"/>
      <c r="G14" s="21"/>
      <c r="H14" s="21"/>
      <c r="I14" s="21"/>
      <c r="J14" s="9" t="n">
        <v>1</v>
      </c>
      <c r="K14" s="21"/>
    </row>
    <row r="15" customFormat="false" ht="14.25" hidden="false" customHeight="false" outlineLevel="0" collapsed="false">
      <c r="A15" s="9"/>
      <c r="B15" s="9"/>
      <c r="C15" s="10"/>
      <c r="D15" s="11"/>
      <c r="E15" s="11"/>
      <c r="F15" s="45"/>
      <c r="G15" s="13"/>
      <c r="H15" s="14"/>
      <c r="I15" s="15"/>
      <c r="J15" s="9"/>
      <c r="K15" s="18"/>
    </row>
    <row r="16" customFormat="false" ht="14.25" hidden="false" customHeight="false" outlineLevel="0" collapsed="false">
      <c r="A16" s="9"/>
      <c r="B16" s="9"/>
      <c r="C16" s="10"/>
      <c r="D16" s="11"/>
      <c r="E16" s="11"/>
      <c r="F16" s="45"/>
      <c r="G16" s="13"/>
      <c r="H16" s="14"/>
      <c r="I16" s="15"/>
      <c r="J16" s="9"/>
      <c r="K16" s="18"/>
    </row>
    <row r="17" customFormat="false" ht="14.25" hidden="false" customHeight="false" outlineLevel="0" collapsed="false">
      <c r="A17" s="9"/>
      <c r="B17" s="9"/>
      <c r="C17" s="10"/>
      <c r="D17" s="11"/>
      <c r="E17" s="11"/>
      <c r="F17" s="45"/>
      <c r="G17" s="13"/>
      <c r="H17" s="14"/>
      <c r="I17" s="15"/>
      <c r="J17" s="9"/>
      <c r="K17" s="18"/>
    </row>
    <row r="18" customFormat="false" ht="14.25" hidden="false" customHeight="false" outlineLevel="0" collapsed="false">
      <c r="A18" s="9"/>
      <c r="B18" s="9"/>
      <c r="C18" s="10"/>
      <c r="D18" s="11"/>
      <c r="E18" s="11"/>
      <c r="F18" s="45"/>
      <c r="G18" s="13"/>
      <c r="H18" s="14"/>
      <c r="I18" s="15"/>
      <c r="J18" s="9"/>
      <c r="K18" s="18"/>
    </row>
    <row r="19" customFormat="false" ht="14.25" hidden="false" customHeight="false" outlineLevel="0" collapsed="false">
      <c r="A19" s="9"/>
      <c r="B19" s="9"/>
      <c r="C19" s="10"/>
      <c r="D19" s="11"/>
      <c r="E19" s="11"/>
      <c r="F19" s="45"/>
      <c r="G19" s="13"/>
      <c r="H19" s="14"/>
      <c r="I19" s="15"/>
      <c r="J19" s="9"/>
      <c r="K19" s="18"/>
    </row>
    <row r="20" customFormat="false" ht="14.25" hidden="false" customHeight="false" outlineLevel="0" collapsed="false">
      <c r="A20" s="9"/>
      <c r="B20" s="9"/>
      <c r="C20" s="10"/>
      <c r="D20" s="11"/>
      <c r="E20" s="11"/>
      <c r="F20" s="45"/>
      <c r="G20" s="13"/>
      <c r="H20" s="14"/>
      <c r="I20" s="15"/>
      <c r="J20" s="9"/>
      <c r="K20" s="18"/>
    </row>
    <row r="21" customFormat="false" ht="14.25" hidden="false" customHeight="false" outlineLevel="0" collapsed="false">
      <c r="A21" s="9"/>
      <c r="B21" s="9"/>
      <c r="C21" s="10"/>
      <c r="D21" s="11"/>
      <c r="E21" s="11"/>
      <c r="F21" s="45"/>
      <c r="G21" s="13"/>
      <c r="H21" s="14"/>
      <c r="I21" s="15"/>
      <c r="J21" s="9"/>
      <c r="K21" s="18"/>
    </row>
    <row r="22" customFormat="false" ht="14.25" hidden="false" customHeight="false" outlineLevel="0" collapsed="false">
      <c r="A22" s="9"/>
      <c r="B22" s="9"/>
      <c r="C22" s="10"/>
      <c r="D22" s="11"/>
      <c r="E22" s="11"/>
      <c r="F22" s="45"/>
      <c r="G22" s="13"/>
      <c r="H22" s="14"/>
      <c r="I22" s="15"/>
      <c r="J22" s="9"/>
      <c r="K22" s="18"/>
    </row>
    <row r="23" customFormat="false" ht="14.25" hidden="false" customHeight="false" outlineLevel="0" collapsed="false">
      <c r="A23" s="9"/>
      <c r="B23" s="9"/>
      <c r="C23" s="10"/>
      <c r="D23" s="11"/>
      <c r="E23" s="11"/>
      <c r="F23" s="45"/>
      <c r="G23" s="13"/>
      <c r="H23" s="14"/>
      <c r="I23" s="15"/>
      <c r="J23" s="9"/>
      <c r="K23" s="18"/>
    </row>
    <row r="24" customFormat="false" ht="14.25" hidden="false" customHeight="false" outlineLevel="0" collapsed="false">
      <c r="A24" s="9"/>
      <c r="B24" s="9"/>
      <c r="C24" s="10"/>
      <c r="D24" s="11"/>
      <c r="E24" s="11"/>
      <c r="F24" s="45"/>
      <c r="G24" s="13"/>
      <c r="H24" s="14"/>
      <c r="I24" s="15"/>
      <c r="J24" s="9"/>
      <c r="K24" s="18"/>
    </row>
    <row r="25" customFormat="false" ht="14.25" hidden="false" customHeight="false" outlineLevel="0" collapsed="false">
      <c r="A25" s="9"/>
      <c r="B25" s="9"/>
      <c r="C25" s="10"/>
      <c r="D25" s="11"/>
      <c r="E25" s="11"/>
      <c r="F25" s="45"/>
      <c r="G25" s="13"/>
      <c r="H25" s="14"/>
      <c r="I25" s="15"/>
      <c r="J25" s="9"/>
      <c r="K25" s="18"/>
    </row>
    <row r="26" customFormat="false" ht="14.25" hidden="false" customHeight="false" outlineLevel="0" collapsed="false">
      <c r="A26" s="9"/>
      <c r="B26" s="9"/>
      <c r="C26" s="10"/>
      <c r="D26" s="11"/>
      <c r="E26" s="11"/>
      <c r="F26" s="45"/>
      <c r="G26" s="13"/>
      <c r="H26" s="14"/>
      <c r="I26" s="15"/>
      <c r="J26" s="9"/>
      <c r="K26" s="18"/>
    </row>
    <row r="27" customFormat="false" ht="14.25" hidden="false" customHeight="false" outlineLevel="0" collapsed="false">
      <c r="A27" s="9"/>
      <c r="B27" s="9"/>
      <c r="C27" s="10"/>
      <c r="D27" s="11"/>
      <c r="E27" s="11"/>
      <c r="F27" s="45"/>
      <c r="G27" s="13"/>
      <c r="H27" s="14"/>
      <c r="I27" s="15"/>
      <c r="J27" s="9"/>
      <c r="K27" s="18"/>
    </row>
    <row r="28" customFormat="false" ht="14.25" hidden="false" customHeight="false" outlineLevel="0" collapsed="false">
      <c r="A28" s="9"/>
      <c r="B28" s="9"/>
      <c r="C28" s="10"/>
      <c r="D28" s="11"/>
      <c r="E28" s="11"/>
      <c r="F28" s="45"/>
      <c r="G28" s="13"/>
      <c r="H28" s="14"/>
      <c r="I28" s="15"/>
      <c r="J28" s="9"/>
      <c r="K28" s="18"/>
    </row>
    <row r="29" customFormat="false" ht="14.25" hidden="false" customHeight="false" outlineLevel="0" collapsed="false">
      <c r="A29" s="9"/>
      <c r="B29" s="9"/>
      <c r="C29" s="10"/>
      <c r="D29" s="11"/>
      <c r="E29" s="11"/>
      <c r="F29" s="45"/>
      <c r="G29" s="13"/>
      <c r="H29" s="14"/>
      <c r="I29" s="15"/>
      <c r="J29" s="9"/>
      <c r="K29" s="18"/>
    </row>
    <row r="30" customFormat="false" ht="14.25" hidden="false" customHeight="false" outlineLevel="0" collapsed="false">
      <c r="A30" s="9"/>
      <c r="B30" s="9"/>
      <c r="C30" s="10"/>
      <c r="D30" s="11"/>
      <c r="E30" s="11"/>
      <c r="F30" s="45"/>
      <c r="G30" s="13"/>
      <c r="H30" s="14"/>
      <c r="I30" s="15"/>
      <c r="J30" s="9"/>
      <c r="K30" s="18"/>
    </row>
    <row r="31" customFormat="false" ht="14.25" hidden="false" customHeight="false" outlineLevel="0" collapsed="false">
      <c r="A31" s="9"/>
      <c r="B31" s="9"/>
      <c r="C31" s="10"/>
      <c r="D31" s="11"/>
      <c r="E31" s="11"/>
      <c r="F31" s="45"/>
      <c r="G31" s="13"/>
      <c r="H31" s="14"/>
      <c r="I31" s="15"/>
      <c r="J31" s="9"/>
      <c r="K31" s="18"/>
    </row>
    <row r="32" customFormat="false" ht="14.25" hidden="false" customHeight="false" outlineLevel="0" collapsed="false">
      <c r="A32" s="9"/>
      <c r="B32" s="9"/>
      <c r="C32" s="10"/>
      <c r="D32" s="11"/>
      <c r="E32" s="11"/>
      <c r="F32" s="45"/>
      <c r="G32" s="13"/>
      <c r="H32" s="14"/>
      <c r="I32" s="15"/>
      <c r="J32" s="9"/>
      <c r="K32" s="18"/>
    </row>
    <row r="33" customFormat="false" ht="14.25" hidden="false" customHeight="false" outlineLevel="0" collapsed="false">
      <c r="A33" s="9"/>
      <c r="B33" s="9"/>
      <c r="C33" s="10"/>
      <c r="D33" s="11"/>
      <c r="E33" s="11"/>
      <c r="F33" s="45"/>
      <c r="G33" s="13"/>
      <c r="H33" s="14"/>
      <c r="I33" s="15"/>
      <c r="J33" s="9"/>
      <c r="K33" s="18"/>
    </row>
    <row r="34" customFormat="false" ht="14.25" hidden="false" customHeight="false" outlineLevel="0" collapsed="false">
      <c r="A34" s="9"/>
      <c r="B34" s="9"/>
      <c r="C34" s="10"/>
      <c r="D34" s="11"/>
      <c r="E34" s="11"/>
      <c r="F34" s="45"/>
      <c r="G34" s="13"/>
      <c r="H34" s="14"/>
      <c r="I34" s="15"/>
      <c r="J34" s="9"/>
      <c r="K34" s="18"/>
    </row>
    <row r="35" customFormat="false" ht="14.25" hidden="false" customHeight="false" outlineLevel="0" collapsed="false">
      <c r="A35" s="9"/>
      <c r="B35" s="9"/>
      <c r="C35" s="10"/>
      <c r="D35" s="11"/>
      <c r="E35" s="11"/>
      <c r="F35" s="45"/>
      <c r="G35" s="13"/>
      <c r="H35" s="14"/>
      <c r="I35" s="15"/>
      <c r="J35" s="9"/>
      <c r="K35" s="18"/>
    </row>
    <row r="36" customFormat="false" ht="14.25" hidden="false" customHeight="false" outlineLevel="0" collapsed="false">
      <c r="A36" s="9"/>
      <c r="B36" s="9"/>
      <c r="C36" s="10"/>
      <c r="D36" s="11"/>
      <c r="E36" s="11"/>
      <c r="F36" s="45"/>
      <c r="G36" s="13"/>
      <c r="H36" s="14"/>
      <c r="I36" s="15"/>
      <c r="J36" s="9"/>
      <c r="K36" s="18"/>
    </row>
    <row r="37" customFormat="false" ht="14.25" hidden="false" customHeight="false" outlineLevel="0" collapsed="false">
      <c r="A37" s="9"/>
      <c r="B37" s="9"/>
      <c r="C37" s="10"/>
      <c r="D37" s="11"/>
      <c r="E37" s="11"/>
      <c r="F37" s="45"/>
      <c r="G37" s="13"/>
      <c r="H37" s="14"/>
      <c r="I37" s="15"/>
      <c r="J37" s="9"/>
      <c r="K37" s="18"/>
    </row>
    <row r="38" customFormat="false" ht="14.25" hidden="false" customHeight="false" outlineLevel="0" collapsed="false">
      <c r="A38" s="9"/>
      <c r="B38" s="9"/>
      <c r="C38" s="10"/>
      <c r="D38" s="11"/>
      <c r="E38" s="11"/>
      <c r="F38" s="45"/>
      <c r="G38" s="13"/>
      <c r="H38" s="14"/>
      <c r="I38" s="15"/>
      <c r="J38" s="9"/>
      <c r="K38" s="18"/>
    </row>
    <row r="39" customFormat="false" ht="14.25" hidden="false" customHeight="false" outlineLevel="0" collapsed="false">
      <c r="A39" s="9"/>
      <c r="B39" s="9"/>
      <c r="C39" s="10"/>
      <c r="D39" s="11"/>
      <c r="E39" s="11"/>
      <c r="F39" s="45"/>
      <c r="G39" s="13"/>
      <c r="H39" s="14"/>
      <c r="I39" s="15"/>
      <c r="J39" s="9"/>
      <c r="K39" s="18"/>
    </row>
    <row r="40" customFormat="false" ht="14.25" hidden="false" customHeight="false" outlineLevel="0" collapsed="false">
      <c r="A40" s="9"/>
      <c r="B40" s="9"/>
      <c r="C40" s="10"/>
      <c r="D40" s="11"/>
      <c r="E40" s="11"/>
      <c r="F40" s="45"/>
      <c r="G40" s="13"/>
      <c r="H40" s="14"/>
      <c r="I40" s="15"/>
      <c r="J40" s="9"/>
      <c r="K40" s="18"/>
    </row>
    <row r="41" customFormat="false" ht="14.25" hidden="false" customHeight="false" outlineLevel="0" collapsed="false">
      <c r="A41" s="9"/>
      <c r="B41" s="9"/>
      <c r="C41" s="10"/>
      <c r="D41" s="11"/>
      <c r="E41" s="11"/>
      <c r="F41" s="45"/>
      <c r="G41" s="13"/>
      <c r="H41" s="14"/>
      <c r="I41" s="15"/>
      <c r="J41" s="9"/>
      <c r="K41" s="18"/>
    </row>
    <row r="42" customFormat="false" ht="14.25" hidden="false" customHeight="false" outlineLevel="0" collapsed="false">
      <c r="A42" s="9"/>
      <c r="B42" s="9"/>
      <c r="C42" s="10"/>
      <c r="D42" s="11"/>
      <c r="E42" s="11"/>
      <c r="F42" s="45"/>
      <c r="G42" s="13"/>
      <c r="H42" s="14"/>
      <c r="I42" s="15"/>
      <c r="J42" s="9"/>
      <c r="K42" s="18"/>
    </row>
    <row r="43" customFormat="false" ht="14.25" hidden="false" customHeight="false" outlineLevel="0" collapsed="false">
      <c r="A43" s="9"/>
      <c r="B43" s="9"/>
      <c r="C43" s="10"/>
      <c r="D43" s="11"/>
      <c r="E43" s="11"/>
      <c r="F43" s="45"/>
      <c r="G43" s="13"/>
      <c r="H43" s="14"/>
      <c r="I43" s="15"/>
      <c r="J43" s="9"/>
      <c r="K43" s="18"/>
    </row>
    <row r="44" customFormat="false" ht="14.25" hidden="false" customHeight="false" outlineLevel="0" collapsed="false">
      <c r="A44" s="9"/>
      <c r="B44" s="9"/>
      <c r="C44" s="10"/>
      <c r="D44" s="11"/>
      <c r="E44" s="11"/>
      <c r="F44" s="45"/>
      <c r="G44" s="13"/>
      <c r="H44" s="14"/>
      <c r="I44" s="15"/>
      <c r="J44" s="9"/>
      <c r="K44" s="18"/>
    </row>
    <row r="45" customFormat="false" ht="14.25" hidden="false" customHeight="false" outlineLevel="0" collapsed="false">
      <c r="A45" s="9"/>
      <c r="B45" s="9"/>
      <c r="C45" s="10"/>
      <c r="D45" s="11"/>
      <c r="E45" s="11"/>
      <c r="F45" s="45"/>
      <c r="G45" s="13"/>
      <c r="H45" s="14"/>
      <c r="I45" s="15"/>
      <c r="J45" s="9"/>
      <c r="K45" s="18"/>
    </row>
    <row r="46" customFormat="false" ht="14.25" hidden="false" customHeight="false" outlineLevel="0" collapsed="false">
      <c r="A46" s="9"/>
      <c r="B46" s="9"/>
      <c r="C46" s="10"/>
      <c r="D46" s="11"/>
      <c r="E46" s="11"/>
      <c r="F46" s="45"/>
      <c r="G46" s="13"/>
      <c r="H46" s="14"/>
      <c r="I46" s="15"/>
      <c r="J46" s="9"/>
      <c r="K46" s="18"/>
    </row>
    <row r="47" customFormat="false" ht="14.25" hidden="false" customHeight="false" outlineLevel="0" collapsed="false">
      <c r="A47" s="9"/>
      <c r="B47" s="9"/>
      <c r="C47" s="10"/>
      <c r="D47" s="11"/>
      <c r="E47" s="11"/>
      <c r="F47" s="45"/>
      <c r="G47" s="13"/>
      <c r="H47" s="14"/>
      <c r="I47" s="15"/>
      <c r="J47" s="9"/>
      <c r="K47" s="18"/>
    </row>
    <row r="48" customFormat="false" ht="14.25" hidden="false" customHeight="false" outlineLevel="0" collapsed="false">
      <c r="A48" s="9"/>
      <c r="B48" s="9"/>
      <c r="C48" s="10"/>
      <c r="D48" s="11"/>
      <c r="E48" s="11"/>
      <c r="F48" s="45"/>
      <c r="G48" s="13"/>
      <c r="H48" s="14"/>
      <c r="I48" s="15"/>
      <c r="J48" s="9"/>
      <c r="K48" s="18"/>
    </row>
    <row r="49" customFormat="false" ht="14.25" hidden="false" customHeight="false" outlineLevel="0" collapsed="false">
      <c r="A49" s="9"/>
      <c r="B49" s="9"/>
      <c r="C49" s="10"/>
      <c r="D49" s="11"/>
      <c r="E49" s="11"/>
      <c r="F49" s="45"/>
      <c r="G49" s="13"/>
      <c r="H49" s="14"/>
      <c r="I49" s="15"/>
      <c r="J49" s="9"/>
      <c r="K49" s="18"/>
    </row>
    <row r="50" customFormat="false" ht="14.25" hidden="false" customHeight="false" outlineLevel="0" collapsed="false">
      <c r="A50" s="9"/>
      <c r="B50" s="9"/>
      <c r="C50" s="10"/>
      <c r="D50" s="11"/>
      <c r="E50" s="11"/>
      <c r="F50" s="45"/>
      <c r="G50" s="13"/>
      <c r="H50" s="14"/>
      <c r="I50" s="15"/>
      <c r="J50" s="9"/>
      <c r="K50" s="18"/>
    </row>
    <row r="51" customFormat="false" ht="14.25" hidden="false" customHeight="false" outlineLevel="0" collapsed="false">
      <c r="A51" s="9"/>
      <c r="B51" s="9"/>
      <c r="C51" s="10"/>
      <c r="D51" s="11"/>
      <c r="E51" s="11"/>
      <c r="F51" s="45"/>
      <c r="G51" s="13"/>
      <c r="H51" s="14"/>
      <c r="I51" s="15"/>
      <c r="J51" s="9"/>
      <c r="K51" s="18"/>
    </row>
    <row r="52" customFormat="false" ht="14.25" hidden="false" customHeight="false" outlineLevel="0" collapsed="false">
      <c r="A52" s="9"/>
      <c r="B52" s="9"/>
      <c r="C52" s="10"/>
      <c r="D52" s="11"/>
      <c r="E52" s="11"/>
      <c r="F52" s="45"/>
      <c r="G52" s="13"/>
      <c r="H52" s="14"/>
      <c r="I52" s="15"/>
      <c r="J52" s="9"/>
      <c r="K52" s="18"/>
    </row>
    <row r="53" customFormat="false" ht="14.25" hidden="false" customHeight="false" outlineLevel="0" collapsed="false">
      <c r="A53" s="9"/>
      <c r="B53" s="9"/>
      <c r="C53" s="10"/>
      <c r="D53" s="11"/>
      <c r="E53" s="11"/>
      <c r="F53" s="45"/>
      <c r="G53" s="13"/>
      <c r="H53" s="14"/>
      <c r="I53" s="15"/>
      <c r="J53" s="9"/>
      <c r="K53" s="18"/>
    </row>
    <row r="54" customFormat="false" ht="14.25" hidden="false" customHeight="false" outlineLevel="0" collapsed="false">
      <c r="A54" s="9"/>
      <c r="B54" s="9"/>
      <c r="C54" s="10"/>
      <c r="D54" s="11"/>
      <c r="E54" s="11"/>
      <c r="F54" s="45"/>
      <c r="G54" s="13"/>
      <c r="H54" s="14"/>
      <c r="I54" s="15"/>
      <c r="J54" s="9"/>
      <c r="K54" s="18"/>
    </row>
    <row r="55" customFormat="false" ht="14.25" hidden="false" customHeight="false" outlineLevel="0" collapsed="false">
      <c r="A55" s="9"/>
      <c r="B55" s="9"/>
      <c r="C55" s="10"/>
      <c r="D55" s="11"/>
      <c r="E55" s="11"/>
      <c r="F55" s="45"/>
      <c r="G55" s="13"/>
      <c r="H55" s="14"/>
      <c r="I55" s="15"/>
      <c r="J55" s="9"/>
      <c r="K55" s="18"/>
    </row>
    <row r="56" customFormat="false" ht="14.25" hidden="false" customHeight="false" outlineLevel="0" collapsed="false">
      <c r="A56" s="9"/>
      <c r="B56" s="9"/>
      <c r="C56" s="10"/>
      <c r="D56" s="11"/>
      <c r="E56" s="11"/>
      <c r="F56" s="45"/>
      <c r="G56" s="13"/>
      <c r="H56" s="14"/>
      <c r="I56" s="15"/>
      <c r="J56" s="9"/>
      <c r="K56" s="18"/>
    </row>
    <row r="57" customFormat="false" ht="14.25" hidden="false" customHeight="false" outlineLevel="0" collapsed="false">
      <c r="A57" s="9"/>
      <c r="B57" s="9"/>
      <c r="C57" s="10"/>
      <c r="D57" s="11"/>
      <c r="E57" s="11"/>
      <c r="F57" s="45"/>
      <c r="G57" s="13"/>
      <c r="H57" s="14"/>
      <c r="I57" s="15"/>
      <c r="J57" s="9"/>
      <c r="K57" s="18"/>
    </row>
    <row r="58" customFormat="false" ht="14.25" hidden="false" customHeight="false" outlineLevel="0" collapsed="false">
      <c r="A58" s="9"/>
      <c r="B58" s="9"/>
      <c r="C58" s="10"/>
      <c r="D58" s="11"/>
      <c r="E58" s="11"/>
      <c r="F58" s="45"/>
      <c r="G58" s="13"/>
      <c r="H58" s="14"/>
      <c r="I58" s="15"/>
      <c r="J58" s="9"/>
      <c r="K58" s="18"/>
    </row>
    <row r="59" customFormat="false" ht="14.25" hidden="false" customHeight="false" outlineLevel="0" collapsed="false">
      <c r="A59" s="9"/>
      <c r="B59" s="9"/>
      <c r="C59" s="10"/>
      <c r="D59" s="11"/>
      <c r="E59" s="11"/>
      <c r="F59" s="45"/>
      <c r="G59" s="13"/>
      <c r="H59" s="14"/>
      <c r="I59" s="15"/>
      <c r="J59" s="9"/>
      <c r="K59" s="18"/>
    </row>
    <row r="60" customFormat="false" ht="14.25" hidden="false" customHeight="false" outlineLevel="0" collapsed="false">
      <c r="A60" s="9"/>
      <c r="B60" s="9"/>
      <c r="C60" s="10"/>
      <c r="D60" s="11"/>
      <c r="E60" s="11"/>
      <c r="F60" s="45"/>
      <c r="G60" s="13"/>
      <c r="H60" s="14"/>
      <c r="I60" s="15"/>
      <c r="J60" s="9"/>
      <c r="K60" s="18"/>
    </row>
    <row r="61" customFormat="false" ht="14.25" hidden="false" customHeight="false" outlineLevel="0" collapsed="false">
      <c r="A61" s="9"/>
      <c r="B61" s="9"/>
      <c r="C61" s="10"/>
      <c r="D61" s="11"/>
      <c r="E61" s="11"/>
      <c r="F61" s="45"/>
      <c r="G61" s="13"/>
      <c r="H61" s="14"/>
      <c r="I61" s="15"/>
      <c r="J61" s="9"/>
      <c r="K61" s="18"/>
    </row>
    <row r="62" customFormat="false" ht="14.25" hidden="false" customHeight="false" outlineLevel="0" collapsed="false">
      <c r="A62" s="9"/>
      <c r="B62" s="9"/>
      <c r="C62" s="10"/>
      <c r="D62" s="11"/>
      <c r="E62" s="11"/>
      <c r="F62" s="45"/>
      <c r="G62" s="13"/>
      <c r="H62" s="14"/>
      <c r="I62" s="15"/>
      <c r="J62" s="9"/>
      <c r="K62" s="18"/>
    </row>
    <row r="63" customFormat="false" ht="14.25" hidden="false" customHeight="false" outlineLevel="0" collapsed="false">
      <c r="A63" s="9"/>
      <c r="B63" s="9"/>
      <c r="C63" s="10"/>
      <c r="D63" s="11"/>
      <c r="E63" s="11"/>
      <c r="F63" s="45"/>
      <c r="G63" s="13"/>
      <c r="H63" s="14"/>
      <c r="I63" s="15"/>
      <c r="J63" s="9"/>
      <c r="K63" s="18"/>
    </row>
    <row r="64" customFormat="false" ht="14.25" hidden="false" customHeight="false" outlineLevel="0" collapsed="false">
      <c r="A64" s="9"/>
      <c r="B64" s="9"/>
      <c r="C64" s="10"/>
      <c r="D64" s="11"/>
      <c r="E64" s="11"/>
      <c r="F64" s="45"/>
      <c r="G64" s="13"/>
      <c r="H64" s="14"/>
      <c r="I64" s="15"/>
      <c r="J64" s="9"/>
      <c r="K64" s="18"/>
    </row>
    <row r="65" customFormat="false" ht="14.25" hidden="false" customHeight="false" outlineLevel="0" collapsed="false">
      <c r="A65" s="9"/>
      <c r="B65" s="9"/>
      <c r="C65" s="10"/>
      <c r="D65" s="11"/>
      <c r="E65" s="11"/>
      <c r="F65" s="45"/>
      <c r="G65" s="13"/>
      <c r="H65" s="14"/>
      <c r="I65" s="15"/>
      <c r="J65" s="9"/>
      <c r="K65" s="18"/>
    </row>
    <row r="66" customFormat="false" ht="14.25" hidden="false" customHeight="false" outlineLevel="0" collapsed="false">
      <c r="A66" s="9"/>
      <c r="B66" s="9"/>
      <c r="C66" s="10"/>
      <c r="D66" s="11"/>
      <c r="E66" s="11"/>
      <c r="F66" s="45"/>
      <c r="G66" s="13"/>
      <c r="H66" s="14"/>
      <c r="I66" s="15"/>
      <c r="J66" s="9"/>
      <c r="K66" s="18"/>
    </row>
    <row r="67" customFormat="false" ht="14.25" hidden="false" customHeight="false" outlineLevel="0" collapsed="false">
      <c r="A67" s="9"/>
      <c r="B67" s="9"/>
      <c r="C67" s="10"/>
      <c r="D67" s="11"/>
      <c r="E67" s="11"/>
      <c r="F67" s="45"/>
      <c r="G67" s="13"/>
      <c r="H67" s="14"/>
      <c r="I67" s="15"/>
      <c r="J67" s="9"/>
      <c r="K67" s="18"/>
    </row>
    <row r="68" customFormat="false" ht="14.25" hidden="false" customHeight="false" outlineLevel="0" collapsed="false">
      <c r="A68" s="9"/>
      <c r="B68" s="9"/>
      <c r="C68" s="10"/>
      <c r="D68" s="11"/>
      <c r="E68" s="11"/>
      <c r="F68" s="45"/>
      <c r="G68" s="13"/>
      <c r="H68" s="14"/>
      <c r="I68" s="15"/>
      <c r="J68" s="9"/>
      <c r="K68" s="18"/>
    </row>
    <row r="69" customFormat="false" ht="14.25" hidden="false" customHeight="false" outlineLevel="0" collapsed="false">
      <c r="A69" s="9"/>
      <c r="B69" s="9"/>
      <c r="C69" s="10"/>
      <c r="D69" s="11"/>
      <c r="E69" s="11"/>
      <c r="F69" s="45"/>
      <c r="G69" s="13"/>
      <c r="H69" s="14"/>
      <c r="I69" s="15"/>
      <c r="J69" s="9"/>
      <c r="K69" s="18"/>
    </row>
    <row r="70" customFormat="false" ht="14.25" hidden="false" customHeight="false" outlineLevel="0" collapsed="false">
      <c r="A70" s="9"/>
      <c r="B70" s="9"/>
      <c r="C70" s="10"/>
      <c r="D70" s="11"/>
      <c r="E70" s="11"/>
      <c r="F70" s="45"/>
      <c r="G70" s="13"/>
      <c r="H70" s="14"/>
      <c r="I70" s="15"/>
      <c r="J70" s="9"/>
      <c r="K70" s="18"/>
    </row>
    <row r="71" customFormat="false" ht="14.25" hidden="false" customHeight="false" outlineLevel="0" collapsed="false">
      <c r="A71" s="9"/>
      <c r="B71" s="9"/>
      <c r="C71" s="10"/>
      <c r="D71" s="11"/>
      <c r="E71" s="11"/>
      <c r="F71" s="45"/>
      <c r="G71" s="13"/>
      <c r="H71" s="14"/>
      <c r="I71" s="15"/>
      <c r="J71" s="9"/>
      <c r="K71" s="18"/>
    </row>
    <row r="72" customFormat="false" ht="14.25" hidden="false" customHeight="false" outlineLevel="0" collapsed="false">
      <c r="A72" s="9"/>
      <c r="B72" s="9"/>
      <c r="C72" s="10"/>
      <c r="D72" s="11"/>
      <c r="E72" s="11"/>
      <c r="F72" s="45"/>
      <c r="G72" s="13"/>
      <c r="H72" s="14"/>
      <c r="I72" s="15"/>
      <c r="J72" s="9"/>
      <c r="K72" s="18"/>
    </row>
    <row r="73" customFormat="false" ht="14.25" hidden="false" customHeight="false" outlineLevel="0" collapsed="false">
      <c r="A73" s="9"/>
      <c r="B73" s="9"/>
      <c r="C73" s="10"/>
      <c r="D73" s="11"/>
      <c r="E73" s="11"/>
      <c r="F73" s="45"/>
      <c r="G73" s="13"/>
      <c r="H73" s="14"/>
      <c r="I73" s="15"/>
      <c r="J73" s="9"/>
      <c r="K73" s="18"/>
    </row>
    <row r="74" customFormat="false" ht="14.25" hidden="false" customHeight="false" outlineLevel="0" collapsed="false">
      <c r="A74" s="9"/>
      <c r="B74" s="9"/>
      <c r="C74" s="10"/>
      <c r="D74" s="11"/>
      <c r="E74" s="11"/>
      <c r="F74" s="45"/>
      <c r="G74" s="13"/>
      <c r="H74" s="14"/>
      <c r="I74" s="15"/>
      <c r="J74" s="9"/>
      <c r="K74" s="18"/>
    </row>
    <row r="75" customFormat="false" ht="14.25" hidden="false" customHeight="false" outlineLevel="0" collapsed="false">
      <c r="A75" s="9"/>
      <c r="B75" s="9"/>
      <c r="C75" s="10"/>
      <c r="D75" s="11"/>
      <c r="E75" s="11"/>
      <c r="F75" s="45"/>
      <c r="G75" s="13"/>
      <c r="H75" s="14"/>
      <c r="I75" s="15"/>
      <c r="J75" s="9"/>
      <c r="K75" s="18"/>
    </row>
    <row r="76" customFormat="false" ht="14.25" hidden="false" customHeight="false" outlineLevel="0" collapsed="false">
      <c r="A76" s="9"/>
      <c r="B76" s="9"/>
      <c r="C76" s="10"/>
      <c r="D76" s="11"/>
      <c r="E76" s="11"/>
      <c r="F76" s="45"/>
      <c r="G76" s="13"/>
      <c r="H76" s="14"/>
      <c r="I76" s="15"/>
      <c r="J76" s="9"/>
      <c r="K76" s="18"/>
    </row>
    <row r="77" customFormat="false" ht="14.25" hidden="false" customHeight="false" outlineLevel="0" collapsed="false">
      <c r="A77" s="9"/>
      <c r="B77" s="9"/>
      <c r="C77" s="10"/>
      <c r="D77" s="11"/>
      <c r="E77" s="11"/>
      <c r="F77" s="45"/>
      <c r="G77" s="13"/>
      <c r="H77" s="14"/>
      <c r="I77" s="15"/>
      <c r="J77" s="9"/>
      <c r="K77" s="18"/>
    </row>
    <row r="78" customFormat="false" ht="14.25" hidden="false" customHeight="false" outlineLevel="0" collapsed="false">
      <c r="A78" s="9"/>
      <c r="B78" s="9"/>
      <c r="C78" s="10"/>
      <c r="D78" s="11"/>
      <c r="E78" s="11"/>
      <c r="F78" s="45"/>
      <c r="G78" s="13"/>
      <c r="H78" s="14"/>
      <c r="I78" s="15"/>
      <c r="J78" s="9"/>
      <c r="K78" s="18"/>
    </row>
    <row r="79" customFormat="false" ht="14.25" hidden="false" customHeight="false" outlineLevel="0" collapsed="false">
      <c r="A79" s="9"/>
      <c r="B79" s="9"/>
      <c r="C79" s="10"/>
      <c r="D79" s="11"/>
      <c r="E79" s="11"/>
      <c r="F79" s="45"/>
      <c r="G79" s="46"/>
      <c r="H79" s="14"/>
      <c r="I79" s="15"/>
      <c r="J79" s="9"/>
      <c r="K79" s="18"/>
    </row>
    <row r="80" customFormat="false" ht="14.25" hidden="false" customHeight="false" outlineLevel="0" collapsed="false">
      <c r="A80" s="9"/>
      <c r="B80" s="9"/>
      <c r="C80" s="10"/>
      <c r="D80" s="11"/>
      <c r="E80" s="11"/>
      <c r="F80" s="45"/>
      <c r="G80" s="46"/>
      <c r="H80" s="14"/>
      <c r="I80" s="15"/>
      <c r="J80" s="9"/>
      <c r="K80" s="18"/>
    </row>
    <row r="81" customFormat="false" ht="14.25" hidden="false" customHeight="false" outlineLevel="0" collapsed="false">
      <c r="A81" s="9"/>
      <c r="B81" s="9"/>
      <c r="C81" s="10"/>
      <c r="D81" s="11"/>
      <c r="E81" s="11"/>
      <c r="F81" s="45"/>
      <c r="G81" s="46"/>
      <c r="H81" s="14"/>
      <c r="I81" s="15"/>
      <c r="J81" s="9"/>
      <c r="K81" s="18"/>
    </row>
    <row r="82" customFormat="false" ht="14.25" hidden="false" customHeight="false" outlineLevel="0" collapsed="false">
      <c r="A82" s="9"/>
      <c r="B82" s="47"/>
      <c r="C82" s="10"/>
      <c r="D82" s="10"/>
      <c r="E82" s="10"/>
      <c r="F82" s="48"/>
      <c r="G82" s="46"/>
      <c r="H82" s="49"/>
      <c r="I82" s="50"/>
      <c r="J82" s="47"/>
      <c r="K82" s="18"/>
    </row>
    <row r="83" customFormat="false" ht="14.25" hidden="false" customHeight="false" outlineLevel="0" collapsed="false">
      <c r="A83" s="9"/>
      <c r="B83" s="47"/>
      <c r="C83" s="10"/>
      <c r="D83" s="10"/>
      <c r="E83" s="10"/>
      <c r="F83" s="48"/>
      <c r="G83" s="46"/>
      <c r="H83" s="49"/>
      <c r="I83" s="50"/>
      <c r="J83" s="47"/>
      <c r="K83" s="18"/>
    </row>
    <row r="84" customFormat="false" ht="14.25" hidden="false" customHeight="false" outlineLevel="0" collapsed="false">
      <c r="A84" s="9"/>
      <c r="B84" s="47"/>
      <c r="C84" s="10"/>
      <c r="D84" s="10"/>
      <c r="E84" s="10"/>
      <c r="F84" s="48"/>
      <c r="G84" s="46"/>
      <c r="H84" s="49"/>
      <c r="I84" s="50"/>
      <c r="J84" s="47"/>
      <c r="K84" s="18"/>
    </row>
    <row r="85" customFormat="false" ht="14.25" hidden="false" customHeight="false" outlineLevel="0" collapsed="false">
      <c r="A85" s="9"/>
      <c r="B85" s="47"/>
      <c r="C85" s="10"/>
      <c r="D85" s="10"/>
      <c r="E85" s="10"/>
      <c r="F85" s="48"/>
      <c r="G85" s="46"/>
      <c r="H85" s="49"/>
      <c r="I85" s="50"/>
      <c r="J85" s="47"/>
      <c r="K85" s="18"/>
    </row>
    <row r="86" customFormat="false" ht="14.25" hidden="false" customHeight="false" outlineLevel="0" collapsed="false">
      <c r="A86" s="9"/>
      <c r="B86" s="47"/>
      <c r="C86" s="10"/>
      <c r="D86" s="10"/>
      <c r="E86" s="10"/>
      <c r="F86" s="48"/>
      <c r="G86" s="46"/>
      <c r="H86" s="49"/>
      <c r="I86" s="50"/>
      <c r="J86" s="47"/>
      <c r="K86" s="18"/>
    </row>
    <row r="87" customFormat="false" ht="14.25" hidden="false" customHeight="false" outlineLevel="0" collapsed="false">
      <c r="A87" s="9"/>
      <c r="B87" s="47"/>
      <c r="C87" s="10"/>
      <c r="D87" s="10"/>
      <c r="E87" s="10"/>
      <c r="F87" s="48"/>
      <c r="G87" s="46"/>
      <c r="H87" s="49"/>
      <c r="I87" s="50"/>
      <c r="J87" s="47"/>
      <c r="K87" s="18"/>
    </row>
    <row r="88" customFormat="false" ht="14.25" hidden="false" customHeight="false" outlineLevel="0" collapsed="false">
      <c r="A88" s="9"/>
      <c r="B88" s="47"/>
      <c r="C88" s="10"/>
      <c r="D88" s="10"/>
      <c r="E88" s="10"/>
      <c r="F88" s="48"/>
      <c r="G88" s="46"/>
      <c r="H88" s="49"/>
      <c r="I88" s="50"/>
      <c r="J88" s="47"/>
      <c r="K88" s="18"/>
    </row>
    <row r="89" customFormat="false" ht="14.25" hidden="false" customHeight="false" outlineLevel="0" collapsed="false">
      <c r="A89" s="9"/>
      <c r="B89" s="47"/>
      <c r="C89" s="10"/>
      <c r="D89" s="10"/>
      <c r="E89" s="10"/>
      <c r="F89" s="48"/>
      <c r="G89" s="46"/>
      <c r="H89" s="49"/>
      <c r="I89" s="50"/>
      <c r="J89" s="47"/>
      <c r="K89" s="18"/>
    </row>
    <row r="90" customFormat="false" ht="14.25" hidden="false" customHeight="false" outlineLevel="0" collapsed="false">
      <c r="A90" s="9"/>
      <c r="B90" s="47"/>
      <c r="C90" s="10"/>
      <c r="D90" s="10"/>
      <c r="E90" s="10"/>
      <c r="F90" s="48"/>
      <c r="G90" s="46"/>
      <c r="H90" s="49"/>
      <c r="I90" s="50"/>
      <c r="J90" s="47"/>
      <c r="K90" s="18"/>
    </row>
    <row r="91" customFormat="false" ht="14.25" hidden="false" customHeight="false" outlineLevel="0" collapsed="false">
      <c r="A91" s="9"/>
      <c r="B91" s="47"/>
      <c r="C91" s="10"/>
      <c r="D91" s="10"/>
      <c r="E91" s="10"/>
      <c r="F91" s="48"/>
      <c r="G91" s="46"/>
      <c r="H91" s="49"/>
      <c r="I91" s="50"/>
      <c r="J91" s="47"/>
      <c r="K91" s="18"/>
    </row>
    <row r="92" customFormat="false" ht="14.25" hidden="false" customHeight="false" outlineLevel="0" collapsed="false">
      <c r="A92" s="9"/>
      <c r="B92" s="47"/>
      <c r="C92" s="10"/>
      <c r="D92" s="10"/>
      <c r="E92" s="10"/>
      <c r="F92" s="48"/>
      <c r="G92" s="46"/>
      <c r="H92" s="49"/>
      <c r="I92" s="50"/>
      <c r="J92" s="47"/>
      <c r="K92" s="18"/>
    </row>
    <row r="93" customFormat="false" ht="14.25" hidden="false" customHeight="false" outlineLevel="0" collapsed="false">
      <c r="A93" s="9"/>
      <c r="B93" s="47"/>
      <c r="C93" s="10"/>
      <c r="D93" s="10"/>
      <c r="E93" s="10"/>
      <c r="F93" s="48"/>
      <c r="G93" s="46"/>
      <c r="H93" s="49"/>
      <c r="I93" s="50"/>
      <c r="J93" s="47"/>
      <c r="K93" s="18"/>
    </row>
    <row r="94" customFormat="false" ht="14.25" hidden="false" customHeight="false" outlineLevel="0" collapsed="false">
      <c r="A94" s="9"/>
      <c r="B94" s="47"/>
      <c r="C94" s="10"/>
      <c r="D94" s="10"/>
      <c r="E94" s="10"/>
      <c r="F94" s="48"/>
      <c r="G94" s="46"/>
      <c r="H94" s="49"/>
      <c r="I94" s="50"/>
      <c r="J94" s="47"/>
      <c r="K94" s="18"/>
    </row>
    <row r="95" customFormat="false" ht="14.25" hidden="false" customHeight="false" outlineLevel="0" collapsed="false">
      <c r="A95" s="9"/>
      <c r="B95" s="47"/>
      <c r="C95" s="10"/>
      <c r="D95" s="10"/>
      <c r="E95" s="10"/>
      <c r="F95" s="48"/>
      <c r="G95" s="46"/>
      <c r="H95" s="49"/>
      <c r="I95" s="50"/>
      <c r="J95" s="47"/>
      <c r="K95" s="18"/>
    </row>
    <row r="96" customFormat="false" ht="14.25" hidden="false" customHeight="false" outlineLevel="0" collapsed="false">
      <c r="A96" s="9"/>
      <c r="B96" s="47"/>
      <c r="C96" s="10"/>
      <c r="D96" s="10"/>
      <c r="E96" s="10"/>
      <c r="F96" s="48"/>
      <c r="G96" s="46"/>
      <c r="H96" s="49"/>
      <c r="I96" s="50"/>
      <c r="J96" s="47"/>
      <c r="K96" s="18"/>
    </row>
    <row r="97" customFormat="false" ht="14.25" hidden="false" customHeight="false" outlineLevel="0" collapsed="false">
      <c r="A97" s="9"/>
      <c r="B97" s="47"/>
      <c r="C97" s="10"/>
      <c r="D97" s="10"/>
      <c r="E97" s="10"/>
      <c r="F97" s="48"/>
      <c r="G97" s="46"/>
      <c r="H97" s="49"/>
      <c r="I97" s="50"/>
      <c r="J97" s="47"/>
      <c r="K97" s="18"/>
    </row>
    <row r="98" customFormat="false" ht="14.25" hidden="false" customHeight="false" outlineLevel="0" collapsed="false">
      <c r="A98" s="9"/>
      <c r="B98" s="47"/>
      <c r="C98" s="10"/>
      <c r="D98" s="10"/>
      <c r="E98" s="10"/>
      <c r="F98" s="48"/>
      <c r="G98" s="46"/>
      <c r="H98" s="49"/>
      <c r="I98" s="50"/>
      <c r="J98" s="47"/>
      <c r="K98" s="18"/>
    </row>
    <row r="99" customFormat="false" ht="14.25" hidden="false" customHeight="false" outlineLevel="0" collapsed="false">
      <c r="A99" s="9"/>
      <c r="B99" s="47"/>
      <c r="C99" s="10"/>
      <c r="D99" s="10"/>
      <c r="E99" s="10"/>
      <c r="F99" s="48"/>
      <c r="G99" s="46"/>
      <c r="H99" s="49"/>
      <c r="I99" s="50"/>
      <c r="J99" s="47"/>
      <c r="K99" s="18"/>
    </row>
    <row r="100" customFormat="false" ht="14.25" hidden="false" customHeight="false" outlineLevel="0" collapsed="false">
      <c r="A100" s="9"/>
      <c r="B100" s="47"/>
      <c r="C100" s="10"/>
      <c r="D100" s="10"/>
      <c r="E100" s="10"/>
      <c r="F100" s="48"/>
      <c r="G100" s="46"/>
      <c r="H100" s="49"/>
      <c r="I100" s="50"/>
      <c r="J100" s="47"/>
      <c r="K100" s="18"/>
    </row>
    <row r="101" customFormat="false" ht="14.25" hidden="false" customHeight="false" outlineLevel="0" collapsed="false">
      <c r="A101" s="9"/>
      <c r="B101" s="47"/>
      <c r="C101" s="10"/>
      <c r="D101" s="10"/>
      <c r="E101" s="10"/>
      <c r="F101" s="48"/>
      <c r="G101" s="46"/>
      <c r="H101" s="49"/>
      <c r="I101" s="50"/>
      <c r="J101" s="47"/>
      <c r="K101" s="18"/>
    </row>
    <row r="102" customFormat="false" ht="14.25" hidden="false" customHeight="false" outlineLevel="0" collapsed="false">
      <c r="A102" s="9"/>
      <c r="B102" s="47"/>
      <c r="C102" s="10"/>
      <c r="D102" s="10"/>
      <c r="E102" s="10"/>
      <c r="F102" s="48"/>
      <c r="G102" s="46"/>
      <c r="H102" s="49"/>
      <c r="I102" s="50"/>
      <c r="J102" s="47"/>
      <c r="K102" s="18"/>
    </row>
    <row r="103" customFormat="false" ht="14.25" hidden="false" customHeight="false" outlineLevel="0" collapsed="false">
      <c r="A103" s="9"/>
      <c r="B103" s="47"/>
      <c r="C103" s="10"/>
      <c r="D103" s="10"/>
      <c r="E103" s="10"/>
      <c r="F103" s="48"/>
      <c r="G103" s="46"/>
      <c r="H103" s="49"/>
      <c r="I103" s="50"/>
      <c r="J103" s="47"/>
      <c r="K103" s="18"/>
    </row>
    <row r="104" customFormat="false" ht="14.25" hidden="false" customHeight="false" outlineLevel="0" collapsed="false">
      <c r="A104" s="9"/>
      <c r="B104" s="47"/>
      <c r="C104" s="10"/>
      <c r="D104" s="10"/>
      <c r="E104" s="10"/>
      <c r="F104" s="48"/>
      <c r="G104" s="46"/>
      <c r="H104" s="49"/>
      <c r="I104" s="50"/>
      <c r="J104" s="47"/>
      <c r="K104" s="18"/>
    </row>
    <row r="105" customFormat="false" ht="14.25" hidden="false" customHeight="false" outlineLevel="0" collapsed="false">
      <c r="A105" s="9"/>
      <c r="B105" s="47"/>
      <c r="C105" s="10"/>
      <c r="D105" s="10"/>
      <c r="E105" s="10"/>
      <c r="F105" s="48"/>
      <c r="G105" s="46"/>
      <c r="H105" s="49"/>
      <c r="I105" s="50"/>
      <c r="J105" s="47"/>
      <c r="K105" s="18"/>
    </row>
    <row r="106" customFormat="false" ht="14.25" hidden="false" customHeight="false" outlineLevel="0" collapsed="false">
      <c r="A106" s="9"/>
      <c r="B106" s="47"/>
      <c r="C106" s="10"/>
      <c r="D106" s="10"/>
      <c r="E106" s="10"/>
      <c r="F106" s="48"/>
      <c r="G106" s="46"/>
      <c r="H106" s="49"/>
      <c r="I106" s="50"/>
      <c r="J106" s="47"/>
      <c r="K106" s="18"/>
    </row>
    <row r="107" customFormat="false" ht="14.25" hidden="false" customHeight="false" outlineLevel="0" collapsed="false">
      <c r="A107" s="9"/>
      <c r="B107" s="47"/>
      <c r="C107" s="10"/>
      <c r="D107" s="10"/>
      <c r="E107" s="10"/>
      <c r="F107" s="48"/>
      <c r="G107" s="46"/>
      <c r="H107" s="49"/>
      <c r="I107" s="50"/>
      <c r="J107" s="47"/>
      <c r="K107" s="18"/>
    </row>
    <row r="108" customFormat="false" ht="14.25" hidden="false" customHeight="false" outlineLevel="0" collapsed="false">
      <c r="A108" s="9"/>
      <c r="B108" s="47"/>
      <c r="C108" s="10"/>
      <c r="D108" s="10"/>
      <c r="E108" s="10"/>
      <c r="F108" s="48"/>
      <c r="G108" s="46"/>
      <c r="H108" s="49"/>
      <c r="I108" s="50"/>
      <c r="J108" s="47"/>
      <c r="K108" s="18"/>
    </row>
    <row r="109" customFormat="false" ht="14.25" hidden="false" customHeight="false" outlineLevel="0" collapsed="false">
      <c r="A109" s="9"/>
      <c r="B109" s="47"/>
      <c r="C109" s="10"/>
      <c r="D109" s="10"/>
      <c r="E109" s="10"/>
      <c r="F109" s="48"/>
      <c r="G109" s="46"/>
      <c r="H109" s="49"/>
      <c r="I109" s="50"/>
      <c r="J109" s="47"/>
      <c r="K109" s="18"/>
    </row>
    <row r="110" customFormat="false" ht="14.25" hidden="false" customHeight="false" outlineLevel="0" collapsed="false">
      <c r="A110" s="9"/>
      <c r="B110" s="47"/>
      <c r="C110" s="10"/>
      <c r="D110" s="10"/>
      <c r="E110" s="10"/>
      <c r="F110" s="48"/>
      <c r="G110" s="46"/>
      <c r="H110" s="49"/>
      <c r="I110" s="50"/>
      <c r="J110" s="47"/>
      <c r="K110" s="18"/>
    </row>
    <row r="111" customFormat="false" ht="14.25" hidden="false" customHeight="false" outlineLevel="0" collapsed="false">
      <c r="A111" s="9"/>
      <c r="B111" s="47"/>
      <c r="C111" s="10"/>
      <c r="D111" s="10"/>
      <c r="E111" s="10"/>
      <c r="F111" s="48"/>
      <c r="G111" s="46"/>
      <c r="H111" s="49"/>
      <c r="I111" s="50"/>
      <c r="J111" s="47"/>
      <c r="K111" s="18"/>
    </row>
    <row r="112" customFormat="false" ht="14.25" hidden="false" customHeight="false" outlineLevel="0" collapsed="false">
      <c r="A112" s="9"/>
      <c r="B112" s="47"/>
      <c r="C112" s="10"/>
      <c r="D112" s="10"/>
      <c r="E112" s="10"/>
      <c r="F112" s="48"/>
      <c r="G112" s="46"/>
      <c r="H112" s="49"/>
      <c r="I112" s="50"/>
      <c r="J112" s="47"/>
      <c r="K112" s="18"/>
    </row>
    <row r="113" customFormat="false" ht="14.25" hidden="false" customHeight="false" outlineLevel="0" collapsed="false">
      <c r="A113" s="9"/>
      <c r="B113" s="47"/>
      <c r="C113" s="10"/>
      <c r="D113" s="10"/>
      <c r="E113" s="10"/>
      <c r="F113" s="48"/>
      <c r="G113" s="46"/>
      <c r="H113" s="49"/>
      <c r="I113" s="50"/>
      <c r="J113" s="47"/>
      <c r="K113" s="18"/>
    </row>
    <row r="114" customFormat="false" ht="15" hidden="false" customHeight="false" outlineLevel="0" collapsed="false">
      <c r="A114" s="51" t="s">
        <v>48</v>
      </c>
      <c r="B114" s="51"/>
      <c r="C114" s="51"/>
      <c r="D114" s="51"/>
      <c r="E114" s="51"/>
      <c r="F114" s="51"/>
      <c r="G114" s="51"/>
      <c r="H114" s="51"/>
      <c r="I114" s="51"/>
      <c r="J114" s="51"/>
      <c r="K114" s="51"/>
      <c r="L114" s="1"/>
      <c r="M114" s="1"/>
      <c r="N114" s="1"/>
      <c r="O114" s="1"/>
      <c r="P114" s="1"/>
    </row>
    <row r="1048576" customFormat="false" ht="12.8" hidden="false" customHeight="true" outlineLevel="0" collapsed="false"/>
  </sheetData>
  <mergeCells count="3">
    <mergeCell ref="A1:E1"/>
    <mergeCell ref="F1:K1"/>
    <mergeCell ref="A114:K114"/>
  </mergeCells>
  <hyperlinks>
    <hyperlink ref="F3" r:id="rId2" display="keeb.supply"/>
    <hyperlink ref="K3" r:id="rId3" display="Ambients Silent Linear Twilight"/>
    <hyperlink ref="F4" r:id="rId4" display="keeb.supply"/>
    <hyperlink ref="K4" r:id="rId5" display="Choc Kailh hotswap sockets"/>
    <hyperlink ref="F5" r:id="rId6" display="s-grundner"/>
    <hyperlink ref="F6" r:id="rId7" display="keeb.supply"/>
    <hyperlink ref="F8" r:id="rId8" display="reichelt.de"/>
    <hyperlink ref="F9" r:id="rId9" display="reichelt.de"/>
    <hyperlink ref="F10" r:id="rId10" display="keeb.supply"/>
    <hyperlink ref="K10" r:id="rId11" display="Switch Mini 7 Pin 2 Slide Positions"/>
    <hyperlink ref="F11" r:id="rId12" display="amazon.de"/>
    <hyperlink ref="K11" r:id="rId13" display="Round Silicone Rubber Feet"/>
  </hyperlinks>
  <printOptions headings="false" gridLines="false" gridLinesSet="true" horizontalCentered="false" verticalCentered="false"/>
  <pageMargins left="0.7" right="0.7" top="0.7875" bottom="0.7875" header="0.511811023622047" footer="0.511811023622047"/>
  <pageSetup paperSize="8" scale="100" fitToWidth="1" fitToHeight="1" pageOrder="downThenOver" orientation="portrait" blackAndWhite="false" draft="false" cellComments="none" horizontalDpi="300" verticalDpi="300" copies="1"/>
  <headerFooter differentFirst="false" differentOddEven="false">
    <oddHeader/>
    <oddFooter/>
  </headerFooter>
  <legacy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30"/>
  <sheetViews>
    <sheetView showFormulas="false" showGridLines="true" showRowColHeaders="true" showZeros="true" rightToLeft="false" tabSelected="true" showOutlineSymbols="true" defaultGridColor="true" view="pageBreakPreview" topLeftCell="A1" colorId="64" zoomScale="100" zoomScaleNormal="100" zoomScalePageLayoutView="100" workbookViewId="0">
      <selection pane="topLeft" activeCell="G21" activeCellId="0" sqref="G21"/>
    </sheetView>
  </sheetViews>
  <sheetFormatPr defaultColWidth="10.50390625" defaultRowHeight="15" customHeight="true" zeroHeight="false" outlineLevelRow="0" outlineLevelCol="0"/>
  <cols>
    <col collapsed="false" customWidth="true" hidden="false" outlineLevel="0" max="1" min="1" style="52" width="3.5"/>
    <col collapsed="false" customWidth="true" hidden="false" outlineLevel="0" max="2" min="2" style="52" width="5.62"/>
    <col collapsed="false" customWidth="true" hidden="false" outlineLevel="0" max="3" min="3" style="52" width="5.88"/>
    <col collapsed="false" customWidth="true" hidden="false" outlineLevel="0" max="4" min="4" style="52" width="22.62"/>
    <col collapsed="false" customWidth="true" hidden="false" outlineLevel="0" max="5" min="5" style="52" width="24.5"/>
    <col collapsed="false" customWidth="true" hidden="false" outlineLevel="0" max="6" min="6" style="52" width="18"/>
    <col collapsed="false" customWidth="true" hidden="false" outlineLevel="0" max="7" min="7" style="52" width="14.62"/>
    <col collapsed="false" customWidth="true" hidden="false" outlineLevel="0" max="8" min="8" style="52" width="5.12"/>
    <col collapsed="false" customWidth="true" hidden="false" outlineLevel="0" max="9" min="9" style="52" width="8.38"/>
    <col collapsed="false" customWidth="true" hidden="false" outlineLevel="0" max="10" min="10" style="52" width="5.26"/>
    <col collapsed="false" customWidth="true" hidden="false" outlineLevel="0" max="11" min="11" style="52" width="30.12"/>
    <col collapsed="false" customWidth="true" hidden="false" outlineLevel="0" max="12" min="12" style="52" width="14"/>
    <col collapsed="false" customWidth="true" hidden="false" outlineLevel="0" max="13" min="13" style="53" width="14.62"/>
    <col collapsed="false" customWidth="true" hidden="false" outlineLevel="0" max="14" min="14" style="53" width="10.12"/>
    <col collapsed="false" customWidth="true" hidden="false" outlineLevel="0" max="15" min="15" style="53" width="45"/>
    <col collapsed="false" customWidth="false" hidden="false" outlineLevel="0" max="16384" min="16" style="52" width="10.5"/>
  </cols>
  <sheetData>
    <row r="1" customFormat="false" ht="18.75" hidden="false" customHeight="true" outlineLevel="0" collapsed="false">
      <c r="A1" s="54" t="s">
        <v>49</v>
      </c>
      <c r="B1" s="54"/>
      <c r="C1" s="54"/>
      <c r="D1" s="54"/>
      <c r="E1" s="55"/>
      <c r="F1" s="55"/>
      <c r="G1" s="56" t="s">
        <v>50</v>
      </c>
      <c r="H1" s="56"/>
      <c r="I1" s="57"/>
      <c r="J1" s="57"/>
      <c r="K1" s="58" t="s">
        <v>51</v>
      </c>
      <c r="L1" s="59" t="s">
        <v>52</v>
      </c>
      <c r="M1" s="60" t="s">
        <v>53</v>
      </c>
      <c r="N1" s="60"/>
      <c r="O1" s="60"/>
    </row>
    <row r="2" customFormat="false" ht="18.75" hidden="false" customHeight="true" outlineLevel="0" collapsed="false">
      <c r="A2" s="61" t="s">
        <v>54</v>
      </c>
      <c r="B2" s="61"/>
      <c r="C2" s="61"/>
      <c r="D2" s="61"/>
      <c r="E2" s="62"/>
      <c r="F2" s="62"/>
      <c r="G2" s="63" t="s">
        <v>55</v>
      </c>
      <c r="H2" s="63"/>
      <c r="I2" s="64" t="s">
        <v>56</v>
      </c>
      <c r="J2" s="64"/>
      <c r="K2" s="65" t="s">
        <v>57</v>
      </c>
      <c r="L2" s="66" t="n">
        <f aca="true">TODAY()</f>
        <v>45824</v>
      </c>
      <c r="M2" s="67" t="s">
        <v>58</v>
      </c>
      <c r="N2" s="67"/>
      <c r="O2" s="68"/>
    </row>
    <row r="3" customFormat="false" ht="18.75" hidden="false" customHeight="true" outlineLevel="0" collapsed="false">
      <c r="A3" s="61" t="s">
        <v>59</v>
      </c>
      <c r="B3" s="61"/>
      <c r="C3" s="61"/>
      <c r="D3" s="61"/>
      <c r="E3" s="69" t="s">
        <v>60</v>
      </c>
      <c r="F3" s="69"/>
      <c r="G3" s="63" t="s">
        <v>61</v>
      </c>
      <c r="H3" s="63"/>
      <c r="I3" s="64"/>
      <c r="J3" s="64"/>
      <c r="K3" s="70" t="s">
        <v>62</v>
      </c>
      <c r="L3" s="71" t="s">
        <v>63</v>
      </c>
      <c r="M3" s="67" t="s">
        <v>64</v>
      </c>
      <c r="N3" s="67"/>
      <c r="O3" s="68"/>
    </row>
    <row r="4" customFormat="false" ht="18.75" hidden="false" customHeight="true" outlineLevel="0" collapsed="false">
      <c r="A4" s="61" t="s">
        <v>65</v>
      </c>
      <c r="B4" s="61"/>
      <c r="C4" s="61"/>
      <c r="D4" s="61"/>
      <c r="E4" s="69" t="s">
        <v>66</v>
      </c>
      <c r="F4" s="69"/>
      <c r="G4" s="63" t="s">
        <v>67</v>
      </c>
      <c r="H4" s="63"/>
      <c r="I4" s="64"/>
      <c r="J4" s="64"/>
      <c r="K4" s="65" t="s">
        <v>68</v>
      </c>
      <c r="L4" s="71" t="s">
        <v>69</v>
      </c>
      <c r="M4" s="72" t="s">
        <v>70</v>
      </c>
      <c r="N4" s="72"/>
      <c r="O4" s="68" t="s">
        <v>69</v>
      </c>
    </row>
    <row r="5" customFormat="false" ht="18.75" hidden="false" customHeight="true" outlineLevel="0" collapsed="false">
      <c r="A5" s="61" t="s">
        <v>71</v>
      </c>
      <c r="B5" s="61"/>
      <c r="C5" s="61"/>
      <c r="D5" s="61"/>
      <c r="E5" s="69" t="s">
        <v>72</v>
      </c>
      <c r="F5" s="69"/>
      <c r="G5" s="63" t="s">
        <v>73</v>
      </c>
      <c r="H5" s="63"/>
      <c r="I5" s="64"/>
      <c r="J5" s="64"/>
      <c r="K5" s="73" t="s">
        <v>74</v>
      </c>
      <c r="L5" s="71" t="s">
        <v>75</v>
      </c>
      <c r="M5" s="74" t="s">
        <v>76</v>
      </c>
      <c r="N5" s="74"/>
      <c r="O5" s="74"/>
    </row>
    <row r="6" customFormat="false" ht="18.75" hidden="false" customHeight="true" outlineLevel="0" collapsed="false">
      <c r="A6" s="75" t="s">
        <v>77</v>
      </c>
      <c r="B6" s="75"/>
      <c r="C6" s="75"/>
      <c r="D6" s="75"/>
      <c r="E6" s="76" t="s">
        <v>78</v>
      </c>
      <c r="F6" s="76"/>
      <c r="G6" s="77" t="s">
        <v>79</v>
      </c>
      <c r="H6" s="77"/>
      <c r="I6" s="78" t="s">
        <v>80</v>
      </c>
      <c r="J6" s="78"/>
      <c r="K6" s="79" t="s">
        <v>81</v>
      </c>
      <c r="L6" s="80" t="s">
        <v>82</v>
      </c>
      <c r="M6" s="81" t="s">
        <v>83</v>
      </c>
      <c r="N6" s="81"/>
      <c r="O6" s="81"/>
    </row>
    <row r="7" customFormat="false" ht="30" hidden="false" customHeight="true" outlineLevel="0" collapsed="false">
      <c r="A7" s="82" t="s">
        <v>1</v>
      </c>
      <c r="B7" s="83" t="s">
        <v>2</v>
      </c>
      <c r="C7" s="84" t="s">
        <v>3</v>
      </c>
      <c r="D7" s="85" t="s">
        <v>4</v>
      </c>
      <c r="E7" s="84" t="s">
        <v>5</v>
      </c>
      <c r="F7" s="83" t="s">
        <v>6</v>
      </c>
      <c r="G7" s="86" t="s">
        <v>7</v>
      </c>
      <c r="H7" s="84" t="s">
        <v>8</v>
      </c>
      <c r="I7" s="83" t="s">
        <v>9</v>
      </c>
      <c r="J7" s="87" t="s">
        <v>10</v>
      </c>
      <c r="K7" s="83" t="s">
        <v>11</v>
      </c>
      <c r="L7" s="87" t="str">
        <f aca="false">"Preisvorschau
 "&amp;ROUNDUP((SUM(L8:L130)+(SUM(L8:L130)*0.1)+(SUM(L8:L130)+(SUM(L8:L130)*0.1))*0.2)/$O$4,2)&amp;" €/STK"</f>
        <v>Preisvorschau
 135.42 €/STK</v>
      </c>
      <c r="M7" s="88" t="str">
        <f aca="false">$O$4&amp;" "&amp;"EH inkl. 10% GK = "&amp;ROUNDUP(SUM(L8:L130)+(SUM(L8:L130)*0.1),2)&amp;" €"&amp;" zuzgl. 20% MwSt."&amp;" = "&amp;ROUNDUP((SUM(L8:L130)+(SUM(L8:L130)*0.1)+(SUM(L8:L130)+(SUM(L8:L130)*0.1))*0.2),2)&amp;" €"&amp;"
 Bestellnummer"&amp;"    "&amp;"Bestellmenge "&amp;"  "&amp;"Bestelltextkontrolle - "&amp;"Ben. Ref.KZ"&amp;" - keine Feldlängenkontrolle "</f>
        <v>1 EH inkl. 10% GK = 112.85 € zuzgl. 20% MwSt. = 135.42 €
 Bestellnummer    Bestellmenge   Bestelltextkontrolle - Ben. Ref.KZ - keine Feldlängenkontrolle </v>
      </c>
      <c r="N7" s="88"/>
      <c r="O7" s="88"/>
    </row>
    <row r="8" customFormat="false" ht="15" hidden="false" customHeight="false" outlineLevel="0" collapsed="false">
      <c r="A8" s="89" t="n">
        <v>1</v>
      </c>
      <c r="B8" s="90" t="n">
        <v>40</v>
      </c>
      <c r="C8" s="91" t="s">
        <v>12</v>
      </c>
      <c r="D8" s="90" t="s">
        <v>13</v>
      </c>
      <c r="E8" s="90" t="s">
        <v>14</v>
      </c>
      <c r="F8" s="92" t="s">
        <v>15</v>
      </c>
      <c r="G8" s="93"/>
      <c r="H8" s="94"/>
      <c r="I8" s="90" t="n">
        <v>0.95</v>
      </c>
      <c r="J8" s="95" t="n">
        <v>10</v>
      </c>
      <c r="K8" s="96" t="s">
        <v>16</v>
      </c>
      <c r="L8" s="97" t="n">
        <f aca="false">IF(I8="","",IF($L$6="mit",IF(B8*I8*$O$4=0,"",B8*I8*$O$4),IF(B8*I8*$O$4=0,"",INT(CEILING(B8*$O$4,J8))*I8)))</f>
        <v>38</v>
      </c>
      <c r="M8" s="98" t="n">
        <f aca="false">IF(L8="","",G8)</f>
        <v>0</v>
      </c>
      <c r="N8" s="99" t="str">
        <f aca="false">IF(L8="","",IF($L$6="mit",IF(B8*$O$4=0,"",B8*$O$4&amp;" "&amp;C8&amp;" "),IF(B8*$O$4=0,"",INT(CEILING(B8*$O$4,J8))&amp;" "&amp;C8&amp;" ")))</f>
        <v>40 STK </v>
      </c>
      <c r="O8" s="100" t="str">
        <f aca="false">IF(L8="","",IF($O$4="","",D8&amp;" "&amp;E8))</f>
        <v>Choc V1 Switches SWL1-20, SWR1-20</v>
      </c>
    </row>
    <row r="9" customFormat="false" ht="15" hidden="false" customHeight="false" outlineLevel="0" collapsed="false">
      <c r="A9" s="101" t="n">
        <v>2</v>
      </c>
      <c r="B9" s="102" t="n">
        <v>40</v>
      </c>
      <c r="C9" s="103" t="s">
        <v>12</v>
      </c>
      <c r="D9" s="102" t="s">
        <v>17</v>
      </c>
      <c r="E9" s="102" t="s">
        <v>14</v>
      </c>
      <c r="F9" s="104" t="s">
        <v>15</v>
      </c>
      <c r="G9" s="105"/>
      <c r="H9" s="106"/>
      <c r="I9" s="102" t="n">
        <v>0.22</v>
      </c>
      <c r="J9" s="107" t="n">
        <v>10</v>
      </c>
      <c r="K9" s="108" t="s">
        <v>18</v>
      </c>
      <c r="L9" s="109" t="n">
        <f aca="false">IF(I9="","",IF($L$6="mit",IF(B9*I9*$O$4=0,"",B9*I9*$O$4),IF(B9*I9*$O$4=0,"",INT(CEILING(B9*$O$4,J9))*I9)))</f>
        <v>8.8</v>
      </c>
      <c r="M9" s="110" t="n">
        <f aca="false">IF(L9="","",G9)</f>
        <v>0</v>
      </c>
      <c r="N9" s="111" t="str">
        <f aca="false">IF(L9="","",IF($L$6="mit",IF(B9*$O$4=0,"",B9*$O$4&amp;" "&amp;C9&amp;" "),IF(B9*$O$4=0,"",INT(CEILING(B9*$O$4,J9))&amp;" "&amp;C9&amp;" ")))</f>
        <v>40 STK </v>
      </c>
      <c r="O9" s="112" t="str">
        <f aca="false">IF(L9="","",IF($O$4="","",D9&amp;" "&amp;E9))</f>
        <v>Kailh-Choc 1350 Hot Swap Sockets SWL1-20, SWR1-20</v>
      </c>
    </row>
    <row r="10" customFormat="false" ht="15" hidden="false" customHeight="false" outlineLevel="0" collapsed="false">
      <c r="A10" s="101" t="n">
        <v>3</v>
      </c>
      <c r="B10" s="102" t="n">
        <v>40</v>
      </c>
      <c r="C10" s="103" t="s">
        <v>12</v>
      </c>
      <c r="D10" s="102" t="s">
        <v>19</v>
      </c>
      <c r="E10" s="102" t="s">
        <v>20</v>
      </c>
      <c r="F10" s="104" t="s">
        <v>21</v>
      </c>
      <c r="G10" s="105" t="s">
        <v>22</v>
      </c>
      <c r="H10" s="106"/>
      <c r="I10" s="102" t="n">
        <v>0</v>
      </c>
      <c r="J10" s="107" t="n">
        <v>1</v>
      </c>
      <c r="K10" s="113" t="s">
        <v>23</v>
      </c>
      <c r="L10" s="109" t="str">
        <f aca="false">IF(I10="","",IF($L$6="mit",IF(B10*I10*$O$4=0,"",B10*I10*$O$4),IF(B10*I10*$O$4=0,"",INT(CEILING(B10*$O$4,J10))*I10)))</f>
        <v/>
      </c>
      <c r="M10" s="110" t="str">
        <f aca="false">IF(L10="","",G10)</f>
        <v/>
      </c>
      <c r="N10" s="111" t="str">
        <f aca="false">IF(L10="","",IF($L$6="mit",IF(B10*$O$4=0,"",B10*$O$4&amp;" "&amp;C10&amp;" "),IF(B10*$O$4=0,"",INT(CEILING(B10*$O$4,J10))&amp;" "&amp;C10&amp;" ")))</f>
        <v/>
      </c>
      <c r="O10" s="112" t="str">
        <f aca="false">IF(L10="","",IF($O$4="","",D10&amp;" "&amp;E10))</f>
        <v/>
      </c>
    </row>
    <row r="11" customFormat="false" ht="15" hidden="false" customHeight="false" outlineLevel="0" collapsed="false">
      <c r="A11" s="101" t="n">
        <v>4</v>
      </c>
      <c r="B11" s="102" t="n">
        <v>2</v>
      </c>
      <c r="C11" s="103" t="s">
        <v>12</v>
      </c>
      <c r="D11" s="102" t="s">
        <v>24</v>
      </c>
      <c r="E11" s="102" t="s">
        <v>25</v>
      </c>
      <c r="F11" s="104" t="s">
        <v>15</v>
      </c>
      <c r="G11" s="105" t="s">
        <v>26</v>
      </c>
      <c r="H11" s="106"/>
      <c r="I11" s="102" t="n">
        <v>0.6</v>
      </c>
      <c r="J11" s="107" t="n">
        <v>1</v>
      </c>
      <c r="K11" s="113" t="s">
        <v>27</v>
      </c>
      <c r="L11" s="109" t="n">
        <f aca="false">IF(I11="","",IF($L$6="mit",IF(B11*I11*$O$4=0,"",B11*I11*$O$4),IF(B11*I11*$O$4=0,"",INT(CEILING(B11*$O$4,J11))*I11)))</f>
        <v>1.2</v>
      </c>
      <c r="M11" s="110" t="str">
        <f aca="false">IF(L11="","",G11)</f>
        <v>SKHLLCA010</v>
      </c>
      <c r="N11" s="111" t="str">
        <f aca="false">IF(L11="","",IF($L$6="mit",IF(B11*$O$4=0,"",B11*$O$4&amp;" "&amp;C11&amp;" "),IF(B11*$O$4=0,"",INT(CEILING(B11*$O$4,J11))&amp;" "&amp;C11&amp;" ")))</f>
        <v>2 STK </v>
      </c>
      <c r="O11" s="112" t="str">
        <f aca="false">IF(L11="","",IF($O$4="","",D11&amp;" "&amp;E11))</f>
        <v>Reset Button RSW1,2</v>
      </c>
    </row>
    <row r="12" customFormat="false" ht="15" hidden="false" customHeight="false" outlineLevel="0" collapsed="false">
      <c r="A12" s="101" t="n">
        <v>5</v>
      </c>
      <c r="B12" s="102" t="n">
        <v>1</v>
      </c>
      <c r="C12" s="103" t="s">
        <v>12</v>
      </c>
      <c r="D12" s="102" t="s">
        <v>28</v>
      </c>
      <c r="E12" s="102"/>
      <c r="F12" s="114" t="s">
        <v>29</v>
      </c>
      <c r="G12" s="105"/>
      <c r="H12" s="106"/>
      <c r="I12" s="102" t="n">
        <v>0</v>
      </c>
      <c r="J12" s="107" t="n">
        <v>5</v>
      </c>
      <c r="K12" s="113" t="s">
        <v>30</v>
      </c>
      <c r="L12" s="109" t="str">
        <f aca="false">IF(I12="","",IF($L$6="mit",IF(B12*I12*$O$4=0,"",B12*I12*$O$4),IF(B12*I12*$O$4=0,"",INT(CEILING(B12*$O$4,J12))*I12)))</f>
        <v/>
      </c>
      <c r="M12" s="110" t="str">
        <f aca="false">IF(L12="","",G12)</f>
        <v/>
      </c>
      <c r="N12" s="111" t="str">
        <f aca="false">IF(L12="","",IF($L$6="mit",IF(B12*$O$4=0,"",B12*$O$4&amp;" "&amp;C12&amp;" "),IF(B12*$O$4=0,"",INT(CEILING(B12*$O$4,J12))&amp;" "&amp;C12&amp;" ")))</f>
        <v/>
      </c>
      <c r="O12" s="112" t="str">
        <f aca="false">IF(L12="","",IF($O$4="","",D12&amp;" "&amp;E12))</f>
        <v/>
      </c>
    </row>
    <row r="13" customFormat="false" ht="15" hidden="false" customHeight="false" outlineLevel="0" collapsed="false">
      <c r="A13" s="101" t="n">
        <v>6</v>
      </c>
      <c r="B13" s="102" t="n">
        <v>2</v>
      </c>
      <c r="C13" s="103" t="s">
        <v>12</v>
      </c>
      <c r="D13" s="102" t="s">
        <v>31</v>
      </c>
      <c r="E13" s="102"/>
      <c r="F13" s="104" t="s">
        <v>32</v>
      </c>
      <c r="G13" s="105" t="s">
        <v>33</v>
      </c>
      <c r="H13" s="106"/>
      <c r="I13" s="102" t="n">
        <v>5.3</v>
      </c>
      <c r="J13" s="107" t="n">
        <v>1</v>
      </c>
      <c r="K13" s="113" t="s">
        <v>34</v>
      </c>
      <c r="L13" s="109" t="n">
        <f aca="false">IF(I13="","",IF($L$6="mit",IF(B13*I13*$O$4=0,"",B13*I13*$O$4),IF(B13*I13*$O$4=0,"",INT(CEILING(B13*$O$4,J13))*I13)))</f>
        <v>10.6</v>
      </c>
      <c r="M13" s="110" t="str">
        <f aca="false">IF(L13="","",G13)</f>
        <v>AKKU 30851</v>
      </c>
      <c r="N13" s="111" t="str">
        <f aca="false">IF(L13="","",IF($L$6="mit",IF(B13*$O$4=0,"",B13*$O$4&amp;" "&amp;C13&amp;" "),IF(B13*$O$4=0,"",INT(CEILING(B13*$O$4,J13))&amp;" "&amp;C13&amp;" ")))</f>
        <v>2 STK </v>
      </c>
      <c r="O13" s="112" t="str">
        <f aca="false">IF(L13="","",IF($O$4="","",D13&amp;" "&amp;E13))</f>
        <v>LiPo Akku 3.7V </v>
      </c>
    </row>
    <row r="14" customFormat="false" ht="15" hidden="false" customHeight="false" outlineLevel="0" collapsed="false">
      <c r="A14" s="101" t="n">
        <v>7</v>
      </c>
      <c r="B14" s="102" t="n">
        <v>3</v>
      </c>
      <c r="C14" s="103" t="s">
        <v>12</v>
      </c>
      <c r="D14" s="102" t="s">
        <v>35</v>
      </c>
      <c r="E14" s="102" t="s">
        <v>36</v>
      </c>
      <c r="F14" s="104" t="s">
        <v>32</v>
      </c>
      <c r="G14" s="105" t="s">
        <v>37</v>
      </c>
      <c r="H14" s="106"/>
      <c r="I14" s="102" t="n">
        <v>12.8</v>
      </c>
      <c r="J14" s="107" t="n">
        <v>1</v>
      </c>
      <c r="K14" s="113"/>
      <c r="L14" s="109" t="n">
        <f aca="false">IF(I14="","",IF($L$6="mit",IF(B14*I14*$O$4=0,"",B14*I14*$O$4),IF(B14*I14*$O$4=0,"",INT(CEILING(B14*$O$4,J14))*I14)))</f>
        <v>38.4</v>
      </c>
      <c r="M14" s="110" t="str">
        <f aca="false">IF(L14="","",G14)</f>
        <v>XIAO NRF52840</v>
      </c>
      <c r="N14" s="111" t="str">
        <f aca="false">IF(L14="","",IF($L$6="mit",IF(B14*$O$4=0,"",B14*$O$4&amp;" "&amp;C14&amp;" "),IF(B14*$O$4=0,"",INT(CEILING(B14*$O$4,J14))&amp;" "&amp;C14&amp;" ")))</f>
        <v>3 STK </v>
      </c>
      <c r="O14" s="112" t="str">
        <f aca="false">IF(L14="","",IF($O$4="","",D14&amp;" "&amp;E14))</f>
        <v>Seeed Studio XIAO nRF52840 U1,2</v>
      </c>
    </row>
    <row r="15" customFormat="false" ht="15" hidden="false" customHeight="false" outlineLevel="0" collapsed="false">
      <c r="A15" s="101" t="n">
        <v>8</v>
      </c>
      <c r="B15" s="102" t="n">
        <v>2</v>
      </c>
      <c r="C15" s="103" t="s">
        <v>12</v>
      </c>
      <c r="D15" s="102" t="s">
        <v>38</v>
      </c>
      <c r="E15" s="102" t="s">
        <v>39</v>
      </c>
      <c r="F15" s="104" t="s">
        <v>15</v>
      </c>
      <c r="G15" s="105" t="s">
        <v>40</v>
      </c>
      <c r="H15" s="106"/>
      <c r="I15" s="102" t="n">
        <v>0.8</v>
      </c>
      <c r="J15" s="107" t="n">
        <v>1</v>
      </c>
      <c r="K15" s="108" t="s">
        <v>41</v>
      </c>
      <c r="L15" s="109" t="n">
        <f aca="false">IF(I15="","",IF($L$6="mit",IF(B15*I15*$O$4=0,"",B15*I15*$O$4),IF(B15*I15*$O$4=0,"",INT(CEILING(B15*$O$4,J15))*I15)))</f>
        <v>1.6</v>
      </c>
      <c r="M15" s="110" t="str">
        <f aca="false">IF(L15="","",G15)</f>
        <v>MSK-12C02</v>
      </c>
      <c r="N15" s="111" t="str">
        <f aca="false">IF(L15="","",IF($L$6="mit",IF(B15*$O$4=0,"",B15*$O$4&amp;" "&amp;C15&amp;" "),IF(B15*$O$4=0,"",INT(CEILING(B15*$O$4,J15))&amp;" "&amp;C15&amp;" ")))</f>
        <v>2 STK </v>
      </c>
      <c r="O15" s="112" t="str">
        <f aca="false">IF(L15="","",IF($O$4="","",D15&amp;" "&amp;E15))</f>
        <v>SPST Power Switch PSW1,2</v>
      </c>
    </row>
    <row r="16" customFormat="false" ht="15" hidden="false" customHeight="false" outlineLevel="0" collapsed="false">
      <c r="A16" s="101" t="n">
        <v>9</v>
      </c>
      <c r="B16" s="102" t="n">
        <v>4</v>
      </c>
      <c r="C16" s="103" t="s">
        <v>12</v>
      </c>
      <c r="D16" s="102" t="s">
        <v>42</v>
      </c>
      <c r="E16" s="102"/>
      <c r="F16" s="104" t="s">
        <v>43</v>
      </c>
      <c r="G16" s="105"/>
      <c r="H16" s="106"/>
      <c r="I16" s="102" t="n">
        <v>0.0399</v>
      </c>
      <c r="J16" s="107" t="n">
        <v>100</v>
      </c>
      <c r="K16" s="108" t="s">
        <v>44</v>
      </c>
      <c r="L16" s="109" t="n">
        <f aca="false">IF(I16="","",IF($L$6="mit",IF(B16*I16*$O$4=0,"",B16*I16*$O$4),IF(B16*I16*$O$4=0,"",INT(CEILING(B16*$O$4,J16))*I16)))</f>
        <v>3.99</v>
      </c>
      <c r="M16" s="110" t="n">
        <f aca="false">IF(L16="","",G16)</f>
        <v>0</v>
      </c>
      <c r="N16" s="111" t="str">
        <f aca="false">IF(L16="","",IF($L$6="mit",IF(B16*$O$4=0,"",B16*$O$4&amp;" "&amp;C16&amp;" "),IF(B16*$O$4=0,"",INT(CEILING(B16*$O$4,J16))&amp;" "&amp;C16&amp;" ")))</f>
        <v>100 STK </v>
      </c>
      <c r="O16" s="112" t="str">
        <f aca="false">IF(L16="","",IF($O$4="","",D16&amp;" "&amp;E16))</f>
        <v>Gummi Füße </v>
      </c>
    </row>
    <row r="17" customFormat="false" ht="15" hidden="false" customHeight="false" outlineLevel="0" collapsed="false">
      <c r="A17" s="101" t="n">
        <v>1</v>
      </c>
      <c r="B17" s="102"/>
      <c r="C17" s="103"/>
      <c r="D17" s="102"/>
      <c r="E17" s="102"/>
      <c r="F17" s="114"/>
      <c r="G17" s="105"/>
      <c r="H17" s="106"/>
      <c r="I17" s="102"/>
      <c r="J17" s="107"/>
      <c r="K17" s="115"/>
      <c r="L17" s="109" t="str">
        <f aca="false">IF(I17="","",IF($L$6="mit",IF(B17*I17*$O$4=0,"",B17*I17*$O$4),IF(B17*I17*$O$4=0,"",INT(CEILING(B17*$O$4,J17))*I17)))</f>
        <v/>
      </c>
      <c r="M17" s="110" t="str">
        <f aca="false">IF(L17="","",G17)</f>
        <v/>
      </c>
      <c r="N17" s="111" t="str">
        <f aca="false">IF(L17="","",IF($L$6="mit",IF(B17*$O$4=0,"",B17*$O$4&amp;" "&amp;C17&amp;" "),IF(B17*$O$4=0,"",INT(CEILING(B17*$O$4,J17))&amp;" "&amp;C17&amp;" ")))</f>
        <v/>
      </c>
      <c r="O17" s="112" t="str">
        <f aca="false">IF(L17="","",IF($O$4="","",D17&amp;" "&amp;E17))</f>
        <v/>
      </c>
    </row>
    <row r="18" customFormat="false" ht="15" hidden="false" customHeight="false" outlineLevel="0" collapsed="false">
      <c r="A18" s="116" t="n">
        <v>11</v>
      </c>
      <c r="B18" s="117"/>
      <c r="C18" s="118"/>
      <c r="D18" s="117"/>
      <c r="E18" s="117"/>
      <c r="F18" s="119"/>
      <c r="G18" s="120"/>
      <c r="H18" s="121"/>
      <c r="I18" s="117"/>
      <c r="J18" s="9"/>
      <c r="K18" s="122"/>
      <c r="L18" s="109" t="str">
        <f aca="false">IF(I18="","",IF($L$6="mit",IF(B18*I18*$O$4=0,"",B18*I18*$O$4),IF(B18*I18*$O$4=0,"",INT(CEILING(B18*$O$4,J18))*I18)))</f>
        <v/>
      </c>
      <c r="M18" s="110" t="str">
        <f aca="false">IF(L18="","",G18)</f>
        <v/>
      </c>
      <c r="N18" s="111" t="str">
        <f aca="false">IF(L18="","",IF($L$6="mit",IF(B18*$O$4=0,"",B18*$O$4&amp;" "&amp;C18&amp;" "),IF(B18*$O$4=0,"",INT(CEILING(B18*$O$4,J18))&amp;" "&amp;C18&amp;" ")))</f>
        <v/>
      </c>
      <c r="O18" s="112" t="str">
        <f aca="false">IF(L18="","",IF($O$4="","",D18&amp;" "&amp;E18))</f>
        <v/>
      </c>
    </row>
    <row r="19" customFormat="false" ht="15" hidden="false" customHeight="false" outlineLevel="0" collapsed="false">
      <c r="A19" s="116" t="n">
        <v>12</v>
      </c>
      <c r="B19" s="117"/>
      <c r="C19" s="118"/>
      <c r="D19" s="117"/>
      <c r="E19" s="117"/>
      <c r="F19" s="119"/>
      <c r="G19" s="120"/>
      <c r="H19" s="121"/>
      <c r="I19" s="117"/>
      <c r="J19" s="9"/>
      <c r="K19" s="122"/>
      <c r="L19" s="109" t="str">
        <f aca="false">IF(I19="","",IF($L$6="mit",IF(B19*I19*$O$4=0,"",B19*I19*$O$4),IF(B19*I19*$O$4=0,"",INT(CEILING(B19*$O$4,J19))*I19)))</f>
        <v/>
      </c>
      <c r="M19" s="110" t="str">
        <f aca="false">IF(L19="","",G19)</f>
        <v/>
      </c>
      <c r="N19" s="111" t="str">
        <f aca="false">IF(L19="","",IF($L$6="mit",IF(B19*$O$4=0,"",B19*$O$4&amp;" "&amp;C19&amp;" "),IF(B19*$O$4=0,"",INT(CEILING(B19*$O$4,J19))&amp;" "&amp;C19&amp;" ")))</f>
        <v/>
      </c>
      <c r="O19" s="112" t="str">
        <f aca="false">IF(L19="","",IF($O$4="","",D19&amp;" "&amp;E19))</f>
        <v/>
      </c>
    </row>
    <row r="20" customFormat="false" ht="15" hidden="false" customHeight="false" outlineLevel="0" collapsed="false">
      <c r="A20" s="116" t="n">
        <v>13</v>
      </c>
      <c r="B20" s="117"/>
      <c r="C20" s="118"/>
      <c r="D20" s="117"/>
      <c r="E20" s="117"/>
      <c r="F20" s="119"/>
      <c r="G20" s="120"/>
      <c r="H20" s="121"/>
      <c r="I20" s="117"/>
      <c r="J20" s="9"/>
      <c r="K20" s="122"/>
      <c r="L20" s="109" t="str">
        <f aca="false">IF(I20="","",IF($L$6="mit",IF(B20*I20*$O$4=0,"",B20*I20*$O$4),IF(B20*I20*$O$4=0,"",INT(CEILING(B20*$O$4,J20))*I20)))</f>
        <v/>
      </c>
      <c r="M20" s="110" t="str">
        <f aca="false">IF(L20="","",G20)</f>
        <v/>
      </c>
      <c r="N20" s="111" t="str">
        <f aca="false">IF(L20="","",IF($L$6="mit",IF(B20*$O$4=0,"",B20*$O$4&amp;" "&amp;C20&amp;" "),IF(B20*$O$4=0,"",INT(CEILING(B20*$O$4,J20))&amp;" "&amp;C20&amp;" ")))</f>
        <v/>
      </c>
      <c r="O20" s="112" t="str">
        <f aca="false">IF(L20="","",IF($O$4="","",D20&amp;" "&amp;E20))</f>
        <v/>
      </c>
    </row>
    <row r="21" customFormat="false" ht="15" hidden="false" customHeight="false" outlineLevel="0" collapsed="false">
      <c r="A21" s="116" t="n">
        <v>14</v>
      </c>
      <c r="B21" s="117"/>
      <c r="C21" s="118"/>
      <c r="D21" s="117"/>
      <c r="E21" s="117"/>
      <c r="F21" s="119"/>
      <c r="G21" s="120"/>
      <c r="H21" s="121"/>
      <c r="I21" s="117"/>
      <c r="J21" s="9"/>
      <c r="K21" s="122"/>
      <c r="L21" s="109" t="str">
        <f aca="false">IF(I21="","",IF($L$6="mit",IF(B21*I21*$O$4=0,"",B21*I21*$O$4),IF(B21*I21*$O$4=0,"",INT(CEILING(B21*$O$4,J21))*I21)))</f>
        <v/>
      </c>
      <c r="M21" s="110" t="str">
        <f aca="false">IF(L21="","",G21)</f>
        <v/>
      </c>
      <c r="N21" s="111" t="str">
        <f aca="false">IF(L21="","",IF($L$6="mit",IF(B21*$O$4=0,"",B21*$O$4&amp;" "&amp;C21&amp;" "),IF(B21*$O$4=0,"",INT(CEILING(B21*$O$4,J21))&amp;" "&amp;C21&amp;" ")))</f>
        <v/>
      </c>
      <c r="O21" s="112" t="str">
        <f aca="false">IF(L21="","",IF($O$4="","",D21&amp;" "&amp;E21))</f>
        <v/>
      </c>
    </row>
    <row r="22" customFormat="false" ht="15" hidden="false" customHeight="false" outlineLevel="0" collapsed="false">
      <c r="A22" s="116" t="n">
        <v>15</v>
      </c>
      <c r="B22" s="117"/>
      <c r="C22" s="118"/>
      <c r="D22" s="117"/>
      <c r="E22" s="117"/>
      <c r="F22" s="119"/>
      <c r="G22" s="120"/>
      <c r="H22" s="121"/>
      <c r="I22" s="117"/>
      <c r="J22" s="9"/>
      <c r="K22" s="122"/>
      <c r="L22" s="109" t="str">
        <f aca="false">IF(I22="","",IF($L$6="mit",IF(B22*I22*$O$4=0,"",B22*I22*$O$4),IF(B22*I22*$O$4=0,"",INT(CEILING(B22*$O$4,J22))*I22)))</f>
        <v/>
      </c>
      <c r="M22" s="110" t="str">
        <f aca="false">IF(L22="","",G22)</f>
        <v/>
      </c>
      <c r="N22" s="111" t="str">
        <f aca="false">IF(L22="","",IF($L$6="mit",IF(B22*$O$4=0,"",B22*$O$4&amp;" "&amp;C22&amp;" "),IF(B22*$O$4=0,"",INT(CEILING(B22*$O$4,J22))&amp;" "&amp;C22&amp;" ")))</f>
        <v/>
      </c>
      <c r="O22" s="112" t="str">
        <f aca="false">IF(L22="","",IF($O$4="","",D22&amp;" "&amp;E22))</f>
        <v/>
      </c>
    </row>
    <row r="23" customFormat="false" ht="15" hidden="false" customHeight="false" outlineLevel="0" collapsed="false">
      <c r="A23" s="116" t="n">
        <v>16</v>
      </c>
      <c r="B23" s="117"/>
      <c r="C23" s="118"/>
      <c r="D23" s="117"/>
      <c r="E23" s="117"/>
      <c r="F23" s="119"/>
      <c r="G23" s="120"/>
      <c r="H23" s="121"/>
      <c r="I23" s="117"/>
      <c r="J23" s="9"/>
      <c r="K23" s="122"/>
      <c r="L23" s="109" t="str">
        <f aca="false">IF(I23="","",IF($L$6="mit",IF(B23*I23*$O$4=0,"",B23*I23*$O$4),IF(B23*I23*$O$4=0,"",INT(CEILING(B23*$O$4,J23))*I23)))</f>
        <v/>
      </c>
      <c r="M23" s="110" t="str">
        <f aca="false">IF(L23="","",G23)</f>
        <v/>
      </c>
      <c r="N23" s="111" t="str">
        <f aca="false">IF(L23="","",IF($L$6="mit",IF(B23*$O$4=0,"",B23*$O$4&amp;" "&amp;C23&amp;" "),IF(B23*$O$4=0,"",INT(CEILING(B23*$O$4,J23))&amp;" "&amp;C23&amp;" ")))</f>
        <v/>
      </c>
      <c r="O23" s="112" t="str">
        <f aca="false">IF(L23="","",IF($O$4="","",D23&amp;" "&amp;E23))</f>
        <v/>
      </c>
    </row>
    <row r="24" customFormat="false" ht="15" hidden="false" customHeight="false" outlineLevel="0" collapsed="false">
      <c r="A24" s="116" t="n">
        <v>17</v>
      </c>
      <c r="B24" s="117"/>
      <c r="C24" s="118"/>
      <c r="D24" s="117"/>
      <c r="E24" s="117"/>
      <c r="F24" s="119"/>
      <c r="G24" s="120"/>
      <c r="H24" s="121"/>
      <c r="I24" s="117"/>
      <c r="J24" s="9"/>
      <c r="K24" s="122"/>
      <c r="L24" s="109" t="str">
        <f aca="false">IF(I24="","",IF($L$6="mit",IF(B24*I24*$O$4=0,"",B24*I24*$O$4),IF(B24*I24*$O$4=0,"",INT(CEILING(B24*$O$4,J24))*I24)))</f>
        <v/>
      </c>
      <c r="M24" s="110" t="str">
        <f aca="false">IF(L24="","",G24)</f>
        <v/>
      </c>
      <c r="N24" s="111" t="str">
        <f aca="false">IF(L24="","",IF($L$6="mit",IF(B24*$O$4=0,"",B24*$O$4&amp;" "&amp;C24&amp;" "),IF(B24*$O$4=0,"",INT(CEILING(B24*$O$4,J24))&amp;" "&amp;C24&amp;" ")))</f>
        <v/>
      </c>
      <c r="O24" s="112" t="str">
        <f aca="false">IF(L24="","",IF($O$4="","",D24&amp;" "&amp;E24))</f>
        <v/>
      </c>
    </row>
    <row r="25" customFormat="false" ht="15" hidden="false" customHeight="false" outlineLevel="0" collapsed="false">
      <c r="A25" s="116" t="n">
        <v>18</v>
      </c>
      <c r="B25" s="117"/>
      <c r="C25" s="118"/>
      <c r="D25" s="117"/>
      <c r="E25" s="117"/>
      <c r="F25" s="119"/>
      <c r="G25" s="120"/>
      <c r="H25" s="121"/>
      <c r="I25" s="117"/>
      <c r="J25" s="9"/>
      <c r="K25" s="122"/>
      <c r="L25" s="109" t="str">
        <f aca="false">IF(I25="","",IF($L$6="mit",IF(B25*I25*$O$4=0,"",B25*I25*$O$4),IF(B25*I25*$O$4=0,"",INT(CEILING(B25*$O$4,J25))*I25)))</f>
        <v/>
      </c>
      <c r="M25" s="110" t="str">
        <f aca="false">IF(L25="","",G25)</f>
        <v/>
      </c>
      <c r="N25" s="111" t="str">
        <f aca="false">IF(L25="","",IF($L$6="mit",IF(B25*$O$4=0,"",B25*$O$4&amp;" "&amp;C25&amp;" "),IF(B25*$O$4=0,"",INT(CEILING(B25*$O$4,J25))&amp;" "&amp;C25&amp;" ")))</f>
        <v/>
      </c>
      <c r="O25" s="112" t="str">
        <f aca="false">IF(L25="","",IF($O$4="","",D25&amp;" "&amp;E25))</f>
        <v/>
      </c>
    </row>
    <row r="26" customFormat="false" ht="15" hidden="false" customHeight="false" outlineLevel="0" collapsed="false">
      <c r="A26" s="116" t="n">
        <v>19</v>
      </c>
      <c r="B26" s="117"/>
      <c r="C26" s="118"/>
      <c r="D26" s="117"/>
      <c r="E26" s="117"/>
      <c r="F26" s="119"/>
      <c r="G26" s="120"/>
      <c r="H26" s="121"/>
      <c r="I26" s="117"/>
      <c r="J26" s="9"/>
      <c r="K26" s="122"/>
      <c r="L26" s="109" t="str">
        <f aca="false">IF(I26="","",IF($L$6="mit",IF(B26*I26*$O$4=0,"",B26*I26*$O$4),IF(B26*I26*$O$4=0,"",INT(CEILING(B26*$O$4,J26))*I26)))</f>
        <v/>
      </c>
      <c r="M26" s="110" t="str">
        <f aca="false">IF(L26="","",G26)</f>
        <v/>
      </c>
      <c r="N26" s="111" t="str">
        <f aca="false">IF(L26="","",IF($L$6="mit",IF(B26*$O$4=0,"",B26*$O$4&amp;" "&amp;C26&amp;" "),IF(B26*$O$4=0,"",INT(CEILING(B26*$O$4,J26))&amp;" "&amp;C26&amp;" ")))</f>
        <v/>
      </c>
      <c r="O26" s="112" t="str">
        <f aca="false">IF(L26="","",IF($O$4="","",D26&amp;" "&amp;E26))</f>
        <v/>
      </c>
    </row>
    <row r="27" customFormat="false" ht="15" hidden="false" customHeight="false" outlineLevel="0" collapsed="false">
      <c r="A27" s="116" t="n">
        <v>20</v>
      </c>
      <c r="B27" s="117"/>
      <c r="C27" s="118"/>
      <c r="D27" s="117"/>
      <c r="E27" s="117"/>
      <c r="F27" s="119"/>
      <c r="G27" s="120"/>
      <c r="H27" s="121"/>
      <c r="I27" s="117"/>
      <c r="J27" s="9"/>
      <c r="K27" s="122"/>
      <c r="L27" s="109" t="str">
        <f aca="false">IF(I27="","",IF($L$6="mit",IF(B27*I27*$O$4=0,"",B27*I27*$O$4),IF(B27*I27*$O$4=0,"",INT(CEILING(B27*$O$4,J27))*I27)))</f>
        <v/>
      </c>
      <c r="M27" s="110" t="str">
        <f aca="false">IF(L27="","",G27)</f>
        <v/>
      </c>
      <c r="N27" s="111" t="str">
        <f aca="false">IF(L27="","",IF($L$6="mit",IF(B27*$O$4=0,"",B27*$O$4&amp;" "&amp;C27&amp;" "),IF(B27*$O$4=0,"",INT(CEILING(B27*$O$4,J27))&amp;" "&amp;C27&amp;" ")))</f>
        <v/>
      </c>
      <c r="O27" s="112" t="str">
        <f aca="false">IF(L27="","",IF($O$4="","",D27&amp;" "&amp;E27))</f>
        <v/>
      </c>
    </row>
    <row r="28" customFormat="false" ht="15" hidden="false" customHeight="false" outlineLevel="0" collapsed="false">
      <c r="A28" s="116" t="n">
        <v>21</v>
      </c>
      <c r="B28" s="117"/>
      <c r="C28" s="118"/>
      <c r="D28" s="117"/>
      <c r="E28" s="117"/>
      <c r="F28" s="119"/>
      <c r="G28" s="120"/>
      <c r="H28" s="121"/>
      <c r="I28" s="117"/>
      <c r="J28" s="9"/>
      <c r="K28" s="122"/>
      <c r="L28" s="109" t="str">
        <f aca="false">IF(I28="","",IF($L$6="mit",IF(B28*I28*$O$4=0,"",B28*I28*$O$4),IF(B28*I28*$O$4=0,"",INT(CEILING(B28*$O$4,J28))*I28)))</f>
        <v/>
      </c>
      <c r="M28" s="110" t="str">
        <f aca="false">IF(L28="","",G28)</f>
        <v/>
      </c>
      <c r="N28" s="111" t="str">
        <f aca="false">IF(L28="","",IF($L$6="mit",IF(B28*$O$4=0,"",B28*$O$4&amp;" "&amp;C28&amp;" "),IF(B28*$O$4=0,"",INT(CEILING(B28*$O$4,J28))&amp;" "&amp;C28&amp;" ")))</f>
        <v/>
      </c>
      <c r="O28" s="112" t="str">
        <f aca="false">IF(L28="","",IF($O$4="","",D28&amp;" "&amp;E28))</f>
        <v/>
      </c>
    </row>
    <row r="29" customFormat="false" ht="15" hidden="false" customHeight="false" outlineLevel="0" collapsed="false">
      <c r="A29" s="116" t="n">
        <v>22</v>
      </c>
      <c r="B29" s="117"/>
      <c r="C29" s="118"/>
      <c r="D29" s="117"/>
      <c r="E29" s="117"/>
      <c r="F29" s="119"/>
      <c r="G29" s="120"/>
      <c r="H29" s="121"/>
      <c r="I29" s="117"/>
      <c r="J29" s="9"/>
      <c r="K29" s="122"/>
      <c r="L29" s="109" t="str">
        <f aca="false">IF(I29="","",IF($L$6="mit",IF(B29*I29*$O$4=0,"",B29*I29*$O$4),IF(B29*I29*$O$4=0,"",INT(CEILING(B29*$O$4,J29))*I29)))</f>
        <v/>
      </c>
      <c r="M29" s="110" t="str">
        <f aca="false">IF(L29="","",G29)</f>
        <v/>
      </c>
      <c r="N29" s="111" t="str">
        <f aca="false">IF(L29="","",IF($L$6="mit",IF(B29*$O$4=0,"",B29*$O$4&amp;" "&amp;C29&amp;" "),IF(B29*$O$4=0,"",INT(CEILING(B29*$O$4,J29))&amp;" "&amp;C29&amp;" ")))</f>
        <v/>
      </c>
      <c r="O29" s="112" t="str">
        <f aca="false">IF(L29="","",IF($O$4="","",D29&amp;" "&amp;E29))</f>
        <v/>
      </c>
    </row>
    <row r="30" customFormat="false" ht="15" hidden="false" customHeight="false" outlineLevel="0" collapsed="false">
      <c r="A30" s="116" t="n">
        <v>23</v>
      </c>
      <c r="B30" s="117"/>
      <c r="C30" s="118"/>
      <c r="D30" s="117"/>
      <c r="E30" s="117"/>
      <c r="F30" s="119"/>
      <c r="G30" s="120"/>
      <c r="H30" s="121"/>
      <c r="I30" s="117"/>
      <c r="J30" s="9"/>
      <c r="K30" s="122"/>
      <c r="L30" s="109" t="str">
        <f aca="false">IF(I30="","",IF($L$6="mit",IF(B30*I30*$O$4=0,"",B30*I30*$O$4),IF(B30*I30*$O$4=0,"",INT(CEILING(B30*$O$4,J30))*I30)))</f>
        <v/>
      </c>
      <c r="M30" s="110" t="str">
        <f aca="false">IF(L30="","",G30)</f>
        <v/>
      </c>
      <c r="N30" s="111" t="str">
        <f aca="false">IF(L30="","",IF($L$6="mit",IF(B30*$O$4=0,"",B30*$O$4&amp;" "&amp;C30&amp;" "),IF(B30*$O$4=0,"",INT(CEILING(B30*$O$4,J30))&amp;" "&amp;C30&amp;" ")))</f>
        <v/>
      </c>
      <c r="O30" s="112" t="str">
        <f aca="false">IF(L30="","",IF($O$4="","",D30&amp;" "&amp;E30))</f>
        <v/>
      </c>
    </row>
    <row r="31" customFormat="false" ht="15" hidden="false" customHeight="false" outlineLevel="0" collapsed="false">
      <c r="A31" s="116" t="n">
        <v>24</v>
      </c>
      <c r="B31" s="117"/>
      <c r="C31" s="118"/>
      <c r="D31" s="117"/>
      <c r="E31" s="117"/>
      <c r="F31" s="119"/>
      <c r="G31" s="120"/>
      <c r="H31" s="121"/>
      <c r="I31" s="117"/>
      <c r="J31" s="9"/>
      <c r="K31" s="122"/>
      <c r="L31" s="109" t="str">
        <f aca="false">IF(I31="","",IF($L$6="mit",IF(B31*I31*$O$4=0,"",B31*I31*$O$4),IF(B31*I31*$O$4=0,"",INT(CEILING(B31*$O$4,J31))*I31)))</f>
        <v/>
      </c>
      <c r="M31" s="110" t="str">
        <f aca="false">IF(L31="","",G31)</f>
        <v/>
      </c>
      <c r="N31" s="111" t="str">
        <f aca="false">IF(L31="","",IF($L$6="mit",IF(B31*$O$4=0,"",B31*$O$4&amp;" "&amp;C31&amp;" "),IF(B31*$O$4=0,"",INT(CEILING(B31*$O$4,J31))&amp;" "&amp;C31&amp;" ")))</f>
        <v/>
      </c>
      <c r="O31" s="112" t="str">
        <f aca="false">IF(L31="","",IF($O$4="","",D31&amp;" "&amp;E31))</f>
        <v/>
      </c>
    </row>
    <row r="32" customFormat="false" ht="15" hidden="false" customHeight="false" outlineLevel="0" collapsed="false">
      <c r="A32" s="116" t="n">
        <v>25</v>
      </c>
      <c r="B32" s="117"/>
      <c r="C32" s="118"/>
      <c r="D32" s="117"/>
      <c r="E32" s="117"/>
      <c r="F32" s="119"/>
      <c r="G32" s="120"/>
      <c r="H32" s="121"/>
      <c r="I32" s="117"/>
      <c r="J32" s="9"/>
      <c r="K32" s="122"/>
      <c r="L32" s="109" t="str">
        <f aca="false">IF(I32="","",IF($L$6="mit",IF(B32*I32*$O$4=0,"",B32*I32*$O$4),IF(B32*I32*$O$4=0,"",INT(CEILING(B32*$O$4,J32))*I32)))</f>
        <v/>
      </c>
      <c r="M32" s="110" t="str">
        <f aca="false">IF(L32="","",G32)</f>
        <v/>
      </c>
      <c r="N32" s="111" t="str">
        <f aca="false">IF(L32="","",IF($L$6="mit",IF(B32*$O$4=0,"",B32*$O$4&amp;" "&amp;C32&amp;" "),IF(B32*$O$4=0,"",INT(CEILING(B32*$O$4,J32))&amp;" "&amp;C32&amp;" ")))</f>
        <v/>
      </c>
      <c r="O32" s="112" t="str">
        <f aca="false">IF(L32="","",IF($O$4="","",D32&amp;" "&amp;E32))</f>
        <v/>
      </c>
    </row>
    <row r="33" customFormat="false" ht="15" hidden="false" customHeight="false" outlineLevel="0" collapsed="false">
      <c r="A33" s="116" t="n">
        <v>26</v>
      </c>
      <c r="B33" s="117"/>
      <c r="C33" s="118"/>
      <c r="D33" s="117"/>
      <c r="E33" s="117"/>
      <c r="F33" s="119"/>
      <c r="G33" s="120"/>
      <c r="H33" s="121"/>
      <c r="I33" s="117"/>
      <c r="J33" s="9"/>
      <c r="K33" s="122"/>
      <c r="L33" s="109" t="str">
        <f aca="false">IF(I33="","",IF($L$6="mit",IF(B33*I33*$O$4=0,"",B33*I33*$O$4),IF(B33*I33*$O$4=0,"",INT(CEILING(B33*$O$4,J33))*I33)))</f>
        <v/>
      </c>
      <c r="M33" s="110" t="str">
        <f aca="false">IF(L33="","",G33)</f>
        <v/>
      </c>
      <c r="N33" s="111" t="str">
        <f aca="false">IF(L33="","",IF($L$6="mit",IF(B33*$O$4=0,"",B33*$O$4&amp;" "&amp;C33&amp;" "),IF(B33*$O$4=0,"",INT(CEILING(B33*$O$4,J33))&amp;" "&amp;C33&amp;" ")))</f>
        <v/>
      </c>
      <c r="O33" s="112" t="str">
        <f aca="false">IF(L33="","",IF($O$4="","",D33&amp;" "&amp;E33))</f>
        <v/>
      </c>
    </row>
    <row r="34" customFormat="false" ht="15" hidden="false" customHeight="false" outlineLevel="0" collapsed="false">
      <c r="A34" s="116" t="n">
        <v>27</v>
      </c>
      <c r="B34" s="117"/>
      <c r="C34" s="118"/>
      <c r="D34" s="117"/>
      <c r="E34" s="117"/>
      <c r="F34" s="119"/>
      <c r="G34" s="120"/>
      <c r="H34" s="121"/>
      <c r="I34" s="117"/>
      <c r="J34" s="9"/>
      <c r="K34" s="122"/>
      <c r="L34" s="109" t="str">
        <f aca="false">IF(I34="","",IF($L$6="mit",IF(B34*I34*$O$4=0,"",B34*I34*$O$4),IF(B34*I34*$O$4=0,"",INT(CEILING(B34*$O$4,J34))*I34)))</f>
        <v/>
      </c>
      <c r="M34" s="110" t="str">
        <f aca="false">IF(L34="","",G34)</f>
        <v/>
      </c>
      <c r="N34" s="111" t="str">
        <f aca="false">IF(L34="","",IF($L$6="mit",IF(B34*$O$4=0,"",B34*$O$4&amp;" "&amp;C34&amp;" "),IF(B34*$O$4=0,"",INT(CEILING(B34*$O$4,J34))&amp;" "&amp;C34&amp;" ")))</f>
        <v/>
      </c>
      <c r="O34" s="112" t="str">
        <f aca="false">IF(L34="","",IF($O$4="","",D34&amp;" "&amp;E34))</f>
        <v/>
      </c>
    </row>
    <row r="35" customFormat="false" ht="15" hidden="false" customHeight="false" outlineLevel="0" collapsed="false">
      <c r="A35" s="116" t="n">
        <v>28</v>
      </c>
      <c r="B35" s="117"/>
      <c r="C35" s="118"/>
      <c r="D35" s="117"/>
      <c r="E35" s="117"/>
      <c r="F35" s="119"/>
      <c r="G35" s="120"/>
      <c r="H35" s="121"/>
      <c r="I35" s="117"/>
      <c r="J35" s="9"/>
      <c r="K35" s="122"/>
      <c r="L35" s="109" t="str">
        <f aca="false">IF(I35="","",IF($L$6="mit",IF(B35*I35*$O$4=0,"",B35*I35*$O$4),IF(B35*I35*$O$4=0,"",INT(CEILING(B35*$O$4,J35))*I35)))</f>
        <v/>
      </c>
      <c r="M35" s="110" t="str">
        <f aca="false">IF(L35="","",G35)</f>
        <v/>
      </c>
      <c r="N35" s="111" t="str">
        <f aca="false">IF(L35="","",IF($L$6="mit",IF(B35*$O$4=0,"",B35*$O$4&amp;" "&amp;C35&amp;" "),IF(B35*$O$4=0,"",INT(CEILING(B35*$O$4,J35))&amp;" "&amp;C35&amp;" ")))</f>
        <v/>
      </c>
      <c r="O35" s="112" t="str">
        <f aca="false">IF(L35="","",IF($O$4="","",D35&amp;" "&amp;E35))</f>
        <v/>
      </c>
    </row>
    <row r="36" customFormat="false" ht="15" hidden="false" customHeight="false" outlineLevel="0" collapsed="false">
      <c r="A36" s="116" t="n">
        <v>29</v>
      </c>
      <c r="B36" s="117"/>
      <c r="C36" s="118"/>
      <c r="D36" s="117"/>
      <c r="E36" s="117"/>
      <c r="F36" s="119"/>
      <c r="G36" s="120"/>
      <c r="H36" s="121"/>
      <c r="I36" s="117"/>
      <c r="J36" s="9"/>
      <c r="K36" s="122"/>
      <c r="L36" s="109" t="str">
        <f aca="false">IF(I36="","",IF($L$6="mit",IF(B36*I36*$O$4=0,"",B36*I36*$O$4),IF(B36*I36*$O$4=0,"",INT(CEILING(B36*$O$4,J36))*I36)))</f>
        <v/>
      </c>
      <c r="M36" s="110" t="str">
        <f aca="false">IF(L36="","",G36)</f>
        <v/>
      </c>
      <c r="N36" s="111" t="str">
        <f aca="false">IF(L36="","",IF($L$6="mit",IF(B36*$O$4=0,"",B36*$O$4&amp;" "&amp;C36&amp;" "),IF(B36*$O$4=0,"",INT(CEILING(B36*$O$4,J36))&amp;" "&amp;C36&amp;" ")))</f>
        <v/>
      </c>
      <c r="O36" s="112" t="str">
        <f aca="false">IF(L36="","",IF($O$4="","",D36&amp;" "&amp;E36))</f>
        <v/>
      </c>
    </row>
    <row r="37" customFormat="false" ht="15" hidden="false" customHeight="false" outlineLevel="0" collapsed="false">
      <c r="A37" s="116" t="n">
        <v>30</v>
      </c>
      <c r="B37" s="117"/>
      <c r="C37" s="118"/>
      <c r="D37" s="117"/>
      <c r="E37" s="117"/>
      <c r="F37" s="119"/>
      <c r="G37" s="120"/>
      <c r="H37" s="121"/>
      <c r="I37" s="117"/>
      <c r="J37" s="9"/>
      <c r="K37" s="122"/>
      <c r="L37" s="109" t="str">
        <f aca="false">IF(I37="","",IF($L$6="mit",IF(B37*I37*$O$4=0,"",B37*I37*$O$4),IF(B37*I37*$O$4=0,"",INT(CEILING(B37*$O$4,J37))*I37)))</f>
        <v/>
      </c>
      <c r="M37" s="110" t="str">
        <f aca="false">IF(L37="","",G37)</f>
        <v/>
      </c>
      <c r="N37" s="111" t="str">
        <f aca="false">IF(L37="","",IF($L$6="mit",IF(B37*$O$4=0,"",B37*$O$4&amp;" "&amp;C37&amp;" "),IF(B37*$O$4=0,"",INT(CEILING(B37*$O$4,J37))&amp;" "&amp;C37&amp;" ")))</f>
        <v/>
      </c>
      <c r="O37" s="112" t="str">
        <f aca="false">IF(L37="","",IF($O$4="","",D37&amp;" "&amp;E37))</f>
        <v/>
      </c>
    </row>
    <row r="38" customFormat="false" ht="15" hidden="false" customHeight="false" outlineLevel="0" collapsed="false">
      <c r="A38" s="116" t="n">
        <v>31</v>
      </c>
      <c r="B38" s="117"/>
      <c r="C38" s="118"/>
      <c r="D38" s="117"/>
      <c r="E38" s="117"/>
      <c r="F38" s="119"/>
      <c r="G38" s="120"/>
      <c r="H38" s="121"/>
      <c r="I38" s="117"/>
      <c r="J38" s="9"/>
      <c r="K38" s="122"/>
      <c r="L38" s="109" t="str">
        <f aca="false">IF(I38="","",IF($L$6="mit",IF(B38*I38*$O$4=0,"",B38*I38*$O$4),IF(B38*I38*$O$4=0,"",INT(CEILING(B38*$O$4,J38))*I38)))</f>
        <v/>
      </c>
      <c r="M38" s="110" t="str">
        <f aca="false">IF(L38="","",G38)</f>
        <v/>
      </c>
      <c r="N38" s="111" t="str">
        <f aca="false">IF(L38="","",IF($L$6="mit",IF(B38*$O$4=0,"",B38*$O$4&amp;" "&amp;C38&amp;" "),IF(B38*$O$4=0,"",INT(CEILING(B38*$O$4,J38))&amp;" "&amp;C38&amp;" ")))</f>
        <v/>
      </c>
      <c r="O38" s="112" t="str">
        <f aca="false">IF(L38="","",IF($O$4="","",D38&amp;" "&amp;E38))</f>
        <v/>
      </c>
    </row>
    <row r="39" customFormat="false" ht="15" hidden="false" customHeight="false" outlineLevel="0" collapsed="false">
      <c r="A39" s="116"/>
      <c r="B39" s="117"/>
      <c r="C39" s="118"/>
      <c r="D39" s="117"/>
      <c r="E39" s="117"/>
      <c r="F39" s="119"/>
      <c r="G39" s="120"/>
      <c r="H39" s="121"/>
      <c r="I39" s="117"/>
      <c r="J39" s="9"/>
      <c r="K39" s="122"/>
      <c r="L39" s="109" t="str">
        <f aca="false">IF(I39="","",IF($L$6="mit",IF(B39*I39*$O$4=0,"",B39*I39*$O$4),IF(B39*I39*$O$4=0,"",INT(CEILING(B39*$O$4,J39))*I39)))</f>
        <v/>
      </c>
      <c r="M39" s="110" t="str">
        <f aca="false">IF(L39="","",G39)</f>
        <v/>
      </c>
      <c r="N39" s="111" t="str">
        <f aca="false">IF(L39="","",IF($L$6="mit",IF(B39*$O$4=0,"",B39*$O$4&amp;" "&amp;C39&amp;" "),IF(B39*$O$4=0,"",INT(CEILING(B39*$O$4,J39))&amp;" "&amp;C39&amp;" ")))</f>
        <v/>
      </c>
      <c r="O39" s="112" t="str">
        <f aca="false">IF(L39="","",IF($O$4="","",D39&amp;" "&amp;E39))</f>
        <v/>
      </c>
    </row>
    <row r="40" customFormat="false" ht="15" hidden="false" customHeight="false" outlineLevel="0" collapsed="false">
      <c r="A40" s="116"/>
      <c r="B40" s="117"/>
      <c r="C40" s="118"/>
      <c r="D40" s="117"/>
      <c r="E40" s="117"/>
      <c r="F40" s="119"/>
      <c r="G40" s="120"/>
      <c r="H40" s="121"/>
      <c r="I40" s="117"/>
      <c r="J40" s="9"/>
      <c r="K40" s="122"/>
      <c r="L40" s="109" t="str">
        <f aca="false">IF(I40="","",IF($L$6="mit",IF(B40*I40*$O$4=0,"",B40*I40*$O$4),IF(B40*I40*$O$4=0,"",INT(CEILING(B40*$O$4,J40))*I40)))</f>
        <v/>
      </c>
      <c r="M40" s="110" t="str">
        <f aca="false">IF(L40="","",G40)</f>
        <v/>
      </c>
      <c r="N40" s="111" t="str">
        <f aca="false">IF(L40="","",IF($L$6="mit",IF(B40*$O$4=0,"",B40*$O$4&amp;" "&amp;C40&amp;" "),IF(B40*$O$4=0,"",INT(CEILING(B40*$O$4,J40))&amp;" "&amp;C40&amp;" ")))</f>
        <v/>
      </c>
      <c r="O40" s="112" t="str">
        <f aca="false">IF(L40="","",IF($O$4="","",D40&amp;" "&amp;E40))</f>
        <v/>
      </c>
    </row>
    <row r="41" customFormat="false" ht="15" hidden="false" customHeight="false" outlineLevel="0" collapsed="false">
      <c r="A41" s="116"/>
      <c r="B41" s="117"/>
      <c r="C41" s="118"/>
      <c r="D41" s="117"/>
      <c r="E41" s="117"/>
      <c r="F41" s="119"/>
      <c r="G41" s="120"/>
      <c r="H41" s="121"/>
      <c r="I41" s="117"/>
      <c r="J41" s="9"/>
      <c r="K41" s="122"/>
      <c r="L41" s="109" t="str">
        <f aca="false">IF(I41="","",IF($L$6="mit",IF(B41*I41*$O$4=0,"",B41*I41*$O$4),IF(B41*I41*$O$4=0,"",INT(CEILING(B41*$O$4,J41))*I41)))</f>
        <v/>
      </c>
      <c r="M41" s="110" t="str">
        <f aca="false">IF(L41="","",G41)</f>
        <v/>
      </c>
      <c r="N41" s="111" t="str">
        <f aca="false">IF(L41="","",IF($L$6="mit",IF(B41*$O$4=0,"",B41*$O$4&amp;" "&amp;C41&amp;" "),IF(B41*$O$4=0,"",INT(CEILING(B41*$O$4,J41))&amp;" "&amp;C41&amp;" ")))</f>
        <v/>
      </c>
      <c r="O41" s="112" t="str">
        <f aca="false">IF(L41="","",IF($O$4="","",D41&amp;" "&amp;E41))</f>
        <v/>
      </c>
    </row>
    <row r="42" customFormat="false" ht="15" hidden="false" customHeight="false" outlineLevel="0" collapsed="false">
      <c r="A42" s="116"/>
      <c r="B42" s="117"/>
      <c r="C42" s="118"/>
      <c r="D42" s="117"/>
      <c r="E42" s="117"/>
      <c r="F42" s="119"/>
      <c r="G42" s="120"/>
      <c r="H42" s="121"/>
      <c r="I42" s="117"/>
      <c r="J42" s="9"/>
      <c r="K42" s="122"/>
      <c r="L42" s="109" t="str">
        <f aca="false">IF(I42="","",IF($L$6="mit",IF(B42*I42*$O$4=0,"",B42*I42*$O$4),IF(B42*I42*$O$4=0,"",INT(CEILING(B42*$O$4,J42))*I42)))</f>
        <v/>
      </c>
      <c r="M42" s="110" t="str">
        <f aca="false">IF(L42="","",G42)</f>
        <v/>
      </c>
      <c r="N42" s="111" t="str">
        <f aca="false">IF(L42="","",IF($L$6="mit",IF(B42*$O$4=0,"",B42*$O$4&amp;" "&amp;C42&amp;" "),IF(B42*$O$4=0,"",INT(CEILING(B42*$O$4,J42))&amp;" "&amp;C42&amp;" ")))</f>
        <v/>
      </c>
      <c r="O42" s="112" t="str">
        <f aca="false">IF(L42="","",IF($O$4="","",D42&amp;" "&amp;E42))</f>
        <v/>
      </c>
    </row>
    <row r="43" customFormat="false" ht="15" hidden="false" customHeight="false" outlineLevel="0" collapsed="false">
      <c r="A43" s="116"/>
      <c r="B43" s="117"/>
      <c r="C43" s="118"/>
      <c r="D43" s="117"/>
      <c r="E43" s="117"/>
      <c r="F43" s="119"/>
      <c r="G43" s="120"/>
      <c r="H43" s="121"/>
      <c r="I43" s="117"/>
      <c r="J43" s="9"/>
      <c r="K43" s="122"/>
      <c r="L43" s="109" t="str">
        <f aca="false">IF(I43="","",IF($L$6="mit",IF(B43*I43*$O$4=0,"",B43*I43*$O$4),IF(B43*I43*$O$4=0,"",INT(CEILING(B43*$O$4,J43))*I43)))</f>
        <v/>
      </c>
      <c r="M43" s="110" t="str">
        <f aca="false">IF(L43="","",G43)</f>
        <v/>
      </c>
      <c r="N43" s="111" t="str">
        <f aca="false">IF(L43="","",IF($L$6="mit",IF(B43*$O$4=0,"",B43*$O$4&amp;" "&amp;C43&amp;" "),IF(B43*$O$4=0,"",INT(CEILING(B43*$O$4,J43))&amp;" "&amp;C43&amp;" ")))</f>
        <v/>
      </c>
      <c r="O43" s="112" t="str">
        <f aca="false">IF(L43="","",IF($O$4="","",D43&amp;" "&amp;E43))</f>
        <v/>
      </c>
    </row>
    <row r="44" customFormat="false" ht="15" hidden="false" customHeight="false" outlineLevel="0" collapsed="false">
      <c r="A44" s="116"/>
      <c r="B44" s="117"/>
      <c r="C44" s="118"/>
      <c r="D44" s="117"/>
      <c r="E44" s="117"/>
      <c r="F44" s="119"/>
      <c r="G44" s="120"/>
      <c r="H44" s="121"/>
      <c r="I44" s="117"/>
      <c r="J44" s="9"/>
      <c r="K44" s="122"/>
      <c r="L44" s="109" t="str">
        <f aca="false">IF(I44="","",IF($L$6="mit",IF(B44*I44*$O$4=0,"",B44*I44*$O$4),IF(B44*I44*$O$4=0,"",INT(CEILING(B44*$O$4,J44))*I44)))</f>
        <v/>
      </c>
      <c r="M44" s="110" t="str">
        <f aca="false">IF(L44="","",G44)</f>
        <v/>
      </c>
      <c r="N44" s="111" t="str">
        <f aca="false">IF(L44="","",IF($L$6="mit",IF(B44*$O$4=0,"",B44*$O$4&amp;" "&amp;C44&amp;" "),IF(B44*$O$4=0,"",INT(CEILING(B44*$O$4,J44))&amp;" "&amp;C44&amp;" ")))</f>
        <v/>
      </c>
      <c r="O44" s="112" t="str">
        <f aca="false">IF(L44="","",IF($O$4="","",D44&amp;" "&amp;E44))</f>
        <v/>
      </c>
    </row>
    <row r="45" customFormat="false" ht="15" hidden="false" customHeight="false" outlineLevel="0" collapsed="false">
      <c r="A45" s="116"/>
      <c r="B45" s="117"/>
      <c r="C45" s="118"/>
      <c r="D45" s="117"/>
      <c r="E45" s="117"/>
      <c r="F45" s="119"/>
      <c r="G45" s="120"/>
      <c r="H45" s="121"/>
      <c r="I45" s="117"/>
      <c r="J45" s="9"/>
      <c r="K45" s="122"/>
      <c r="L45" s="109" t="str">
        <f aca="false">IF(I45="","",IF($L$6="mit",IF(B45*I45*$O$4=0,"",B45*I45*$O$4),IF(B45*I45*$O$4=0,"",INT(CEILING(B45*$O$4,J45))*I45)))</f>
        <v/>
      </c>
      <c r="M45" s="110" t="str">
        <f aca="false">IF(L45="","",G45)</f>
        <v/>
      </c>
      <c r="N45" s="111" t="str">
        <f aca="false">IF(L45="","",IF($L$6="mit",IF(B45*$O$4=0,"",B45*$O$4&amp;" "&amp;C45&amp;" "),IF(B45*$O$4=0,"",INT(CEILING(B45*$O$4,J45))&amp;" "&amp;C45&amp;" ")))</f>
        <v/>
      </c>
      <c r="O45" s="112" t="str">
        <f aca="false">IF(L45="","",IF($O$4="","",D45&amp;" "&amp;E45))</f>
        <v/>
      </c>
    </row>
    <row r="46" customFormat="false" ht="15" hidden="false" customHeight="false" outlineLevel="0" collapsed="false">
      <c r="A46" s="116"/>
      <c r="B46" s="117"/>
      <c r="C46" s="118"/>
      <c r="D46" s="117"/>
      <c r="E46" s="117"/>
      <c r="F46" s="119"/>
      <c r="G46" s="120"/>
      <c r="H46" s="121"/>
      <c r="I46" s="117"/>
      <c r="J46" s="9"/>
      <c r="K46" s="122"/>
      <c r="L46" s="109" t="str">
        <f aca="false">IF(I46="","",IF($L$6="mit",IF(B46*I46*$O$4=0,"",B46*I46*$O$4),IF(B46*I46*$O$4=0,"",INT(CEILING(B46*$O$4,J46))*I46)))</f>
        <v/>
      </c>
      <c r="M46" s="110" t="str">
        <f aca="false">IF(L46="","",G46)</f>
        <v/>
      </c>
      <c r="N46" s="111" t="str">
        <f aca="false">IF(L46="","",IF($L$6="mit",IF(B46*$O$4=0,"",B46*$O$4&amp;" "&amp;C46&amp;" "),IF(B46*$O$4=0,"",INT(CEILING(B46*$O$4,J46))&amp;" "&amp;C46&amp;" ")))</f>
        <v/>
      </c>
      <c r="O46" s="112" t="str">
        <f aca="false">IF(L46="","",IF($O$4="","",D46&amp;" "&amp;E46))</f>
        <v/>
      </c>
    </row>
    <row r="47" customFormat="false" ht="15" hidden="false" customHeight="false" outlineLevel="0" collapsed="false">
      <c r="A47" s="116"/>
      <c r="B47" s="117"/>
      <c r="C47" s="118"/>
      <c r="D47" s="117"/>
      <c r="E47" s="117"/>
      <c r="F47" s="119"/>
      <c r="G47" s="120"/>
      <c r="H47" s="121"/>
      <c r="I47" s="117"/>
      <c r="J47" s="9"/>
      <c r="K47" s="122"/>
      <c r="L47" s="109" t="str">
        <f aca="false">IF(I47="","",IF($L$6="mit",IF(B47*I47*$O$4=0,"",B47*I47*$O$4),IF(B47*I47*$O$4=0,"",INT(CEILING(B47*$O$4,J47))*I47)))</f>
        <v/>
      </c>
      <c r="M47" s="110" t="str">
        <f aca="false">IF(L47="","",G47)</f>
        <v/>
      </c>
      <c r="N47" s="111" t="str">
        <f aca="false">IF(L47="","",IF($L$6="mit",IF(B47*$O$4=0,"",B47*$O$4&amp;" "&amp;C47&amp;" "),IF(B47*$O$4=0,"",INT(CEILING(B47*$O$4,J47))&amp;" "&amp;C47&amp;" ")))</f>
        <v/>
      </c>
      <c r="O47" s="112" t="str">
        <f aca="false">IF(L47="","",IF($O$4="","",D47&amp;" "&amp;E47))</f>
        <v/>
      </c>
    </row>
    <row r="48" customFormat="false" ht="15" hidden="false" customHeight="false" outlineLevel="0" collapsed="false">
      <c r="A48" s="116"/>
      <c r="B48" s="117"/>
      <c r="C48" s="118"/>
      <c r="D48" s="117"/>
      <c r="E48" s="117"/>
      <c r="F48" s="119"/>
      <c r="G48" s="120"/>
      <c r="H48" s="121"/>
      <c r="I48" s="117"/>
      <c r="J48" s="9"/>
      <c r="K48" s="122"/>
      <c r="L48" s="109" t="str">
        <f aca="false">IF(I48="","",IF($L$6="mit",IF(B48*I48*$O$4=0,"",B48*I48*$O$4),IF(B48*I48*$O$4=0,"",INT(CEILING(B48*$O$4,J48))*I48)))</f>
        <v/>
      </c>
      <c r="M48" s="110" t="str">
        <f aca="false">IF(L48="","",G48)</f>
        <v/>
      </c>
      <c r="N48" s="111" t="str">
        <f aca="false">IF(L48="","",IF($L$6="mit",IF(B48*$O$4=0,"",B48*$O$4&amp;" "&amp;C48&amp;" "),IF(B48*$O$4=0,"",INT(CEILING(B48*$O$4,J48))&amp;" "&amp;C48&amp;" ")))</f>
        <v/>
      </c>
      <c r="O48" s="112" t="str">
        <f aca="false">IF(L48="","",IF($O$4="","",D48&amp;" "&amp;E48))</f>
        <v/>
      </c>
    </row>
    <row r="49" customFormat="false" ht="15" hidden="false" customHeight="false" outlineLevel="0" collapsed="false">
      <c r="A49" s="116"/>
      <c r="B49" s="117"/>
      <c r="C49" s="118"/>
      <c r="D49" s="117"/>
      <c r="E49" s="117"/>
      <c r="F49" s="119"/>
      <c r="G49" s="120"/>
      <c r="H49" s="121"/>
      <c r="I49" s="117"/>
      <c r="J49" s="9"/>
      <c r="K49" s="122"/>
      <c r="L49" s="109" t="str">
        <f aca="false">IF(I49="","",IF($L$6="mit",IF(B49*I49*$O$4=0,"",B49*I49*$O$4),IF(B49*I49*$O$4=0,"",INT(CEILING(B49*$O$4,J49))*I49)))</f>
        <v/>
      </c>
      <c r="M49" s="110" t="str">
        <f aca="false">IF(L49="","",G49)</f>
        <v/>
      </c>
      <c r="N49" s="111" t="str">
        <f aca="false">IF(L49="","",IF($L$6="mit",IF(B49*$O$4=0,"",B49*$O$4&amp;" "&amp;C49&amp;" "),IF(B49*$O$4=0,"",INT(CEILING(B49*$O$4,J49))&amp;" "&amp;C49&amp;" ")))</f>
        <v/>
      </c>
      <c r="O49" s="112" t="str">
        <f aca="false">IF(L49="","",IF($O$4="","",D49&amp;" "&amp;E49))</f>
        <v/>
      </c>
    </row>
    <row r="50" customFormat="false" ht="15" hidden="false" customHeight="false" outlineLevel="0" collapsed="false">
      <c r="A50" s="116"/>
      <c r="B50" s="117"/>
      <c r="C50" s="118"/>
      <c r="D50" s="117"/>
      <c r="E50" s="117"/>
      <c r="F50" s="119"/>
      <c r="G50" s="120"/>
      <c r="H50" s="121"/>
      <c r="I50" s="117"/>
      <c r="J50" s="9"/>
      <c r="K50" s="122"/>
      <c r="L50" s="109" t="str">
        <f aca="false">IF(I50="","",IF($L$6="mit",IF(B50*I50*$O$4=0,"",B50*I50*$O$4),IF(B50*I50*$O$4=0,"",INT(CEILING(B50*$O$4,J50))*I50)))</f>
        <v/>
      </c>
      <c r="M50" s="110" t="str">
        <f aca="false">IF(L50="","",G50)</f>
        <v/>
      </c>
      <c r="N50" s="111" t="str">
        <f aca="false">IF(L50="","",IF($L$6="mit",IF(B50*$O$4=0,"",B50*$O$4&amp;" "&amp;C50&amp;" "),IF(B50*$O$4=0,"",INT(CEILING(B50*$O$4,J50))&amp;" "&amp;C50&amp;" ")))</f>
        <v/>
      </c>
      <c r="O50" s="112" t="str">
        <f aca="false">IF(L50="","",IF($O$4="","",D50&amp;" "&amp;E50))</f>
        <v/>
      </c>
    </row>
    <row r="51" customFormat="false" ht="15" hidden="false" customHeight="false" outlineLevel="0" collapsed="false">
      <c r="A51" s="116"/>
      <c r="B51" s="117"/>
      <c r="C51" s="118"/>
      <c r="D51" s="117"/>
      <c r="E51" s="117"/>
      <c r="F51" s="119"/>
      <c r="G51" s="120"/>
      <c r="H51" s="121"/>
      <c r="I51" s="117"/>
      <c r="J51" s="9"/>
      <c r="K51" s="122"/>
      <c r="L51" s="109" t="str">
        <f aca="false">IF(I51="","",IF($L$6="mit",IF(B51*I51*$O$4=0,"",B51*I51*$O$4),IF(B51*I51*$O$4=0,"",INT(CEILING(B51*$O$4,J51))*I51)))</f>
        <v/>
      </c>
      <c r="M51" s="110" t="str">
        <f aca="false">IF(L51="","",G51)</f>
        <v/>
      </c>
      <c r="N51" s="111" t="str">
        <f aca="false">IF(L51="","",IF($L$6="mit",IF(B51*$O$4=0,"",B51*$O$4&amp;" "&amp;C51&amp;" "),IF(B51*$O$4=0,"",INT(CEILING(B51*$O$4,J51))&amp;" "&amp;C51&amp;" ")))</f>
        <v/>
      </c>
      <c r="O51" s="112" t="str">
        <f aca="false">IF(L51="","",IF($O$4="","",D51&amp;" "&amp;E51))</f>
        <v/>
      </c>
    </row>
    <row r="52" customFormat="false" ht="15" hidden="false" customHeight="false" outlineLevel="0" collapsed="false">
      <c r="A52" s="116"/>
      <c r="B52" s="117"/>
      <c r="C52" s="118"/>
      <c r="D52" s="117"/>
      <c r="E52" s="117"/>
      <c r="F52" s="119"/>
      <c r="G52" s="120"/>
      <c r="H52" s="121"/>
      <c r="I52" s="117"/>
      <c r="J52" s="9"/>
      <c r="K52" s="122"/>
      <c r="L52" s="109" t="str">
        <f aca="false">IF(I52="","",IF($L$6="mit",IF(B52*I52*$O$4=0,"",B52*I52*$O$4),IF(B52*I52*$O$4=0,"",INT(CEILING(B52*$O$4,J52))*I52)))</f>
        <v/>
      </c>
      <c r="M52" s="110" t="str">
        <f aca="false">IF(L52="","",G52)</f>
        <v/>
      </c>
      <c r="N52" s="111" t="str">
        <f aca="false">IF(L52="","",IF($L$6="mit",IF(B52*$O$4=0,"",B52*$O$4&amp;" "&amp;C52&amp;" "),IF(B52*$O$4=0,"",INT(CEILING(B52*$O$4,J52))&amp;" "&amp;C52&amp;" ")))</f>
        <v/>
      </c>
      <c r="O52" s="112" t="str">
        <f aca="false">IF(L52="","",IF($O$4="","",D52&amp;" "&amp;E52))</f>
        <v/>
      </c>
    </row>
    <row r="53" customFormat="false" ht="15" hidden="false" customHeight="false" outlineLevel="0" collapsed="false">
      <c r="A53" s="116"/>
      <c r="B53" s="117"/>
      <c r="C53" s="118"/>
      <c r="D53" s="117"/>
      <c r="E53" s="117"/>
      <c r="F53" s="119"/>
      <c r="G53" s="120"/>
      <c r="H53" s="121"/>
      <c r="I53" s="117"/>
      <c r="J53" s="9"/>
      <c r="K53" s="122"/>
      <c r="L53" s="109" t="str">
        <f aca="false">IF(I53="","",IF($L$6="mit",IF(B53*I53*$O$4=0,"",B53*I53*$O$4),IF(B53*I53*$O$4=0,"",INT(CEILING(B53*$O$4,J53))*I53)))</f>
        <v/>
      </c>
      <c r="M53" s="110" t="str">
        <f aca="false">IF(L53="","",G53)</f>
        <v/>
      </c>
      <c r="N53" s="111" t="str">
        <f aca="false">IF(L53="","",IF($L$6="mit",IF(B53*$O$4=0,"",B53*$O$4&amp;" "&amp;C53&amp;" "),IF(B53*$O$4=0,"",INT(CEILING(B53*$O$4,J53))&amp;" "&amp;C53&amp;" ")))</f>
        <v/>
      </c>
      <c r="O53" s="112" t="str">
        <f aca="false">IF(L53="","",IF($O$4="","",D53&amp;" "&amp;E53))</f>
        <v/>
      </c>
    </row>
    <row r="54" customFormat="false" ht="15" hidden="false" customHeight="false" outlineLevel="0" collapsed="false">
      <c r="A54" s="116"/>
      <c r="B54" s="117"/>
      <c r="C54" s="118"/>
      <c r="D54" s="117"/>
      <c r="E54" s="117"/>
      <c r="F54" s="119"/>
      <c r="G54" s="120"/>
      <c r="H54" s="121"/>
      <c r="I54" s="117"/>
      <c r="J54" s="9"/>
      <c r="K54" s="122"/>
      <c r="L54" s="109" t="str">
        <f aca="false">IF(I54="","",IF($L$6="mit",IF(B54*I54*$O$4=0,"",B54*I54*$O$4),IF(B54*I54*$O$4=0,"",INT(CEILING(B54*$O$4,J54))*I54)))</f>
        <v/>
      </c>
      <c r="M54" s="110" t="str">
        <f aca="false">IF(L54="","",G54)</f>
        <v/>
      </c>
      <c r="N54" s="111" t="str">
        <f aca="false">IF(L54="","",IF($L$6="mit",IF(B54*$O$4=0,"",B54*$O$4&amp;" "&amp;C54&amp;" "),IF(B54*$O$4=0,"",INT(CEILING(B54*$O$4,J54))&amp;" "&amp;C54&amp;" ")))</f>
        <v/>
      </c>
      <c r="O54" s="112" t="str">
        <f aca="false">IF(L54="","",IF($O$4="","",D54&amp;" "&amp;E54))</f>
        <v/>
      </c>
    </row>
    <row r="55" customFormat="false" ht="15" hidden="false" customHeight="false" outlineLevel="0" collapsed="false">
      <c r="A55" s="116"/>
      <c r="B55" s="117"/>
      <c r="C55" s="118"/>
      <c r="D55" s="117"/>
      <c r="E55" s="117"/>
      <c r="F55" s="119"/>
      <c r="G55" s="120"/>
      <c r="H55" s="121"/>
      <c r="I55" s="117"/>
      <c r="J55" s="9"/>
      <c r="K55" s="122"/>
      <c r="L55" s="109" t="str">
        <f aca="false">IF(I55="","",IF($L$6="mit",IF(B55*I55*$O$4=0,"",B55*I55*$O$4),IF(B55*I55*$O$4=0,"",INT(CEILING(B55*$O$4,J55))*I55)))</f>
        <v/>
      </c>
      <c r="M55" s="110" t="str">
        <f aca="false">IF(L55="","",G55)</f>
        <v/>
      </c>
      <c r="N55" s="111" t="str">
        <f aca="false">IF(L55="","",IF($L$6="mit",IF(B55*$O$4=0,"",B55*$O$4&amp;" "&amp;C55&amp;" "),IF(B55*$O$4=0,"",INT(CEILING(B55*$O$4,J55))&amp;" "&amp;C55&amp;" ")))</f>
        <v/>
      </c>
      <c r="O55" s="112" t="str">
        <f aca="false">IF(L55="","",IF($O$4="","",D55&amp;" "&amp;E55))</f>
        <v/>
      </c>
    </row>
    <row r="56" customFormat="false" ht="15" hidden="false" customHeight="false" outlineLevel="0" collapsed="false">
      <c r="A56" s="116"/>
      <c r="B56" s="117"/>
      <c r="C56" s="118"/>
      <c r="D56" s="117"/>
      <c r="E56" s="117"/>
      <c r="F56" s="119"/>
      <c r="G56" s="120"/>
      <c r="H56" s="121"/>
      <c r="I56" s="117"/>
      <c r="J56" s="9"/>
      <c r="K56" s="122"/>
      <c r="L56" s="109" t="str">
        <f aca="false">IF(I56="","",IF($L$6="mit",IF(B56*I56*$O$4=0,"",B56*I56*$O$4),IF(B56*I56*$O$4=0,"",INT(CEILING(B56*$O$4,J56))*I56)))</f>
        <v/>
      </c>
      <c r="M56" s="110" t="str">
        <f aca="false">IF(L56="","",G56)</f>
        <v/>
      </c>
      <c r="N56" s="111" t="str">
        <f aca="false">IF(L56="","",IF($L$6="mit",IF(B56*$O$4=0,"",B56*$O$4&amp;" "&amp;C56&amp;" "),IF(B56*$O$4=0,"",INT(CEILING(B56*$O$4,J56))&amp;" "&amp;C56&amp;" ")))</f>
        <v/>
      </c>
      <c r="O56" s="112" t="str">
        <f aca="false">IF(L56="","",IF($O$4="","",D56&amp;" "&amp;E56))</f>
        <v/>
      </c>
    </row>
    <row r="57" customFormat="false" ht="15" hidden="false" customHeight="false" outlineLevel="0" collapsed="false">
      <c r="A57" s="116"/>
      <c r="B57" s="117"/>
      <c r="C57" s="118"/>
      <c r="D57" s="117"/>
      <c r="E57" s="117"/>
      <c r="F57" s="119"/>
      <c r="G57" s="120"/>
      <c r="H57" s="121"/>
      <c r="I57" s="117"/>
      <c r="J57" s="9"/>
      <c r="K57" s="122"/>
      <c r="L57" s="109" t="str">
        <f aca="false">IF(I57="","",IF($L$6="mit",IF(B57*I57*$O$4=0,"",B57*I57*$O$4),IF(B57*I57*$O$4=0,"",INT(CEILING(B57*$O$4,J57))*I57)))</f>
        <v/>
      </c>
      <c r="M57" s="110" t="str">
        <f aca="false">IF(L57="","",G57)</f>
        <v/>
      </c>
      <c r="N57" s="111" t="str">
        <f aca="false">IF(L57="","",IF($L$6="mit",IF(B57*$O$4=0,"",B57*$O$4&amp;" "&amp;C57&amp;" "),IF(B57*$O$4=0,"",INT(CEILING(B57*$O$4,J57))&amp;" "&amp;C57&amp;" ")))</f>
        <v/>
      </c>
      <c r="O57" s="112" t="str">
        <f aca="false">IF(L57="","",IF($O$4="","",D57&amp;" "&amp;E57))</f>
        <v/>
      </c>
    </row>
    <row r="58" customFormat="false" ht="15" hidden="false" customHeight="false" outlineLevel="0" collapsed="false">
      <c r="A58" s="116"/>
      <c r="B58" s="117"/>
      <c r="C58" s="118"/>
      <c r="D58" s="117"/>
      <c r="E58" s="117"/>
      <c r="F58" s="119"/>
      <c r="G58" s="120"/>
      <c r="H58" s="121"/>
      <c r="I58" s="117"/>
      <c r="J58" s="9"/>
      <c r="K58" s="122"/>
      <c r="L58" s="109" t="str">
        <f aca="false">IF(I58="","",IF($L$6="mit",IF(B58*I58*$O$4=0,"",B58*I58*$O$4),IF(B58*I58*$O$4=0,"",INT(CEILING(B58*$O$4,J58))*I58)))</f>
        <v/>
      </c>
      <c r="M58" s="110" t="str">
        <f aca="false">IF(L58="","",G58)</f>
        <v/>
      </c>
      <c r="N58" s="111" t="str">
        <f aca="false">IF(L58="","",IF($L$6="mit",IF(B58*$O$4=0,"",B58*$O$4&amp;" "&amp;C58&amp;" "),IF(B58*$O$4=0,"",INT(CEILING(B58*$O$4,J58))&amp;" "&amp;C58&amp;" ")))</f>
        <v/>
      </c>
      <c r="O58" s="112" t="str">
        <f aca="false">IF(L58="","",IF($O$4="","",D58&amp;" "&amp;E58))</f>
        <v/>
      </c>
    </row>
    <row r="59" customFormat="false" ht="15" hidden="false" customHeight="false" outlineLevel="0" collapsed="false">
      <c r="A59" s="116"/>
      <c r="B59" s="117"/>
      <c r="C59" s="118"/>
      <c r="D59" s="117"/>
      <c r="E59" s="117"/>
      <c r="F59" s="119"/>
      <c r="G59" s="120"/>
      <c r="H59" s="121"/>
      <c r="I59" s="117"/>
      <c r="J59" s="9"/>
      <c r="K59" s="122"/>
      <c r="L59" s="109" t="str">
        <f aca="false">IF(I59="","",IF($L$6="mit",IF(B59*I59*$O$4=0,"",B59*I59*$O$4),IF(B59*I59*$O$4=0,"",INT(CEILING(B59*$O$4,J59))*I59)))</f>
        <v/>
      </c>
      <c r="M59" s="110" t="str">
        <f aca="false">IF(L59="","",G59)</f>
        <v/>
      </c>
      <c r="N59" s="111" t="str">
        <f aca="false">IF(L59="","",IF($L$6="mit",IF(B59*$O$4=0,"",B59*$O$4&amp;" "&amp;C59&amp;" "),IF(B59*$O$4=0,"",INT(CEILING(B59*$O$4,J59))&amp;" "&amp;C59&amp;" ")))</f>
        <v/>
      </c>
      <c r="O59" s="112" t="str">
        <f aca="false">IF(L59="","",IF($O$4="","",D59&amp;" "&amp;E59))</f>
        <v/>
      </c>
    </row>
    <row r="60" customFormat="false" ht="15" hidden="false" customHeight="false" outlineLevel="0" collapsed="false">
      <c r="A60" s="116"/>
      <c r="B60" s="117"/>
      <c r="C60" s="118"/>
      <c r="D60" s="117"/>
      <c r="E60" s="117"/>
      <c r="F60" s="119"/>
      <c r="G60" s="120"/>
      <c r="H60" s="121"/>
      <c r="I60" s="117"/>
      <c r="J60" s="9"/>
      <c r="K60" s="122"/>
      <c r="L60" s="109" t="str">
        <f aca="false">IF(I60="","",IF($L$6="mit",IF(B60*I60*$O$4=0,"",B60*I60*$O$4),IF(B60*I60*$O$4=0,"",INT(CEILING(B60*$O$4,J60))*I60)))</f>
        <v/>
      </c>
      <c r="M60" s="110" t="str">
        <f aca="false">IF(L60="","",G60)</f>
        <v/>
      </c>
      <c r="N60" s="111" t="str">
        <f aca="false">IF(L60="","",IF($L$6="mit",IF(B60*$O$4=0,"",B60*$O$4&amp;" "&amp;C60&amp;" "),IF(B60*$O$4=0,"",INT(CEILING(B60*$O$4,J60))&amp;" "&amp;C60&amp;" ")))</f>
        <v/>
      </c>
      <c r="O60" s="112" t="str">
        <f aca="false">IF(L60="","",IF($O$4="","",D60&amp;" "&amp;E60))</f>
        <v/>
      </c>
    </row>
    <row r="61" customFormat="false" ht="15" hidden="false" customHeight="false" outlineLevel="0" collapsed="false">
      <c r="A61" s="116"/>
      <c r="B61" s="117"/>
      <c r="C61" s="118"/>
      <c r="D61" s="117"/>
      <c r="E61" s="117"/>
      <c r="F61" s="119"/>
      <c r="G61" s="120"/>
      <c r="H61" s="121"/>
      <c r="I61" s="117"/>
      <c r="J61" s="9"/>
      <c r="K61" s="122"/>
      <c r="L61" s="109" t="str">
        <f aca="false">IF(I61="","",IF($L$6="mit",IF(B61*I61*$O$4=0,"",B61*I61*$O$4),IF(B61*I61*$O$4=0,"",INT(CEILING(B61*$O$4,J61))*I61)))</f>
        <v/>
      </c>
      <c r="M61" s="110" t="str">
        <f aca="false">IF(L61="","",G61)</f>
        <v/>
      </c>
      <c r="N61" s="111" t="str">
        <f aca="false">IF(L61="","",IF($L$6="mit",IF(B61*$O$4=0,"",B61*$O$4&amp;" "&amp;C61&amp;" "),IF(B61*$O$4=0,"",INT(CEILING(B61*$O$4,J61))&amp;" "&amp;C61&amp;" ")))</f>
        <v/>
      </c>
      <c r="O61" s="112" t="str">
        <f aca="false">IF(L61="","",IF($O$4="","",D61&amp;" "&amp;E61))</f>
        <v/>
      </c>
    </row>
    <row r="62" customFormat="false" ht="15" hidden="false" customHeight="false" outlineLevel="0" collapsed="false">
      <c r="A62" s="116"/>
      <c r="B62" s="117"/>
      <c r="C62" s="118"/>
      <c r="D62" s="117"/>
      <c r="E62" s="117"/>
      <c r="F62" s="119"/>
      <c r="G62" s="120"/>
      <c r="H62" s="121"/>
      <c r="I62" s="117"/>
      <c r="J62" s="9"/>
      <c r="K62" s="122"/>
      <c r="L62" s="109" t="str">
        <f aca="false">IF(I62="","",IF($L$6="mit",IF(B62*I62*$O$4=0,"",B62*I62*$O$4),IF(B62*I62*$O$4=0,"",INT(CEILING(B62*$O$4,J62))*I62)))</f>
        <v/>
      </c>
      <c r="M62" s="110" t="str">
        <f aca="false">IF(L62="","",G62)</f>
        <v/>
      </c>
      <c r="N62" s="111" t="str">
        <f aca="false">IF(L62="","",IF($L$6="mit",IF(B62*$O$4=0,"",B62*$O$4&amp;" "&amp;C62&amp;" "),IF(B62*$O$4=0,"",INT(CEILING(B62*$O$4,J62))&amp;" "&amp;C62&amp;" ")))</f>
        <v/>
      </c>
      <c r="O62" s="112" t="str">
        <f aca="false">IF(L62="","",IF($O$4="","",D62&amp;" "&amp;E62))</f>
        <v/>
      </c>
    </row>
    <row r="63" customFormat="false" ht="15" hidden="false" customHeight="false" outlineLevel="0" collapsed="false">
      <c r="A63" s="116"/>
      <c r="B63" s="117"/>
      <c r="C63" s="118"/>
      <c r="D63" s="117"/>
      <c r="E63" s="117"/>
      <c r="F63" s="119"/>
      <c r="G63" s="120"/>
      <c r="H63" s="121"/>
      <c r="I63" s="117"/>
      <c r="J63" s="9"/>
      <c r="K63" s="122"/>
      <c r="L63" s="109" t="str">
        <f aca="false">IF(I63="","",IF($L$6="mit",IF(B63*I63*$O$4=0,"",B63*I63*$O$4),IF(B63*I63*$O$4=0,"",INT(CEILING(B63*$O$4,J63))*I63)))</f>
        <v/>
      </c>
      <c r="M63" s="110" t="str">
        <f aca="false">IF(L63="","",G63)</f>
        <v/>
      </c>
      <c r="N63" s="111" t="str">
        <f aca="false">IF(L63="","",IF($L$6="mit",IF(B63*$O$4=0,"",B63*$O$4&amp;" "&amp;C63&amp;" "),IF(B63*$O$4=0,"",INT(CEILING(B63*$O$4,J63))&amp;" "&amp;C63&amp;" ")))</f>
        <v/>
      </c>
      <c r="O63" s="112" t="str">
        <f aca="false">IF(L63="","",IF($O$4="","",D63&amp;" "&amp;E63))</f>
        <v/>
      </c>
    </row>
    <row r="64" customFormat="false" ht="15" hidden="false" customHeight="false" outlineLevel="0" collapsed="false">
      <c r="A64" s="116"/>
      <c r="B64" s="117"/>
      <c r="C64" s="118"/>
      <c r="D64" s="117"/>
      <c r="E64" s="117"/>
      <c r="F64" s="119"/>
      <c r="G64" s="120"/>
      <c r="H64" s="121"/>
      <c r="I64" s="117"/>
      <c r="J64" s="9"/>
      <c r="K64" s="122"/>
      <c r="L64" s="109" t="str">
        <f aca="false">IF(I64="","",IF($L$6="mit",IF(B64*I64*$O$4=0,"",B64*I64*$O$4),IF(B64*I64*$O$4=0,"",INT(CEILING(B64*$O$4,J64))*I64)))</f>
        <v/>
      </c>
      <c r="M64" s="110" t="str">
        <f aca="false">IF(L64="","",G64)</f>
        <v/>
      </c>
      <c r="N64" s="111" t="str">
        <f aca="false">IF(L64="","",IF($L$6="mit",IF(B64*$O$4=0,"",B64*$O$4&amp;" "&amp;C64&amp;" "),IF(B64*$O$4=0,"",INT(CEILING(B64*$O$4,J64))&amp;" "&amp;C64&amp;" ")))</f>
        <v/>
      </c>
      <c r="O64" s="112" t="str">
        <f aca="false">IF(L64="","",IF($O$4="","",D64&amp;" "&amp;E64))</f>
        <v/>
      </c>
    </row>
    <row r="65" customFormat="false" ht="15" hidden="false" customHeight="false" outlineLevel="0" collapsed="false">
      <c r="A65" s="116"/>
      <c r="B65" s="117"/>
      <c r="C65" s="118"/>
      <c r="D65" s="117"/>
      <c r="E65" s="117"/>
      <c r="F65" s="119"/>
      <c r="G65" s="120"/>
      <c r="H65" s="121"/>
      <c r="I65" s="117"/>
      <c r="J65" s="9"/>
      <c r="K65" s="122"/>
      <c r="L65" s="109" t="str">
        <f aca="false">IF(I65="","",IF($L$6="mit",IF(B65*I65*$O$4=0,"",B65*I65*$O$4),IF(B65*I65*$O$4=0,"",INT(CEILING(B65*$O$4,J65))*I65)))</f>
        <v/>
      </c>
      <c r="M65" s="110" t="str">
        <f aca="false">IF(L65="","",G65)</f>
        <v/>
      </c>
      <c r="N65" s="111" t="str">
        <f aca="false">IF(L65="","",IF($L$6="mit",IF(B65*$O$4=0,"",B65*$O$4&amp;" "&amp;C65&amp;" "),IF(B65*$O$4=0,"",INT(CEILING(B65*$O$4,J65))&amp;" "&amp;C65&amp;" ")))</f>
        <v/>
      </c>
      <c r="O65" s="112" t="str">
        <f aca="false">IF(L65="","",IF($O$4="","",D65&amp;" "&amp;E65))</f>
        <v/>
      </c>
    </row>
    <row r="66" customFormat="false" ht="15" hidden="false" customHeight="false" outlineLevel="0" collapsed="false">
      <c r="A66" s="116"/>
      <c r="B66" s="117"/>
      <c r="C66" s="118"/>
      <c r="D66" s="117"/>
      <c r="E66" s="117"/>
      <c r="F66" s="119"/>
      <c r="G66" s="120"/>
      <c r="H66" s="121"/>
      <c r="I66" s="117"/>
      <c r="J66" s="9"/>
      <c r="K66" s="122"/>
      <c r="L66" s="109" t="str">
        <f aca="false">IF(I66="","",IF($L$6="mit",IF(B66*I66*$O$4=0,"",B66*I66*$O$4),IF(B66*I66*$O$4=0,"",INT(CEILING(B66*$O$4,J66))*I66)))</f>
        <v/>
      </c>
      <c r="M66" s="110" t="str">
        <f aca="false">IF(L66="","",G66)</f>
        <v/>
      </c>
      <c r="N66" s="111" t="str">
        <f aca="false">IF(L66="","",IF($L$6="mit",IF(B66*$O$4=0,"",B66*$O$4&amp;" "&amp;C66&amp;" "),IF(B66*$O$4=0,"",INT(CEILING(B66*$O$4,J66))&amp;" "&amp;C66&amp;" ")))</f>
        <v/>
      </c>
      <c r="O66" s="112" t="str">
        <f aca="false">IF(L66="","",IF($O$4="","",D66&amp;" "&amp;E66))</f>
        <v/>
      </c>
    </row>
    <row r="67" customFormat="false" ht="15" hidden="false" customHeight="false" outlineLevel="0" collapsed="false">
      <c r="A67" s="116"/>
      <c r="B67" s="117"/>
      <c r="C67" s="118"/>
      <c r="D67" s="117"/>
      <c r="E67" s="117"/>
      <c r="F67" s="119"/>
      <c r="G67" s="120"/>
      <c r="H67" s="121"/>
      <c r="I67" s="117"/>
      <c r="J67" s="9"/>
      <c r="K67" s="122"/>
      <c r="L67" s="109" t="str">
        <f aca="false">IF(I67="","",IF($L$6="mit",IF(B67*I67*$O$4=0,"",B67*I67*$O$4),IF(B67*I67*$O$4=0,"",INT(CEILING(B67*$O$4,J67))*I67)))</f>
        <v/>
      </c>
      <c r="M67" s="110" t="str">
        <f aca="false">IF(L67="","",G67)</f>
        <v/>
      </c>
      <c r="N67" s="111" t="str">
        <f aca="false">IF(L67="","",IF($L$6="mit",IF(B67*$O$4=0,"",B67*$O$4&amp;" "&amp;C67&amp;" "),IF(B67*$O$4=0,"",INT(CEILING(B67*$O$4,J67))&amp;" "&amp;C67&amp;" ")))</f>
        <v/>
      </c>
      <c r="O67" s="112" t="str">
        <f aca="false">IF(L67="","",IF($O$4="","",D67&amp;" "&amp;E67))</f>
        <v/>
      </c>
    </row>
    <row r="68" customFormat="false" ht="15" hidden="false" customHeight="false" outlineLevel="0" collapsed="false">
      <c r="A68" s="116"/>
      <c r="B68" s="117"/>
      <c r="C68" s="118"/>
      <c r="D68" s="117"/>
      <c r="E68" s="117"/>
      <c r="F68" s="119"/>
      <c r="G68" s="120"/>
      <c r="H68" s="121"/>
      <c r="I68" s="117"/>
      <c r="J68" s="9"/>
      <c r="K68" s="122"/>
      <c r="L68" s="109" t="str">
        <f aca="false">IF(I68="","",IF($L$6="mit",IF(B68*I68*$O$4=0,"",B68*I68*$O$4),IF(B68*I68*$O$4=0,"",INT(CEILING(B68*$O$4,J68))*I68)))</f>
        <v/>
      </c>
      <c r="M68" s="110" t="str">
        <f aca="false">IF(L68="","",G68)</f>
        <v/>
      </c>
      <c r="N68" s="111" t="str">
        <f aca="false">IF(L68="","",IF($L$6="mit",IF(B68*$O$4=0,"",B68*$O$4&amp;" "&amp;C68&amp;" "),IF(B68*$O$4=0,"",INT(CEILING(B68*$O$4,J68))&amp;" "&amp;C68&amp;" ")))</f>
        <v/>
      </c>
      <c r="O68" s="112" t="str">
        <f aca="false">IF(L68="","",IF($O$4="","",D68&amp;" "&amp;E68))</f>
        <v/>
      </c>
    </row>
    <row r="69" customFormat="false" ht="15" hidden="false" customHeight="false" outlineLevel="0" collapsed="false">
      <c r="A69" s="116"/>
      <c r="B69" s="117"/>
      <c r="C69" s="118"/>
      <c r="D69" s="117"/>
      <c r="E69" s="117"/>
      <c r="F69" s="119"/>
      <c r="G69" s="120"/>
      <c r="H69" s="121"/>
      <c r="I69" s="117"/>
      <c r="J69" s="9"/>
      <c r="K69" s="122"/>
      <c r="L69" s="109" t="str">
        <f aca="false">IF(I69="","",IF($L$6="mit",IF(B69*I69*$O$4=0,"",B69*I69*$O$4),IF(B69*I69*$O$4=0,"",INT(CEILING(B69*$O$4,J69))*I69)))</f>
        <v/>
      </c>
      <c r="M69" s="110" t="str">
        <f aca="false">IF(L69="","",G69)</f>
        <v/>
      </c>
      <c r="N69" s="111" t="str">
        <f aca="false">IF(L69="","",IF($L$6="mit",IF(B69*$O$4=0,"",B69*$O$4&amp;" "&amp;C69&amp;" "),IF(B69*$O$4=0,"",INT(CEILING(B69*$O$4,J69))&amp;" "&amp;C69&amp;" ")))</f>
        <v/>
      </c>
      <c r="O69" s="112" t="str">
        <f aca="false">IF(L69="","",IF($O$4="","",D69&amp;" "&amp;E69))</f>
        <v/>
      </c>
    </row>
    <row r="70" customFormat="false" ht="15" hidden="false" customHeight="false" outlineLevel="0" collapsed="false">
      <c r="A70" s="116"/>
      <c r="B70" s="117"/>
      <c r="C70" s="118"/>
      <c r="D70" s="117"/>
      <c r="E70" s="117"/>
      <c r="F70" s="119"/>
      <c r="G70" s="120"/>
      <c r="H70" s="121"/>
      <c r="I70" s="117"/>
      <c r="J70" s="9"/>
      <c r="K70" s="122"/>
      <c r="L70" s="109" t="str">
        <f aca="false">IF(I70="","",IF($L$6="mit",IF(B70*I70*$O$4=0,"",B70*I70*$O$4),IF(B70*I70*$O$4=0,"",INT(CEILING(B70*$O$4,J70))*I70)))</f>
        <v/>
      </c>
      <c r="M70" s="110" t="str">
        <f aca="false">IF(L70="","",G70)</f>
        <v/>
      </c>
      <c r="N70" s="111" t="str">
        <f aca="false">IF(L70="","",IF($L$6="mit",IF(B70*$O$4=0,"",B70*$O$4&amp;" "&amp;C70&amp;" "),IF(B70*$O$4=0,"",INT(CEILING(B70*$O$4,J70))&amp;" "&amp;C70&amp;" ")))</f>
        <v/>
      </c>
      <c r="O70" s="112" t="str">
        <f aca="false">IF(L70="","",IF($O$4="","",D70&amp;" "&amp;E70))</f>
        <v/>
      </c>
    </row>
    <row r="71" customFormat="false" ht="15" hidden="false" customHeight="false" outlineLevel="0" collapsed="false">
      <c r="A71" s="116"/>
      <c r="B71" s="117"/>
      <c r="C71" s="118"/>
      <c r="D71" s="117"/>
      <c r="E71" s="117"/>
      <c r="F71" s="119"/>
      <c r="G71" s="120"/>
      <c r="H71" s="121"/>
      <c r="I71" s="117"/>
      <c r="J71" s="9"/>
      <c r="K71" s="122"/>
      <c r="L71" s="109" t="str">
        <f aca="false">IF(I71="","",IF($L$6="mit",IF(B71*I71*$O$4=0,"",B71*I71*$O$4),IF(B71*I71*$O$4=0,"",INT(CEILING(B71*$O$4,J71))*I71)))</f>
        <v/>
      </c>
      <c r="M71" s="110" t="str">
        <f aca="false">IF(L71="","",G71)</f>
        <v/>
      </c>
      <c r="N71" s="111" t="str">
        <f aca="false">IF(L71="","",IF($L$6="mit",IF(B71*$O$4=0,"",B71*$O$4&amp;" "&amp;C71&amp;" "),IF(B71*$O$4=0,"",INT(CEILING(B71*$O$4,J71))&amp;" "&amp;C71&amp;" ")))</f>
        <v/>
      </c>
      <c r="O71" s="112" t="str">
        <f aca="false">IF(L71="","",IF($O$4="","",D71&amp;" "&amp;E71))</f>
        <v/>
      </c>
    </row>
    <row r="72" customFormat="false" ht="15" hidden="false" customHeight="false" outlineLevel="0" collapsed="false">
      <c r="A72" s="116"/>
      <c r="B72" s="117"/>
      <c r="C72" s="118"/>
      <c r="D72" s="117"/>
      <c r="E72" s="117"/>
      <c r="F72" s="119"/>
      <c r="G72" s="120"/>
      <c r="H72" s="121"/>
      <c r="I72" s="117"/>
      <c r="J72" s="9"/>
      <c r="K72" s="122"/>
      <c r="L72" s="109" t="str">
        <f aca="false">IF(I72="","",IF($L$6="mit",IF(B72*I72*$O$4=0,"",B72*I72*$O$4),IF(B72*I72*$O$4=0,"",INT(CEILING(B72*$O$4,J72))*I72)))</f>
        <v/>
      </c>
      <c r="M72" s="110" t="str">
        <f aca="false">IF(L72="","",G72)</f>
        <v/>
      </c>
      <c r="N72" s="111" t="str">
        <f aca="false">IF(L72="","",IF($L$6="mit",IF(B72*$O$4=0,"",B72*$O$4&amp;" "&amp;C72&amp;" "),IF(B72*$O$4=0,"",INT(CEILING(B72*$O$4,J72))&amp;" "&amp;C72&amp;" ")))</f>
        <v/>
      </c>
      <c r="O72" s="112" t="str">
        <f aca="false">IF(L72="","",IF($O$4="","",D72&amp;" "&amp;E72))</f>
        <v/>
      </c>
    </row>
    <row r="73" customFormat="false" ht="15" hidden="false" customHeight="false" outlineLevel="0" collapsed="false">
      <c r="A73" s="116"/>
      <c r="B73" s="117"/>
      <c r="C73" s="118"/>
      <c r="D73" s="117"/>
      <c r="E73" s="117"/>
      <c r="F73" s="119"/>
      <c r="G73" s="120"/>
      <c r="H73" s="121"/>
      <c r="I73" s="117"/>
      <c r="J73" s="9"/>
      <c r="K73" s="122"/>
      <c r="L73" s="109" t="str">
        <f aca="false">IF(I73="","",IF($L$6="mit",IF(B73*I73*$O$4=0,"",B73*I73*$O$4),IF(B73*I73*$O$4=0,"",INT(CEILING(B73*$O$4,J73))*I73)))</f>
        <v/>
      </c>
      <c r="M73" s="110" t="str">
        <f aca="false">IF(L73="","",G73)</f>
        <v/>
      </c>
      <c r="N73" s="111" t="str">
        <f aca="false">IF(L73="","",IF($L$6="mit",IF(B73*$O$4=0,"",B73*$O$4&amp;" "&amp;C73&amp;" "),IF(B73*$O$4=0,"",INT(CEILING(B73*$O$4,J73))&amp;" "&amp;C73&amp;" ")))</f>
        <v/>
      </c>
      <c r="O73" s="112" t="str">
        <f aca="false">IF(L73="","",IF($O$4="","",D73&amp;" "&amp;E73))</f>
        <v/>
      </c>
    </row>
    <row r="74" customFormat="false" ht="15" hidden="false" customHeight="false" outlineLevel="0" collapsed="false">
      <c r="A74" s="116"/>
      <c r="B74" s="117"/>
      <c r="C74" s="118"/>
      <c r="D74" s="117"/>
      <c r="E74" s="117"/>
      <c r="F74" s="119"/>
      <c r="G74" s="120"/>
      <c r="H74" s="121"/>
      <c r="I74" s="117"/>
      <c r="J74" s="9"/>
      <c r="K74" s="122"/>
      <c r="L74" s="109" t="str">
        <f aca="false">IF(I74="","",IF($L$6="mit",IF(B74*I74*$O$4=0,"",B74*I74*$O$4),IF(B74*I74*$O$4=0,"",INT(CEILING(B74*$O$4,J74))*I74)))</f>
        <v/>
      </c>
      <c r="M74" s="110" t="str">
        <f aca="false">IF(L74="","",G74)</f>
        <v/>
      </c>
      <c r="N74" s="111" t="str">
        <f aca="false">IF(L74="","",IF($L$6="mit",IF(B74*$O$4=0,"",B74*$O$4&amp;" "&amp;C74&amp;" "),IF(B74*$O$4=0,"",INT(CEILING(B74*$O$4,J74))&amp;" "&amp;C74&amp;" ")))</f>
        <v/>
      </c>
      <c r="O74" s="112" t="str">
        <f aca="false">IF(L74="","",IF($O$4="","",D74&amp;" "&amp;E74))</f>
        <v/>
      </c>
    </row>
    <row r="75" customFormat="false" ht="15" hidden="false" customHeight="false" outlineLevel="0" collapsed="false">
      <c r="A75" s="116"/>
      <c r="B75" s="117"/>
      <c r="C75" s="118"/>
      <c r="D75" s="117"/>
      <c r="E75" s="117"/>
      <c r="F75" s="119"/>
      <c r="G75" s="120"/>
      <c r="H75" s="121"/>
      <c r="I75" s="117"/>
      <c r="J75" s="9"/>
      <c r="K75" s="122"/>
      <c r="L75" s="109" t="str">
        <f aca="false">IF(I75="","",IF($L$6="mit",IF(B75*I75*$O$4=0,"",B75*I75*$O$4),IF(B75*I75*$O$4=0,"",INT(CEILING(B75*$O$4,J75))*I75)))</f>
        <v/>
      </c>
      <c r="M75" s="110" t="str">
        <f aca="false">IF(L75="","",G75)</f>
        <v/>
      </c>
      <c r="N75" s="111" t="str">
        <f aca="false">IF(L75="","",IF($L$6="mit",IF(B75*$O$4=0,"",B75*$O$4&amp;" "&amp;C75&amp;" "),IF(B75*$O$4=0,"",INT(CEILING(B75*$O$4,J75))&amp;" "&amp;C75&amp;" ")))</f>
        <v/>
      </c>
      <c r="O75" s="112" t="str">
        <f aca="false">IF(L75="","",IF($O$4="","",D75&amp;" "&amp;E75))</f>
        <v/>
      </c>
    </row>
    <row r="76" customFormat="false" ht="15" hidden="false" customHeight="false" outlineLevel="0" collapsed="false">
      <c r="A76" s="116"/>
      <c r="B76" s="117"/>
      <c r="C76" s="118"/>
      <c r="D76" s="117"/>
      <c r="E76" s="117"/>
      <c r="F76" s="119"/>
      <c r="G76" s="120"/>
      <c r="H76" s="121"/>
      <c r="I76" s="117"/>
      <c r="J76" s="9"/>
      <c r="K76" s="122"/>
      <c r="L76" s="109" t="str">
        <f aca="false">IF(I76="","",IF($L$6="mit",IF(B76*I76*$O$4=0,"",B76*I76*$O$4),IF(B76*I76*$O$4=0,"",INT(CEILING(B76*$O$4,J76))*I76)))</f>
        <v/>
      </c>
      <c r="M76" s="110" t="str">
        <f aca="false">IF(L76="","",G76)</f>
        <v/>
      </c>
      <c r="N76" s="111" t="str">
        <f aca="false">IF(L76="","",IF($L$6="mit",IF(B76*$O$4=0,"",B76*$O$4&amp;" "&amp;C76&amp;" "),IF(B76*$O$4=0,"",INT(CEILING(B76*$O$4,J76))&amp;" "&amp;C76&amp;" ")))</f>
        <v/>
      </c>
      <c r="O76" s="112" t="str">
        <f aca="false">IF(L76="","",IF($O$4="","",D76&amp;" "&amp;E76))</f>
        <v/>
      </c>
    </row>
    <row r="77" customFormat="false" ht="15" hidden="false" customHeight="false" outlineLevel="0" collapsed="false">
      <c r="A77" s="116"/>
      <c r="B77" s="117"/>
      <c r="C77" s="118"/>
      <c r="D77" s="117"/>
      <c r="E77" s="117"/>
      <c r="F77" s="119"/>
      <c r="G77" s="120"/>
      <c r="H77" s="121"/>
      <c r="I77" s="117"/>
      <c r="J77" s="9"/>
      <c r="K77" s="122"/>
      <c r="L77" s="109" t="str">
        <f aca="false">IF(I77="","",IF($L$6="mit",IF(B77*I77*$O$4=0,"",B77*I77*$O$4),IF(B77*I77*$O$4=0,"",INT(CEILING(B77*$O$4,J77))*I77)))</f>
        <v/>
      </c>
      <c r="M77" s="110" t="str">
        <f aca="false">IF(L77="","",G77)</f>
        <v/>
      </c>
      <c r="N77" s="111" t="str">
        <f aca="false">IF(L77="","",IF($L$6="mit",IF(B77*$O$4=0,"",B77*$O$4&amp;" "&amp;C77&amp;" "),IF(B77*$O$4=0,"",INT(CEILING(B77*$O$4,J77))&amp;" "&amp;C77&amp;" ")))</f>
        <v/>
      </c>
      <c r="O77" s="112" t="str">
        <f aca="false">IF(L77="","",IF($O$4="","",D77&amp;" "&amp;E77))</f>
        <v/>
      </c>
    </row>
    <row r="78" customFormat="false" ht="15" hidden="false" customHeight="false" outlineLevel="0" collapsed="false">
      <c r="A78" s="116"/>
      <c r="B78" s="117"/>
      <c r="C78" s="118"/>
      <c r="D78" s="117"/>
      <c r="E78" s="117"/>
      <c r="F78" s="119"/>
      <c r="G78" s="120"/>
      <c r="H78" s="121"/>
      <c r="I78" s="117"/>
      <c r="J78" s="9"/>
      <c r="K78" s="122"/>
      <c r="L78" s="109" t="str">
        <f aca="false">IF(I78="","",IF($L$6="mit",IF(B78*I78*$O$4=0,"",B78*I78*$O$4),IF(B78*I78*$O$4=0,"",INT(CEILING(B78*$O$4,J78))*I78)))</f>
        <v/>
      </c>
      <c r="M78" s="110" t="str">
        <f aca="false">IF(L78="","",G78)</f>
        <v/>
      </c>
      <c r="N78" s="111" t="str">
        <f aca="false">IF(L78="","",IF($L$6="mit",IF(B78*$O$4=0,"",B78*$O$4&amp;" "&amp;C78&amp;" "),IF(B78*$O$4=0,"",INT(CEILING(B78*$O$4,J78))&amp;" "&amp;C78&amp;" ")))</f>
        <v/>
      </c>
      <c r="O78" s="112" t="str">
        <f aca="false">IF(L78="","",IF($O$4="","",D78&amp;" "&amp;E78))</f>
        <v/>
      </c>
    </row>
    <row r="79" customFormat="false" ht="15" hidden="false" customHeight="false" outlineLevel="0" collapsed="false">
      <c r="A79" s="116"/>
      <c r="B79" s="117"/>
      <c r="C79" s="118"/>
      <c r="D79" s="117"/>
      <c r="E79" s="117"/>
      <c r="F79" s="119"/>
      <c r="G79" s="120"/>
      <c r="H79" s="121"/>
      <c r="I79" s="117"/>
      <c r="J79" s="9"/>
      <c r="K79" s="122"/>
      <c r="L79" s="109" t="str">
        <f aca="false">IF(I79="","",IF($L$6="mit",IF(B79*I79*$O$4=0,"",B79*I79*$O$4),IF(B79*I79*$O$4=0,"",INT(CEILING(B79*$O$4,J79))*I79)))</f>
        <v/>
      </c>
      <c r="M79" s="110" t="str">
        <f aca="false">IF(L79="","",G79)</f>
        <v/>
      </c>
      <c r="N79" s="111" t="str">
        <f aca="false">IF(L79="","",IF($L$6="mit",IF(B79*$O$4=0,"",B79*$O$4&amp;" "&amp;C79&amp;" "),IF(B79*$O$4=0,"",INT(CEILING(B79*$O$4,J79))&amp;" "&amp;C79&amp;" ")))</f>
        <v/>
      </c>
      <c r="O79" s="112" t="str">
        <f aca="false">IF(L79="","",IF($O$4="","",D79&amp;" "&amp;E79))</f>
        <v/>
      </c>
    </row>
    <row r="80" customFormat="false" ht="15" hidden="false" customHeight="false" outlineLevel="0" collapsed="false">
      <c r="A80" s="116"/>
      <c r="B80" s="117"/>
      <c r="C80" s="118"/>
      <c r="D80" s="117"/>
      <c r="E80" s="117"/>
      <c r="F80" s="119"/>
      <c r="G80" s="120"/>
      <c r="H80" s="121"/>
      <c r="I80" s="117"/>
      <c r="J80" s="9"/>
      <c r="K80" s="122"/>
      <c r="L80" s="109" t="str">
        <f aca="false">IF(I80="","",IF($L$6="mit",IF(B80*I80*$O$4=0,"",B80*I80*$O$4),IF(B80*I80*$O$4=0,"",INT(CEILING(B80*$O$4,J80))*I80)))</f>
        <v/>
      </c>
      <c r="M80" s="110" t="str">
        <f aca="false">IF(L80="","",G80)</f>
        <v/>
      </c>
      <c r="N80" s="111" t="str">
        <f aca="false">IF(L80="","",IF($L$6="mit",IF(B80*$O$4=0,"",B80*$O$4&amp;" "&amp;C80&amp;" "),IF(B80*$O$4=0,"",INT(CEILING(B80*$O$4,J80))&amp;" "&amp;C80&amp;" ")))</f>
        <v/>
      </c>
      <c r="O80" s="112" t="str">
        <f aca="false">IF(L80="","",IF($O$4="","",D80&amp;" "&amp;E80))</f>
        <v/>
      </c>
    </row>
    <row r="81" customFormat="false" ht="15" hidden="false" customHeight="true" outlineLevel="0" collapsed="false">
      <c r="A81" s="116"/>
      <c r="B81" s="117"/>
      <c r="C81" s="118"/>
      <c r="D81" s="117"/>
      <c r="E81" s="117"/>
      <c r="F81" s="119"/>
      <c r="G81" s="120"/>
      <c r="H81" s="121"/>
      <c r="I81" s="117"/>
      <c r="J81" s="9"/>
      <c r="K81" s="122"/>
      <c r="L81" s="109" t="str">
        <f aca="false">IF(I81="","",IF($L$6="mit",IF(B81*I81*$O$4=0,"",B81*I81*$O$4),IF(B81*I81*$O$4=0,"",INT(CEILING(B81*$O$4,J81))*I81)))</f>
        <v/>
      </c>
      <c r="M81" s="110" t="str">
        <f aca="false">IF(L81="","",G81)</f>
        <v/>
      </c>
      <c r="N81" s="111" t="str">
        <f aca="false">IF(L81="","",IF($L$6="mit",IF(B81*$O$4=0,"",B81*$O$4&amp;" "&amp;C81&amp;" "),IF(B81*$O$4=0,"",INT(CEILING(B81*$O$4,J81))&amp;" "&amp;C81&amp;" ")))</f>
        <v/>
      </c>
      <c r="O81" s="112" t="str">
        <f aca="false">IF(L81="","",IF($O$4="","",D81&amp;" "&amp;E81))</f>
        <v/>
      </c>
    </row>
    <row r="82" customFormat="false" ht="15" hidden="false" customHeight="false" outlineLevel="0" collapsed="false">
      <c r="A82" s="116"/>
      <c r="B82" s="117"/>
      <c r="C82" s="118"/>
      <c r="D82" s="117"/>
      <c r="E82" s="117"/>
      <c r="F82" s="119"/>
      <c r="G82" s="120"/>
      <c r="H82" s="121"/>
      <c r="I82" s="117"/>
      <c r="J82" s="9"/>
      <c r="K82" s="122"/>
      <c r="L82" s="109" t="str">
        <f aca="false">IF(I82="","",IF($L$6="mit",IF(B82*I82*$O$4=0,"",B82*I82*$O$4),IF(B82*I82*$O$4=0,"",INT(CEILING(B82*$O$4,J82))*I82)))</f>
        <v/>
      </c>
      <c r="M82" s="110" t="str">
        <f aca="false">IF(L82="","",G82)</f>
        <v/>
      </c>
      <c r="N82" s="111" t="str">
        <f aca="false">IF(L82="","",IF($L$6="mit",IF(B82*$O$4=0,"",B82*$O$4&amp;" "&amp;C82&amp;" "),IF(B82*$O$4=0,"",INT(CEILING(B82*$O$4,J82))&amp;" "&amp;C82&amp;" ")))</f>
        <v/>
      </c>
      <c r="O82" s="112" t="str">
        <f aca="false">IF(L82="","",IF($O$4="","",D82&amp;" "&amp;E82))</f>
        <v/>
      </c>
    </row>
    <row r="83" customFormat="false" ht="15" hidden="false" customHeight="false" outlineLevel="0" collapsed="false">
      <c r="A83" s="116"/>
      <c r="B83" s="117"/>
      <c r="C83" s="118"/>
      <c r="D83" s="117"/>
      <c r="E83" s="117"/>
      <c r="F83" s="119"/>
      <c r="G83" s="120"/>
      <c r="H83" s="121"/>
      <c r="I83" s="117"/>
      <c r="J83" s="9"/>
      <c r="K83" s="122"/>
      <c r="L83" s="109" t="str">
        <f aca="false">IF(I83="","",IF($L$6="mit",IF(B83*I83*$O$4=0,"",B83*I83*$O$4),IF(B83*I83*$O$4=0,"",INT(CEILING(B83*$O$4,J83))*I83)))</f>
        <v/>
      </c>
      <c r="M83" s="110" t="str">
        <f aca="false">IF(L83="","",G83)</f>
        <v/>
      </c>
      <c r="N83" s="111" t="str">
        <f aca="false">IF(L83="","",IF($L$6="mit",IF(B83*$O$4=0,"",B83*$O$4&amp;" "&amp;C83&amp;" "),IF(B83*$O$4=0,"",INT(CEILING(B83*$O$4,J83))&amp;" "&amp;C83&amp;" ")))</f>
        <v/>
      </c>
      <c r="O83" s="112" t="str">
        <f aca="false">IF(L83="","",IF($O$4="","",D83&amp;" "&amp;E83))</f>
        <v/>
      </c>
    </row>
    <row r="84" customFormat="false" ht="15" hidden="false" customHeight="false" outlineLevel="0" collapsed="false">
      <c r="A84" s="116"/>
      <c r="B84" s="117"/>
      <c r="C84" s="118"/>
      <c r="D84" s="117"/>
      <c r="E84" s="117"/>
      <c r="F84" s="119"/>
      <c r="G84" s="120"/>
      <c r="H84" s="121"/>
      <c r="I84" s="117"/>
      <c r="J84" s="9"/>
      <c r="K84" s="122"/>
      <c r="L84" s="109" t="str">
        <f aca="false">IF(I84="","",IF($L$6="mit",IF(B84*I84*$O$4=0,"",B84*I84*$O$4),IF(B84*I84*$O$4=0,"",INT(CEILING(B84*$O$4,J84))*I84)))</f>
        <v/>
      </c>
      <c r="M84" s="110" t="str">
        <f aca="false">IF(L84="","",G84)</f>
        <v/>
      </c>
      <c r="N84" s="111" t="str">
        <f aca="false">IF(L84="","",IF($L$6="mit",IF(B84*$O$4=0,"",B84*$O$4&amp;" "&amp;C84&amp;" "),IF(B84*$O$4=0,"",INT(CEILING(B84*$O$4,J84))&amp;" "&amp;C84&amp;" ")))</f>
        <v/>
      </c>
      <c r="O84" s="112" t="str">
        <f aca="false">IF(L84="","",IF($O$4="","",D84&amp;" "&amp;E84))</f>
        <v/>
      </c>
    </row>
    <row r="85" customFormat="false" ht="15" hidden="false" customHeight="false" outlineLevel="0" collapsed="false">
      <c r="A85" s="116"/>
      <c r="B85" s="117"/>
      <c r="C85" s="118"/>
      <c r="D85" s="117"/>
      <c r="E85" s="117"/>
      <c r="F85" s="119"/>
      <c r="G85" s="120"/>
      <c r="H85" s="121"/>
      <c r="I85" s="117"/>
      <c r="J85" s="9"/>
      <c r="K85" s="122"/>
      <c r="L85" s="109" t="str">
        <f aca="false">IF(I85="","",IF($L$6="mit",IF(B85*I85*$O$4=0,"",B85*I85*$O$4),IF(B85*I85*$O$4=0,"",INT(CEILING(B85*$O$4,J85))*I85)))</f>
        <v/>
      </c>
      <c r="M85" s="110" t="str">
        <f aca="false">IF(L85="","",G85)</f>
        <v/>
      </c>
      <c r="N85" s="111" t="str">
        <f aca="false">IF(L85="","",IF($L$6="mit",IF(B85*$O$4=0,"",B85*$O$4&amp;" "&amp;C85&amp;" "),IF(B85*$O$4=0,"",INT(CEILING(B85*$O$4,J85))&amp;" "&amp;C85&amp;" ")))</f>
        <v/>
      </c>
      <c r="O85" s="112" t="str">
        <f aca="false">IF(L85="","",IF($O$4="","",D85&amp;" "&amp;E85))</f>
        <v/>
      </c>
    </row>
    <row r="86" customFormat="false" ht="15" hidden="false" customHeight="false" outlineLevel="0" collapsed="false">
      <c r="A86" s="116"/>
      <c r="B86" s="117"/>
      <c r="C86" s="118"/>
      <c r="D86" s="117"/>
      <c r="E86" s="117"/>
      <c r="F86" s="119"/>
      <c r="G86" s="120"/>
      <c r="H86" s="121"/>
      <c r="I86" s="117"/>
      <c r="J86" s="9"/>
      <c r="K86" s="122"/>
      <c r="L86" s="109" t="str">
        <f aca="false">IF(I86="","",IF($L$6="mit",IF(B86*I86*$O$4=0,"",B86*I86*$O$4),IF(B86*I86*$O$4=0,"",INT(CEILING(B86*$O$4,J86))*I86)))</f>
        <v/>
      </c>
      <c r="M86" s="110" t="str">
        <f aca="false">IF(L86="","",G86)</f>
        <v/>
      </c>
      <c r="N86" s="111" t="str">
        <f aca="false">IF(L86="","",IF($L$6="mit",IF(B86*$O$4=0,"",B86*$O$4&amp;" "&amp;C86&amp;" "),IF(B86*$O$4=0,"",INT(CEILING(B86*$O$4,J86))&amp;" "&amp;C86&amp;" ")))</f>
        <v/>
      </c>
      <c r="O86" s="112" t="str">
        <f aca="false">IF(L86="","",IF($O$4="","",D86&amp;" "&amp;E86))</f>
        <v/>
      </c>
    </row>
    <row r="87" customFormat="false" ht="15" hidden="false" customHeight="false" outlineLevel="0" collapsed="false">
      <c r="A87" s="116"/>
      <c r="B87" s="117"/>
      <c r="C87" s="118"/>
      <c r="D87" s="117"/>
      <c r="E87" s="117"/>
      <c r="F87" s="119"/>
      <c r="G87" s="120"/>
      <c r="H87" s="121"/>
      <c r="I87" s="117"/>
      <c r="J87" s="9"/>
      <c r="K87" s="122"/>
      <c r="L87" s="109" t="str">
        <f aca="false">IF(I87="","",IF($L$6="mit",IF(B87*I87*$O$4=0,"",B87*I87*$O$4),IF(B87*I87*$O$4=0,"",INT(CEILING(B87*$O$4,J87))*I87)))</f>
        <v/>
      </c>
      <c r="M87" s="110" t="str">
        <f aca="false">IF(L87="","",G87)</f>
        <v/>
      </c>
      <c r="N87" s="111" t="str">
        <f aca="false">IF(L87="","",IF($L$6="mit",IF(B87*$O$4=0,"",B87*$O$4&amp;" "&amp;C87&amp;" "),IF(B87*$O$4=0,"",INT(CEILING(B87*$O$4,J87))&amp;" "&amp;C87&amp;" ")))</f>
        <v/>
      </c>
      <c r="O87" s="112" t="str">
        <f aca="false">IF(L87="","",IF($O$4="","",D87&amp;" "&amp;E87))</f>
        <v/>
      </c>
    </row>
    <row r="88" customFormat="false" ht="15" hidden="false" customHeight="false" outlineLevel="0" collapsed="false">
      <c r="A88" s="116"/>
      <c r="B88" s="117"/>
      <c r="C88" s="118"/>
      <c r="D88" s="117"/>
      <c r="E88" s="117"/>
      <c r="F88" s="119"/>
      <c r="G88" s="120"/>
      <c r="H88" s="121"/>
      <c r="I88" s="117"/>
      <c r="J88" s="9"/>
      <c r="K88" s="122"/>
      <c r="L88" s="109" t="str">
        <f aca="false">IF(I88="","",IF($L$6="mit",IF(B88*I88*$O$4=0,"",B88*I88*$O$4),IF(B88*I88*$O$4=0,"",INT(CEILING(B88*$O$4,J88))*I88)))</f>
        <v/>
      </c>
      <c r="M88" s="110" t="str">
        <f aca="false">IF(L88="","",G88)</f>
        <v/>
      </c>
      <c r="N88" s="111" t="str">
        <f aca="false">IF(L88="","",IF($L$6="mit",IF(B88*$O$4=0,"",B88*$O$4&amp;" "&amp;C88&amp;" "),IF(B88*$O$4=0,"",INT(CEILING(B88*$O$4,J88))&amp;" "&amp;C88&amp;" ")))</f>
        <v/>
      </c>
      <c r="O88" s="112" t="str">
        <f aca="false">IF(L88="","",IF($O$4="","",D88&amp;" "&amp;E88))</f>
        <v/>
      </c>
    </row>
    <row r="89" customFormat="false" ht="15" hidden="false" customHeight="false" outlineLevel="0" collapsed="false">
      <c r="A89" s="116"/>
      <c r="B89" s="117"/>
      <c r="C89" s="118"/>
      <c r="D89" s="117"/>
      <c r="E89" s="117"/>
      <c r="F89" s="119"/>
      <c r="G89" s="120"/>
      <c r="H89" s="121"/>
      <c r="I89" s="117"/>
      <c r="J89" s="9"/>
      <c r="K89" s="122"/>
      <c r="L89" s="109" t="str">
        <f aca="false">IF(I89="","",IF($L$6="mit",IF(B89*I89*$O$4=0,"",B89*I89*$O$4),IF(B89*I89*$O$4=0,"",INT(CEILING(B89*$O$4,J89))*I89)))</f>
        <v/>
      </c>
      <c r="M89" s="110" t="str">
        <f aca="false">IF(L89="","",G89)</f>
        <v/>
      </c>
      <c r="N89" s="111" t="str">
        <f aca="false">IF(L89="","",IF($L$6="mit",IF(B89*$O$4=0,"",B89*$O$4&amp;" "&amp;C89&amp;" "),IF(B89*$O$4=0,"",INT(CEILING(B89*$O$4,J89))&amp;" "&amp;C89&amp;" ")))</f>
        <v/>
      </c>
      <c r="O89" s="112" t="str">
        <f aca="false">IF(L89="","",IF($O$4="","",D89&amp;" "&amp;E89))</f>
        <v/>
      </c>
    </row>
    <row r="90" customFormat="false" ht="15" hidden="false" customHeight="false" outlineLevel="0" collapsed="false">
      <c r="A90" s="116"/>
      <c r="B90" s="117"/>
      <c r="C90" s="118"/>
      <c r="D90" s="117"/>
      <c r="E90" s="117"/>
      <c r="F90" s="119"/>
      <c r="G90" s="120"/>
      <c r="H90" s="121"/>
      <c r="I90" s="117"/>
      <c r="J90" s="9"/>
      <c r="K90" s="122"/>
      <c r="L90" s="109" t="str">
        <f aca="false">IF(I90="","",IF($L$6="mit",IF(B90*I90*$O$4=0,"",B90*I90*$O$4),IF(B90*I90*$O$4=0,"",INT(CEILING(B90*$O$4,J90))*I90)))</f>
        <v/>
      </c>
      <c r="M90" s="110" t="str">
        <f aca="false">IF(L90="","",G90)</f>
        <v/>
      </c>
      <c r="N90" s="111" t="str">
        <f aca="false">IF(L90="","",IF($L$6="mit",IF(B90*$O$4=0,"",B90*$O$4&amp;" "&amp;C90&amp;" "),IF(B90*$O$4=0,"",INT(CEILING(B90*$O$4,J90))&amp;" "&amp;C90&amp;" ")))</f>
        <v/>
      </c>
      <c r="O90" s="112" t="str">
        <f aca="false">IF(L90="","",IF($O$4="","",D90&amp;" "&amp;E90))</f>
        <v/>
      </c>
    </row>
    <row r="91" customFormat="false" ht="15" hidden="false" customHeight="false" outlineLevel="0" collapsed="false">
      <c r="A91" s="116"/>
      <c r="B91" s="117"/>
      <c r="C91" s="118"/>
      <c r="D91" s="117"/>
      <c r="E91" s="117"/>
      <c r="F91" s="119"/>
      <c r="G91" s="120"/>
      <c r="H91" s="121"/>
      <c r="I91" s="117"/>
      <c r="J91" s="9"/>
      <c r="K91" s="122"/>
      <c r="L91" s="109" t="str">
        <f aca="false">IF(I91="","",IF($L$6="mit",IF(B91*I91*$O$4=0,"",B91*I91*$O$4),IF(B91*I91*$O$4=0,"",INT(CEILING(B91*$O$4,J91))*I91)))</f>
        <v/>
      </c>
      <c r="M91" s="110" t="str">
        <f aca="false">IF(L91="","",G91)</f>
        <v/>
      </c>
      <c r="N91" s="111" t="str">
        <f aca="false">IF(L91="","",IF($L$6="mit",IF(B91*$O$4=0,"",B91*$O$4&amp;" "&amp;C91&amp;" "),IF(B91*$O$4=0,"",INT(CEILING(B91*$O$4,J91))&amp;" "&amp;C91&amp;" ")))</f>
        <v/>
      </c>
      <c r="O91" s="112" t="str">
        <f aca="false">IF(L91="","",IF($O$4="","",D91&amp;" "&amp;E91))</f>
        <v/>
      </c>
    </row>
    <row r="92" customFormat="false" ht="15" hidden="false" customHeight="false" outlineLevel="0" collapsed="false">
      <c r="A92" s="116"/>
      <c r="B92" s="117"/>
      <c r="C92" s="118"/>
      <c r="D92" s="117"/>
      <c r="E92" s="117"/>
      <c r="F92" s="119"/>
      <c r="G92" s="120"/>
      <c r="H92" s="121"/>
      <c r="I92" s="117"/>
      <c r="J92" s="9"/>
      <c r="K92" s="122"/>
      <c r="L92" s="109" t="str">
        <f aca="false">IF(I92="","",IF($L$6="mit",IF(B92*I92*$O$4=0,"",B92*I92*$O$4),IF(B92*I92*$O$4=0,"",INT(CEILING(B92*$O$4,J92))*I92)))</f>
        <v/>
      </c>
      <c r="M92" s="110" t="str">
        <f aca="false">IF(L92="","",G92)</f>
        <v/>
      </c>
      <c r="N92" s="111" t="str">
        <f aca="false">IF(L92="","",IF($L$6="mit",IF(B92*$O$4=0,"",B92*$O$4&amp;" "&amp;C92&amp;" "),IF(B92*$O$4=0,"",INT(CEILING(B92*$O$4,J92))&amp;" "&amp;C92&amp;" ")))</f>
        <v/>
      </c>
      <c r="O92" s="112" t="str">
        <f aca="false">IF(L92="","",IF($O$4="","",D92&amp;" "&amp;E92))</f>
        <v/>
      </c>
    </row>
    <row r="93" customFormat="false" ht="15" hidden="false" customHeight="false" outlineLevel="0" collapsed="false">
      <c r="A93" s="116"/>
      <c r="B93" s="117"/>
      <c r="C93" s="118"/>
      <c r="D93" s="117"/>
      <c r="E93" s="117"/>
      <c r="F93" s="119"/>
      <c r="G93" s="120"/>
      <c r="H93" s="121"/>
      <c r="I93" s="117"/>
      <c r="J93" s="9"/>
      <c r="K93" s="122"/>
      <c r="L93" s="109" t="str">
        <f aca="false">IF(I93="","",IF($L$6="mit",IF(B93*I93*$O$4=0,"",B93*I93*$O$4),IF(B93*I93*$O$4=0,"",INT(CEILING(B93*$O$4,J93))*I93)))</f>
        <v/>
      </c>
      <c r="M93" s="110" t="str">
        <f aca="false">IF(L93="","",G93)</f>
        <v/>
      </c>
      <c r="N93" s="111" t="str">
        <f aca="false">IF(L93="","",IF($L$6="mit",IF(B93*$O$4=0,"",B93*$O$4&amp;" "&amp;C93&amp;" "),IF(B93*$O$4=0,"",INT(CEILING(B93*$O$4,J93))&amp;" "&amp;C93&amp;" ")))</f>
        <v/>
      </c>
      <c r="O93" s="112" t="str">
        <f aca="false">IF(L93="","",IF($O$4="","",D93&amp;" "&amp;E93))</f>
        <v/>
      </c>
    </row>
    <row r="94" customFormat="false" ht="15" hidden="false" customHeight="false" outlineLevel="0" collapsed="false">
      <c r="A94" s="116"/>
      <c r="B94" s="117"/>
      <c r="C94" s="118"/>
      <c r="D94" s="117"/>
      <c r="E94" s="117"/>
      <c r="F94" s="119"/>
      <c r="G94" s="120"/>
      <c r="H94" s="121"/>
      <c r="I94" s="117"/>
      <c r="J94" s="9"/>
      <c r="K94" s="122"/>
      <c r="L94" s="109" t="str">
        <f aca="false">IF(I94="","",IF($L$6="mit",IF(B94*I94*$O$4=0,"",B94*I94*$O$4),IF(B94*I94*$O$4=0,"",INT(CEILING(B94*$O$4,J94))*I94)))</f>
        <v/>
      </c>
      <c r="M94" s="110" t="str">
        <f aca="false">IF(L94="","",G94)</f>
        <v/>
      </c>
      <c r="N94" s="111" t="str">
        <f aca="false">IF(L94="","",IF($L$6="mit",IF(B94*$O$4=0,"",B94*$O$4&amp;" "&amp;C94&amp;" "),IF(B94*$O$4=0,"",INT(CEILING(B94*$O$4,J94))&amp;" "&amp;C94&amp;" ")))</f>
        <v/>
      </c>
      <c r="O94" s="112" t="str">
        <f aca="false">IF(L94="","",IF($O$4="","",D94&amp;" "&amp;E94))</f>
        <v/>
      </c>
    </row>
    <row r="95" customFormat="false" ht="15" hidden="false" customHeight="false" outlineLevel="0" collapsed="false">
      <c r="A95" s="116"/>
      <c r="B95" s="117"/>
      <c r="C95" s="118"/>
      <c r="D95" s="117"/>
      <c r="E95" s="117"/>
      <c r="F95" s="119"/>
      <c r="G95" s="120"/>
      <c r="H95" s="121"/>
      <c r="I95" s="117"/>
      <c r="J95" s="9"/>
      <c r="K95" s="122"/>
      <c r="L95" s="109" t="str">
        <f aca="false">IF(I95="","",IF($L$6="mit",IF(B95*I95*$O$4=0,"",B95*I95*$O$4),IF(B95*I95*$O$4=0,"",INT(CEILING(B95*$O$4,J95))*I95)))</f>
        <v/>
      </c>
      <c r="M95" s="110" t="str">
        <f aca="false">IF(L95="","",G95)</f>
        <v/>
      </c>
      <c r="N95" s="111" t="str">
        <f aca="false">IF(L95="","",IF($L$6="mit",IF(B95*$O$4=0,"",B95*$O$4&amp;" "&amp;C95&amp;" "),IF(B95*$O$4=0,"",INT(CEILING(B95*$O$4,J95))&amp;" "&amp;C95&amp;" ")))</f>
        <v/>
      </c>
      <c r="O95" s="112" t="str">
        <f aca="false">IF(L95="","",IF($O$4="","",D95&amp;" "&amp;E95))</f>
        <v/>
      </c>
    </row>
    <row r="96" customFormat="false" ht="15" hidden="false" customHeight="false" outlineLevel="0" collapsed="false">
      <c r="A96" s="116"/>
      <c r="B96" s="117"/>
      <c r="C96" s="118"/>
      <c r="D96" s="117"/>
      <c r="E96" s="117"/>
      <c r="F96" s="119"/>
      <c r="G96" s="123"/>
      <c r="H96" s="121"/>
      <c r="I96" s="117"/>
      <c r="J96" s="9"/>
      <c r="K96" s="122"/>
      <c r="L96" s="109" t="str">
        <f aca="false">IF(I96="","",IF($L$6="mit",IF(B96*I96*$O$4=0,"",B96*I96*$O$4),IF(B96*I96*$O$4=0,"",INT(CEILING(B96*$O$4,J96))*I96)))</f>
        <v/>
      </c>
      <c r="M96" s="110" t="str">
        <f aca="false">IF(L96="","",G96)</f>
        <v/>
      </c>
      <c r="N96" s="111" t="str">
        <f aca="false">IF(L96="","",IF($L$6="mit",IF(B96*$O$4=0,"",B96*$O$4&amp;" "&amp;C96&amp;" "),IF(B96*$O$4=0,"",INT(CEILING(B96*$O$4,J96))&amp;" "&amp;C96&amp;" ")))</f>
        <v/>
      </c>
      <c r="O96" s="112" t="str">
        <f aca="false">IF(L96="","",IF($O$4="","",D96&amp;" "&amp;E96))</f>
        <v/>
      </c>
    </row>
    <row r="97" customFormat="false" ht="15" hidden="false" customHeight="false" outlineLevel="0" collapsed="false">
      <c r="A97" s="116"/>
      <c r="B97" s="117"/>
      <c r="C97" s="118"/>
      <c r="D97" s="117"/>
      <c r="E97" s="117"/>
      <c r="F97" s="119"/>
      <c r="G97" s="123"/>
      <c r="H97" s="121"/>
      <c r="I97" s="117"/>
      <c r="J97" s="9"/>
      <c r="K97" s="122"/>
      <c r="L97" s="109" t="str">
        <f aca="false">IF(I97="","",IF($L$6="mit",IF(B97*I97*$O$4=0,"",B97*I97*$O$4),IF(B97*I97*$O$4=0,"",INT(CEILING(B97*$O$4,J97))*I97)))</f>
        <v/>
      </c>
      <c r="M97" s="110" t="str">
        <f aca="false">IF(L97="","",G97)</f>
        <v/>
      </c>
      <c r="N97" s="111" t="str">
        <f aca="false">IF(L97="","",IF($L$6="mit",IF(B97*$O$4=0,"",B97*$O$4&amp;" "&amp;C97&amp;" "),IF(B97*$O$4=0,"",INT(CEILING(B97*$O$4,J97))&amp;" "&amp;C97&amp;" ")))</f>
        <v/>
      </c>
      <c r="O97" s="112" t="str">
        <f aca="false">IF(L97="","",IF($O$4="","",D97&amp;" "&amp;E97))</f>
        <v/>
      </c>
    </row>
    <row r="98" customFormat="false" ht="15" hidden="false" customHeight="false" outlineLevel="0" collapsed="false">
      <c r="A98" s="116"/>
      <c r="B98" s="124"/>
      <c r="C98" s="118"/>
      <c r="D98" s="124"/>
      <c r="E98" s="124"/>
      <c r="F98" s="125"/>
      <c r="G98" s="123"/>
      <c r="H98" s="126"/>
      <c r="I98" s="124"/>
      <c r="J98" s="127"/>
      <c r="K98" s="122"/>
      <c r="L98" s="109" t="str">
        <f aca="false">IF(I98="","",IF($L$6="mit",IF(B98*I98*$O$4=0,"",B98*I98*$O$4),IF(B98*I98*$O$4=0,"",INT(CEILING(B98*$O$4,J98))*I98)))</f>
        <v/>
      </c>
      <c r="M98" s="110" t="str">
        <f aca="false">IF(L98="","",G98)</f>
        <v/>
      </c>
      <c r="N98" s="111" t="str">
        <f aca="false">IF(L98="","",IF($L$6="mit",IF(B98*$O$4=0,"",B98*$O$4&amp;" "&amp;C98&amp;" "),IF(B98*$O$4=0,"",INT(CEILING(B98*$O$4,J98))&amp;" "&amp;C98&amp;" ")))</f>
        <v/>
      </c>
      <c r="O98" s="112" t="str">
        <f aca="false">IF(L98="","",IF($O$4="","",D98&amp;" "&amp;E98))</f>
        <v/>
      </c>
    </row>
    <row r="99" customFormat="false" ht="15" hidden="false" customHeight="false" outlineLevel="0" collapsed="false">
      <c r="A99" s="116"/>
      <c r="B99" s="118"/>
      <c r="C99" s="118"/>
      <c r="D99" s="118"/>
      <c r="E99" s="118"/>
      <c r="F99" s="128"/>
      <c r="G99" s="123"/>
      <c r="H99" s="129"/>
      <c r="I99" s="118"/>
      <c r="J99" s="130"/>
      <c r="K99" s="122"/>
      <c r="L99" s="109" t="str">
        <f aca="false">IF(I99="","",IF($L$6="mit",IF(B99*I99*$O$4=0,"",B99*I99*$O$4),IF(B99*I99*$O$4=0,"",INT(CEILING(B99*$O$4,J99))*I99)))</f>
        <v/>
      </c>
      <c r="M99" s="110" t="str">
        <f aca="false">IF(L99="","",G99)</f>
        <v/>
      </c>
      <c r="N99" s="111" t="str">
        <f aca="false">IF(L99="","",IF($L$6="mit",IF(B99*$O$4=0,"",B99*$O$4&amp;" "&amp;C99&amp;" "),IF(B99*$O$4=0,"",INT(CEILING(B99*$O$4,J99))&amp;" "&amp;C99&amp;" ")))</f>
        <v/>
      </c>
      <c r="O99" s="112" t="str">
        <f aca="false">IF(L99="","",IF($O$4="","",D99&amp;" "&amp;E99))</f>
        <v/>
      </c>
    </row>
    <row r="100" customFormat="false" ht="15" hidden="false" customHeight="false" outlineLevel="0" collapsed="false">
      <c r="A100" s="116"/>
      <c r="B100" s="118"/>
      <c r="C100" s="118"/>
      <c r="D100" s="118"/>
      <c r="E100" s="118"/>
      <c r="F100" s="128"/>
      <c r="G100" s="123"/>
      <c r="H100" s="129"/>
      <c r="I100" s="118"/>
      <c r="J100" s="130"/>
      <c r="K100" s="122"/>
      <c r="L100" s="109" t="str">
        <f aca="false">IF(I100="","",IF($L$6="mit",IF(B100*I100*$O$4=0,"",B100*I100*$O$4),IF(B100*I100*$O$4=0,"",INT(CEILING(B100*$O$4,J100))*I100)))</f>
        <v/>
      </c>
      <c r="M100" s="110" t="str">
        <f aca="false">IF(L100="","",G100)</f>
        <v/>
      </c>
      <c r="N100" s="111" t="str">
        <f aca="false">IF(L100="","",IF($L$6="mit",IF(B100*$O$4=0,"",B100*$O$4&amp;" "&amp;C100&amp;" "),IF(B100*$O$4=0,"",INT(CEILING(B100*$O$4,J100))&amp;" "&amp;C100&amp;" ")))</f>
        <v/>
      </c>
      <c r="O100" s="112" t="str">
        <f aca="false">IF(L100="","",IF($O$4="","",D100&amp;" "&amp;E100))</f>
        <v/>
      </c>
    </row>
    <row r="101" customFormat="false" ht="15" hidden="false" customHeight="false" outlineLevel="0" collapsed="false">
      <c r="A101" s="116"/>
      <c r="B101" s="118"/>
      <c r="C101" s="118"/>
      <c r="D101" s="118"/>
      <c r="E101" s="118"/>
      <c r="F101" s="128"/>
      <c r="G101" s="123"/>
      <c r="H101" s="129"/>
      <c r="I101" s="118"/>
      <c r="J101" s="130"/>
      <c r="K101" s="122"/>
      <c r="L101" s="109" t="str">
        <f aca="false">IF(I101="","",IF($L$6="mit",IF(B101*I101*$O$4=0,"",B101*I101*$O$4),IF(B101*I101*$O$4=0,"",INT(CEILING(B101*$O$4,J101))*I101)))</f>
        <v/>
      </c>
      <c r="M101" s="110" t="str">
        <f aca="false">IF(L101="","",G101)</f>
        <v/>
      </c>
      <c r="N101" s="111" t="str">
        <f aca="false">IF(L101="","",IF($L$6="mit",IF(B101*$O$4=0,"",B101*$O$4&amp;" "&amp;C101&amp;" "),IF(B101*$O$4=0,"",INT(CEILING(B101*$O$4,J101))&amp;" "&amp;C101&amp;" ")))</f>
        <v/>
      </c>
      <c r="O101" s="112" t="str">
        <f aca="false">IF(L101="","",IF($O$4="","",D101&amp;" "&amp;E101))</f>
        <v/>
      </c>
    </row>
    <row r="102" customFormat="false" ht="15" hidden="false" customHeight="false" outlineLevel="0" collapsed="false">
      <c r="A102" s="116"/>
      <c r="B102" s="118"/>
      <c r="C102" s="118"/>
      <c r="D102" s="118"/>
      <c r="E102" s="118"/>
      <c r="F102" s="128"/>
      <c r="G102" s="123"/>
      <c r="H102" s="129"/>
      <c r="I102" s="118"/>
      <c r="J102" s="130"/>
      <c r="K102" s="122"/>
      <c r="L102" s="109" t="str">
        <f aca="false">IF(I102="","",IF($L$6="mit",IF(B102*I102*$O$4=0,"",B102*I102*$O$4),IF(B102*I102*$O$4=0,"",INT(CEILING(B102*$O$4,J102))*I102)))</f>
        <v/>
      </c>
      <c r="M102" s="110" t="str">
        <f aca="false">IF(L102="","",G102)</f>
        <v/>
      </c>
      <c r="N102" s="111" t="str">
        <f aca="false">IF(L102="","",IF($L$6="mit",IF(B102*$O$4=0,"",B102*$O$4&amp;" "&amp;C102&amp;" "),IF(B102*$O$4=0,"",INT(CEILING(B102*$O$4,J102))&amp;" "&amp;C102&amp;" ")))</f>
        <v/>
      </c>
      <c r="O102" s="112" t="str">
        <f aca="false">IF(L102="","",IF($O$4="","",D102&amp;" "&amp;E102))</f>
        <v/>
      </c>
    </row>
    <row r="103" customFormat="false" ht="15" hidden="false" customHeight="false" outlineLevel="0" collapsed="false">
      <c r="A103" s="116"/>
      <c r="B103" s="118"/>
      <c r="C103" s="118"/>
      <c r="D103" s="118"/>
      <c r="E103" s="118"/>
      <c r="F103" s="128"/>
      <c r="G103" s="123"/>
      <c r="H103" s="129"/>
      <c r="I103" s="118"/>
      <c r="J103" s="130"/>
      <c r="K103" s="122"/>
      <c r="L103" s="109" t="str">
        <f aca="false">IF(I103="","",IF($L$6="mit",IF(B103*I103*$O$4=0,"",B103*I103*$O$4),IF(B103*I103*$O$4=0,"",INT(CEILING(B103*$O$4,J103))*I103)))</f>
        <v/>
      </c>
      <c r="M103" s="110" t="str">
        <f aca="false">IF(L103="","",G103)</f>
        <v/>
      </c>
      <c r="N103" s="111" t="str">
        <f aca="false">IF(L103="","",IF($L$6="mit",IF(B103*$O$4=0,"",B103*$O$4&amp;" "&amp;C103&amp;" "),IF(B103*$O$4=0,"",INT(CEILING(B103*$O$4,J103))&amp;" "&amp;C103&amp;" ")))</f>
        <v/>
      </c>
      <c r="O103" s="112" t="str">
        <f aca="false">IF(L103="","",IF($O$4="","",D103&amp;" "&amp;E103))</f>
        <v/>
      </c>
    </row>
    <row r="104" customFormat="false" ht="15" hidden="false" customHeight="false" outlineLevel="0" collapsed="false">
      <c r="A104" s="116"/>
      <c r="B104" s="118"/>
      <c r="C104" s="118"/>
      <c r="D104" s="118"/>
      <c r="E104" s="118"/>
      <c r="F104" s="128"/>
      <c r="G104" s="123"/>
      <c r="H104" s="129"/>
      <c r="I104" s="118"/>
      <c r="J104" s="130"/>
      <c r="K104" s="122"/>
      <c r="L104" s="109" t="str">
        <f aca="false">IF(I104="","",IF($L$6="mit",IF(B104*I104*$O$4=0,"",B104*I104*$O$4),IF(B104*I104*$O$4=0,"",INT(CEILING(B104*$O$4,J104))*I104)))</f>
        <v/>
      </c>
      <c r="M104" s="110" t="str">
        <f aca="false">IF(L104="","",G104)</f>
        <v/>
      </c>
      <c r="N104" s="111" t="str">
        <f aca="false">IF(L104="","",IF($L$6="mit",IF(B104*$O$4=0,"",B104*$O$4&amp;" "&amp;C104&amp;" "),IF(B104*$O$4=0,"",INT(CEILING(B104*$O$4,J104))&amp;" "&amp;C104&amp;" ")))</f>
        <v/>
      </c>
      <c r="O104" s="112" t="str">
        <f aca="false">IF(L104="","",IF($O$4="","",D104&amp;" "&amp;E104))</f>
        <v/>
      </c>
    </row>
    <row r="105" customFormat="false" ht="15" hidden="false" customHeight="false" outlineLevel="0" collapsed="false">
      <c r="A105" s="116"/>
      <c r="B105" s="118"/>
      <c r="C105" s="118"/>
      <c r="D105" s="118"/>
      <c r="E105" s="118"/>
      <c r="F105" s="128"/>
      <c r="G105" s="123"/>
      <c r="H105" s="129"/>
      <c r="I105" s="118"/>
      <c r="J105" s="130"/>
      <c r="K105" s="122"/>
      <c r="L105" s="109" t="str">
        <f aca="false">IF(I105="","",IF($L$6="mit",IF(B105*I105*$O$4=0,"",B105*I105*$O$4),IF(B105*I105*$O$4=0,"",INT(CEILING(B105*$O$4,J105))*I105)))</f>
        <v/>
      </c>
      <c r="M105" s="110" t="str">
        <f aca="false">IF(L105="","",G105)</f>
        <v/>
      </c>
      <c r="N105" s="111" t="str">
        <f aca="false">IF(L105="","",IF($L$6="mit",IF(B105*$O$4=0,"",B105*$O$4&amp;" "&amp;C105&amp;" "),IF(B105*$O$4=0,"",INT(CEILING(B105*$O$4,J105))&amp;" "&amp;C105&amp;" ")))</f>
        <v/>
      </c>
      <c r="O105" s="112" t="str">
        <f aca="false">IF(L105="","",IF($O$4="","",D105&amp;" "&amp;E105))</f>
        <v/>
      </c>
    </row>
    <row r="106" customFormat="false" ht="15" hidden="false" customHeight="false" outlineLevel="0" collapsed="false">
      <c r="A106" s="116"/>
      <c r="B106" s="118"/>
      <c r="C106" s="118"/>
      <c r="D106" s="118"/>
      <c r="E106" s="118"/>
      <c r="F106" s="128"/>
      <c r="G106" s="123"/>
      <c r="H106" s="129"/>
      <c r="I106" s="118"/>
      <c r="J106" s="130"/>
      <c r="K106" s="122"/>
      <c r="L106" s="109" t="str">
        <f aca="false">IF(I106="","",IF($L$6="mit",IF(B106*I106*$O$4=0,"",B106*I106*$O$4),IF(B106*I106*$O$4=0,"",INT(CEILING(B106*$O$4,J106))*I106)))</f>
        <v/>
      </c>
      <c r="M106" s="110" t="str">
        <f aca="false">IF(L106="","",G106)</f>
        <v/>
      </c>
      <c r="N106" s="111" t="str">
        <f aca="false">IF(L106="","",IF($L$6="mit",IF(B106*$O$4=0,"",B106*$O$4&amp;" "&amp;C106&amp;" "),IF(B106*$O$4=0,"",INT(CEILING(B106*$O$4,J106))&amp;" "&amp;C106&amp;" ")))</f>
        <v/>
      </c>
      <c r="O106" s="112" t="str">
        <f aca="false">IF(L106="","",IF($O$4="","",D106&amp;" "&amp;E106))</f>
        <v/>
      </c>
    </row>
    <row r="107" customFormat="false" ht="15" hidden="false" customHeight="false" outlineLevel="0" collapsed="false">
      <c r="A107" s="116"/>
      <c r="B107" s="118"/>
      <c r="C107" s="118"/>
      <c r="D107" s="118"/>
      <c r="E107" s="118"/>
      <c r="F107" s="128"/>
      <c r="G107" s="123"/>
      <c r="H107" s="129"/>
      <c r="I107" s="118"/>
      <c r="J107" s="130"/>
      <c r="K107" s="122"/>
      <c r="L107" s="109" t="str">
        <f aca="false">IF(I107="","",IF($L$6="mit",IF(B107*I107*$O$4=0,"",B107*I107*$O$4),IF(B107*I107*$O$4=0,"",INT(CEILING(B107*$O$4,J107))*I107)))</f>
        <v/>
      </c>
      <c r="M107" s="110" t="str">
        <f aca="false">IF(L107="","",G107)</f>
        <v/>
      </c>
      <c r="N107" s="111" t="str">
        <f aca="false">IF(L107="","",IF($L$6="mit",IF(B107*$O$4=0,"",B107*$O$4&amp;" "&amp;C107&amp;" "),IF(B107*$O$4=0,"",INT(CEILING(B107*$O$4,J107))&amp;" "&amp;C107&amp;" ")))</f>
        <v/>
      </c>
      <c r="O107" s="112" t="str">
        <f aca="false">IF(L107="","",IF($O$4="","",D107&amp;" "&amp;E107))</f>
        <v/>
      </c>
    </row>
    <row r="108" customFormat="false" ht="15" hidden="false" customHeight="false" outlineLevel="0" collapsed="false">
      <c r="A108" s="116"/>
      <c r="B108" s="118"/>
      <c r="C108" s="118"/>
      <c r="D108" s="118"/>
      <c r="E108" s="118"/>
      <c r="F108" s="128"/>
      <c r="G108" s="123"/>
      <c r="H108" s="129"/>
      <c r="I108" s="118"/>
      <c r="J108" s="130"/>
      <c r="K108" s="122"/>
      <c r="L108" s="109" t="str">
        <f aca="false">IF(I108="","",IF($L$6="mit",IF(B108*I108*$O$4=0,"",B108*I108*$O$4),IF(B108*I108*$O$4=0,"",INT(CEILING(B108*$O$4,J108))*I108)))</f>
        <v/>
      </c>
      <c r="M108" s="110" t="str">
        <f aca="false">IF(L108="","",G108)</f>
        <v/>
      </c>
      <c r="N108" s="111" t="str">
        <f aca="false">IF(L108="","",IF($L$6="mit",IF(B108*$O$4=0,"",B108*$O$4&amp;" "&amp;C108&amp;" "),IF(B108*$O$4=0,"",INT(CEILING(B108*$O$4,J108))&amp;" "&amp;C108&amp;" ")))</f>
        <v/>
      </c>
      <c r="O108" s="112" t="str">
        <f aca="false">IF(L108="","",IF($O$4="","",D108&amp;" "&amp;E108))</f>
        <v/>
      </c>
    </row>
    <row r="109" customFormat="false" ht="15" hidden="false" customHeight="false" outlineLevel="0" collapsed="false">
      <c r="A109" s="116"/>
      <c r="B109" s="118"/>
      <c r="C109" s="118"/>
      <c r="D109" s="118"/>
      <c r="E109" s="118"/>
      <c r="F109" s="128"/>
      <c r="G109" s="123"/>
      <c r="H109" s="129"/>
      <c r="I109" s="118"/>
      <c r="J109" s="130"/>
      <c r="K109" s="122"/>
      <c r="L109" s="109" t="str">
        <f aca="false">IF(I109="","",IF($L$6="mit",IF(B109*I109*$O$4=0,"",B109*I109*$O$4),IF(B109*I109*$O$4=0,"",INT(CEILING(B109*$O$4,J109))*I109)))</f>
        <v/>
      </c>
      <c r="M109" s="110" t="str">
        <f aca="false">IF(L109="","",G109)</f>
        <v/>
      </c>
      <c r="N109" s="111" t="str">
        <f aca="false">IF(L109="","",IF($L$6="mit",IF(B109*$O$4=0,"",B109*$O$4&amp;" "&amp;C109&amp;" "),IF(B109*$O$4=0,"",INT(CEILING(B109*$O$4,J109))&amp;" "&amp;C109&amp;" ")))</f>
        <v/>
      </c>
      <c r="O109" s="112" t="str">
        <f aca="false">IF(L109="","",IF($O$4="","",D109&amp;" "&amp;E109))</f>
        <v/>
      </c>
    </row>
    <row r="110" customFormat="false" ht="15" hidden="false" customHeight="false" outlineLevel="0" collapsed="false">
      <c r="A110" s="116"/>
      <c r="B110" s="118"/>
      <c r="C110" s="118"/>
      <c r="D110" s="118"/>
      <c r="E110" s="118"/>
      <c r="F110" s="128"/>
      <c r="G110" s="123"/>
      <c r="H110" s="129"/>
      <c r="I110" s="118"/>
      <c r="J110" s="130"/>
      <c r="K110" s="122"/>
      <c r="L110" s="109" t="str">
        <f aca="false">IF(I110="","",IF($L$6="mit",IF(B110*I110*$O$4=0,"",B110*I110*$O$4),IF(B110*I110*$O$4=0,"",INT(CEILING(B110*$O$4,J110))*I110)))</f>
        <v/>
      </c>
      <c r="M110" s="110" t="str">
        <f aca="false">IF(L110="","",G110)</f>
        <v/>
      </c>
      <c r="N110" s="111" t="str">
        <f aca="false">IF(L110="","",IF($L$6="mit",IF(B110*$O$4=0,"",B110*$O$4&amp;" "&amp;C110&amp;" "),IF(B110*$O$4=0,"",INT(CEILING(B110*$O$4,J110))&amp;" "&amp;C110&amp;" ")))</f>
        <v/>
      </c>
      <c r="O110" s="112" t="str">
        <f aca="false">IF(L110="","",IF($O$4="","",D110&amp;" "&amp;E110))</f>
        <v/>
      </c>
    </row>
    <row r="111" customFormat="false" ht="15" hidden="false" customHeight="false" outlineLevel="0" collapsed="false">
      <c r="A111" s="116"/>
      <c r="B111" s="118"/>
      <c r="C111" s="118"/>
      <c r="D111" s="118"/>
      <c r="E111" s="118"/>
      <c r="F111" s="128"/>
      <c r="G111" s="123"/>
      <c r="H111" s="129"/>
      <c r="I111" s="118"/>
      <c r="J111" s="130"/>
      <c r="K111" s="122"/>
      <c r="L111" s="109" t="str">
        <f aca="false">IF(I111="","",IF($L$6="mit",IF(B111*I111*$O$4=0,"",B111*I111*$O$4),IF(B111*I111*$O$4=0,"",INT(CEILING(B111*$O$4,J111))*I111)))</f>
        <v/>
      </c>
      <c r="M111" s="110" t="str">
        <f aca="false">IF(L111="","",G111)</f>
        <v/>
      </c>
      <c r="N111" s="111" t="str">
        <f aca="false">IF(L111="","",IF($L$6="mit",IF(B111*$O$4=0,"",B111*$O$4&amp;" "&amp;C111&amp;" "),IF(B111*$O$4=0,"",INT(CEILING(B111*$O$4,J111))&amp;" "&amp;C111&amp;" ")))</f>
        <v/>
      </c>
      <c r="O111" s="112" t="str">
        <f aca="false">IF(L111="","",IF($O$4="","",D111&amp;" "&amp;E111))</f>
        <v/>
      </c>
    </row>
    <row r="112" customFormat="false" ht="15" hidden="false" customHeight="false" outlineLevel="0" collapsed="false">
      <c r="A112" s="116"/>
      <c r="B112" s="118"/>
      <c r="C112" s="118"/>
      <c r="D112" s="118"/>
      <c r="E112" s="118"/>
      <c r="F112" s="128"/>
      <c r="G112" s="123"/>
      <c r="H112" s="129"/>
      <c r="I112" s="118"/>
      <c r="J112" s="130"/>
      <c r="K112" s="122"/>
      <c r="L112" s="109" t="str">
        <f aca="false">IF(I112="","",IF($L$6="mit",IF(B112*I112*$O$4=0,"",B112*I112*$O$4),IF(B112*I112*$O$4=0,"",INT(CEILING(B112*$O$4,J112))*I112)))</f>
        <v/>
      </c>
      <c r="M112" s="110" t="str">
        <f aca="false">IF(L112="","",G112)</f>
        <v/>
      </c>
      <c r="N112" s="111" t="str">
        <f aca="false">IF(L112="","",IF($L$6="mit",IF(B112*$O$4=0,"",B112*$O$4&amp;" "&amp;C112&amp;" "),IF(B112*$O$4=0,"",INT(CEILING(B112*$O$4,J112))&amp;" "&amp;C112&amp;" ")))</f>
        <v/>
      </c>
      <c r="O112" s="112" t="str">
        <f aca="false">IF(L112="","",IF($O$4="","",D112&amp;" "&amp;E112))</f>
        <v/>
      </c>
    </row>
    <row r="113" customFormat="false" ht="15" hidden="false" customHeight="false" outlineLevel="0" collapsed="false">
      <c r="A113" s="116"/>
      <c r="B113" s="118"/>
      <c r="C113" s="118"/>
      <c r="D113" s="118"/>
      <c r="E113" s="118"/>
      <c r="F113" s="128"/>
      <c r="G113" s="123"/>
      <c r="H113" s="129"/>
      <c r="I113" s="118"/>
      <c r="J113" s="130"/>
      <c r="K113" s="122"/>
      <c r="L113" s="109" t="str">
        <f aca="false">IF(I113="","",IF($L$6="mit",IF(B113*I113*$O$4=0,"",B113*I113*$O$4),IF(B113*I113*$O$4=0,"",INT(CEILING(B113*$O$4,J113))*I113)))</f>
        <v/>
      </c>
      <c r="M113" s="110" t="str">
        <f aca="false">IF(L113="","",G113)</f>
        <v/>
      </c>
      <c r="N113" s="111" t="str">
        <f aca="false">IF(L113="","",IF($L$6="mit",IF(B113*$O$4=0,"",B113*$O$4&amp;" "&amp;C113&amp;" "),IF(B113*$O$4=0,"",INT(CEILING(B113*$O$4,J113))&amp;" "&amp;C113&amp;" ")))</f>
        <v/>
      </c>
      <c r="O113" s="112" t="str">
        <f aca="false">IF(L113="","",IF($O$4="","",D113&amp;" "&amp;E113))</f>
        <v/>
      </c>
    </row>
    <row r="114" customFormat="false" ht="15" hidden="false" customHeight="false" outlineLevel="0" collapsed="false">
      <c r="A114" s="116"/>
      <c r="B114" s="118"/>
      <c r="C114" s="118"/>
      <c r="D114" s="118"/>
      <c r="E114" s="118"/>
      <c r="F114" s="128"/>
      <c r="G114" s="123"/>
      <c r="H114" s="129"/>
      <c r="I114" s="118"/>
      <c r="J114" s="130"/>
      <c r="K114" s="122"/>
      <c r="L114" s="109" t="str">
        <f aca="false">IF(I114="","",IF($L$6="mit",IF(B114*I114*$O$4=0,"",B114*I114*$O$4),IF(B114*I114*$O$4=0,"",INT(CEILING(B114*$O$4,J114))*I114)))</f>
        <v/>
      </c>
      <c r="M114" s="110" t="str">
        <f aca="false">IF(L114="","",G114)</f>
        <v/>
      </c>
      <c r="N114" s="111" t="str">
        <f aca="false">IF(L114="","",IF($L$6="mit",IF(B114*$O$4=0,"",B114*$O$4&amp;" "&amp;C114&amp;" "),IF(B114*$O$4=0,"",INT(CEILING(B114*$O$4,J114))&amp;" "&amp;C114&amp;" ")))</f>
        <v/>
      </c>
      <c r="O114" s="112" t="str">
        <f aca="false">IF(L114="","",IF($O$4="","",D114&amp;" "&amp;E114))</f>
        <v/>
      </c>
    </row>
    <row r="115" customFormat="false" ht="15" hidden="false" customHeight="false" outlineLevel="0" collapsed="false">
      <c r="A115" s="116"/>
      <c r="B115" s="118"/>
      <c r="C115" s="118"/>
      <c r="D115" s="118"/>
      <c r="E115" s="118"/>
      <c r="F115" s="128"/>
      <c r="G115" s="123"/>
      <c r="H115" s="129"/>
      <c r="I115" s="118"/>
      <c r="J115" s="130"/>
      <c r="K115" s="122"/>
      <c r="L115" s="109" t="str">
        <f aca="false">IF(I115="","",IF($L$6="mit",IF(B115*I115*$O$4=0,"",B115*I115*$O$4),IF(B115*I115*$O$4=0,"",INT(CEILING(B115*$O$4,J115))*I115)))</f>
        <v/>
      </c>
      <c r="M115" s="110" t="str">
        <f aca="false">IF(L115="","",G115)</f>
        <v/>
      </c>
      <c r="N115" s="111" t="str">
        <f aca="false">IF(L115="","",IF($L$6="mit",IF(B115*$O$4=0,"",B115*$O$4&amp;" "&amp;C115&amp;" "),IF(B115*$O$4=0,"",INT(CEILING(B115*$O$4,J115))&amp;" "&amp;C115&amp;" ")))</f>
        <v/>
      </c>
      <c r="O115" s="112" t="str">
        <f aca="false">IF(L115="","",IF($O$4="","",D115&amp;" "&amp;E115))</f>
        <v/>
      </c>
    </row>
    <row r="116" customFormat="false" ht="15" hidden="false" customHeight="false" outlineLevel="0" collapsed="false">
      <c r="A116" s="116"/>
      <c r="B116" s="118"/>
      <c r="C116" s="118"/>
      <c r="D116" s="118"/>
      <c r="E116" s="118"/>
      <c r="F116" s="128"/>
      <c r="G116" s="123"/>
      <c r="H116" s="129"/>
      <c r="I116" s="118"/>
      <c r="J116" s="130"/>
      <c r="K116" s="122"/>
      <c r="L116" s="109" t="str">
        <f aca="false">IF(I116="","",IF($L$6="mit",IF(B116*I116*$O$4=0,"",B116*I116*$O$4),IF(B116*I116*$O$4=0,"",INT(CEILING(B116*$O$4,J116))*I116)))</f>
        <v/>
      </c>
      <c r="M116" s="110" t="str">
        <f aca="false">IF(L116="","",G116)</f>
        <v/>
      </c>
      <c r="N116" s="111" t="str">
        <f aca="false">IF(L116="","",IF($L$6="mit",IF(B116*$O$4=0,"",B116*$O$4&amp;" "&amp;C116&amp;" "),IF(B116*$O$4=0,"",INT(CEILING(B116*$O$4,J116))&amp;" "&amp;C116&amp;" ")))</f>
        <v/>
      </c>
      <c r="O116" s="112" t="str">
        <f aca="false">IF(L116="","",IF($O$4="","",D116&amp;" "&amp;E116))</f>
        <v/>
      </c>
    </row>
    <row r="117" customFormat="false" ht="15" hidden="false" customHeight="false" outlineLevel="0" collapsed="false">
      <c r="A117" s="116"/>
      <c r="B117" s="118"/>
      <c r="C117" s="118"/>
      <c r="D117" s="118"/>
      <c r="E117" s="118"/>
      <c r="F117" s="128"/>
      <c r="G117" s="123"/>
      <c r="H117" s="129"/>
      <c r="I117" s="118"/>
      <c r="J117" s="130"/>
      <c r="K117" s="122"/>
      <c r="L117" s="109" t="str">
        <f aca="false">IF(I117="","",IF($L$6="mit",IF(B117*I117*$O$4=0,"",B117*I117*$O$4),IF(B117*I117*$O$4=0,"",INT(CEILING(B117*$O$4,J117))*I117)))</f>
        <v/>
      </c>
      <c r="M117" s="110" t="str">
        <f aca="false">IF(L117="","",G117)</f>
        <v/>
      </c>
      <c r="N117" s="111" t="str">
        <f aca="false">IF(L117="","",IF($L$6="mit",IF(B117*$O$4=0,"",B117*$O$4&amp;" "&amp;C117&amp;" "),IF(B117*$O$4=0,"",INT(CEILING(B117*$O$4,J117))&amp;" "&amp;C117&amp;" ")))</f>
        <v/>
      </c>
      <c r="O117" s="112" t="str">
        <f aca="false">IF(L117="","",IF($O$4="","",D117&amp;" "&amp;E117))</f>
        <v/>
      </c>
    </row>
    <row r="118" customFormat="false" ht="15" hidden="false" customHeight="false" outlineLevel="0" collapsed="false">
      <c r="A118" s="116"/>
      <c r="B118" s="118"/>
      <c r="C118" s="118"/>
      <c r="D118" s="118"/>
      <c r="E118" s="118"/>
      <c r="F118" s="128"/>
      <c r="G118" s="123"/>
      <c r="H118" s="129"/>
      <c r="I118" s="118"/>
      <c r="J118" s="130"/>
      <c r="K118" s="122"/>
      <c r="L118" s="109" t="str">
        <f aca="false">IF(I118="","",IF($L$6="mit",IF(B118*I118*$O$4=0,"",B118*I118*$O$4),IF(B118*I118*$O$4=0,"",INT(CEILING(B118*$O$4,J118))*I118)))</f>
        <v/>
      </c>
      <c r="M118" s="110" t="str">
        <f aca="false">IF(L118="","",G118)</f>
        <v/>
      </c>
      <c r="N118" s="111" t="str">
        <f aca="false">IF(L118="","",IF($L$6="mit",IF(B118*$O$4=0,"",B118*$O$4&amp;" "&amp;C118&amp;" "),IF(B118*$O$4=0,"",INT(CEILING(B118*$O$4,J118))&amp;" "&amp;C118&amp;" ")))</f>
        <v/>
      </c>
      <c r="O118" s="112" t="str">
        <f aca="false">IF(L118="","",IF($O$4="","",D118&amp;" "&amp;E118))</f>
        <v/>
      </c>
    </row>
    <row r="119" customFormat="false" ht="15" hidden="false" customHeight="false" outlineLevel="0" collapsed="false">
      <c r="A119" s="116"/>
      <c r="B119" s="118"/>
      <c r="C119" s="118"/>
      <c r="D119" s="118"/>
      <c r="E119" s="118"/>
      <c r="F119" s="128"/>
      <c r="G119" s="123"/>
      <c r="H119" s="129"/>
      <c r="I119" s="118"/>
      <c r="J119" s="130"/>
      <c r="K119" s="122"/>
      <c r="L119" s="109" t="str">
        <f aca="false">IF(I119="","",IF($L$6="mit",IF(B119*I119*$O$4=0,"",B119*I119*$O$4),IF(B119*I119*$O$4=0,"",INT(CEILING(B119*$O$4,J119))*I119)))</f>
        <v/>
      </c>
      <c r="M119" s="110" t="str">
        <f aca="false">IF(L119="","",G119)</f>
        <v/>
      </c>
      <c r="N119" s="111" t="str">
        <f aca="false">IF(L119="","",IF($L$6="mit",IF(B119*$O$4=0,"",B119*$O$4&amp;" "&amp;C119&amp;" "),IF(B119*$O$4=0,"",INT(CEILING(B119*$O$4,J119))&amp;" "&amp;C119&amp;" ")))</f>
        <v/>
      </c>
      <c r="O119" s="112" t="str">
        <f aca="false">IF(L119="","",IF($O$4="","",D119&amp;" "&amp;E119))</f>
        <v/>
      </c>
    </row>
    <row r="120" customFormat="false" ht="15" hidden="false" customHeight="false" outlineLevel="0" collapsed="false">
      <c r="A120" s="116"/>
      <c r="B120" s="118"/>
      <c r="C120" s="118"/>
      <c r="D120" s="118"/>
      <c r="E120" s="118"/>
      <c r="F120" s="128"/>
      <c r="G120" s="123"/>
      <c r="H120" s="129"/>
      <c r="I120" s="118"/>
      <c r="J120" s="130"/>
      <c r="K120" s="122"/>
      <c r="L120" s="109" t="str">
        <f aca="false">IF(I120="","",IF($L$6="mit",IF(B120*I120*$O$4=0,"",B120*I120*$O$4),IF(B120*I120*$O$4=0,"",INT(CEILING(B120*$O$4,J120))*I120)))</f>
        <v/>
      </c>
      <c r="M120" s="110" t="str">
        <f aca="false">IF(L120="","",G120)</f>
        <v/>
      </c>
      <c r="N120" s="111" t="str">
        <f aca="false">IF(L120="","",IF($L$6="mit",IF(B120*$O$4=0,"",B120*$O$4&amp;" "&amp;C120&amp;" "),IF(B120*$O$4=0,"",INT(CEILING(B120*$O$4,J120))&amp;" "&amp;C120&amp;" ")))</f>
        <v/>
      </c>
      <c r="O120" s="112" t="str">
        <f aca="false">IF(L120="","",IF($O$4="","",D120&amp;" "&amp;E120))</f>
        <v/>
      </c>
    </row>
    <row r="121" customFormat="false" ht="15" hidden="false" customHeight="false" outlineLevel="0" collapsed="false">
      <c r="A121" s="116"/>
      <c r="B121" s="118"/>
      <c r="C121" s="118"/>
      <c r="D121" s="118"/>
      <c r="E121" s="118"/>
      <c r="F121" s="128"/>
      <c r="G121" s="123"/>
      <c r="H121" s="129"/>
      <c r="I121" s="118"/>
      <c r="J121" s="130"/>
      <c r="K121" s="122"/>
      <c r="L121" s="109" t="str">
        <f aca="false">IF(I121="","",IF($L$6="mit",IF(B121*I121*$O$4=0,"",B121*I121*$O$4),IF(B121*I121*$O$4=0,"",INT(CEILING(B121*$O$4,J121))*I121)))</f>
        <v/>
      </c>
      <c r="M121" s="110" t="str">
        <f aca="false">IF(L121="","",G121)</f>
        <v/>
      </c>
      <c r="N121" s="111" t="str">
        <f aca="false">IF(L121="","",IF($L$6="mit",IF(B121*$O$4=0,"",B121*$O$4&amp;" "&amp;C121&amp;" "),IF(B121*$O$4=0,"",INT(CEILING(B121*$O$4,J121))&amp;" "&amp;C121&amp;" ")))</f>
        <v/>
      </c>
      <c r="O121" s="112" t="str">
        <f aca="false">IF(L121="","",IF($O$4="","",D121&amp;" "&amp;E121))</f>
        <v/>
      </c>
    </row>
    <row r="122" customFormat="false" ht="15" hidden="false" customHeight="false" outlineLevel="0" collapsed="false">
      <c r="A122" s="116"/>
      <c r="B122" s="118"/>
      <c r="C122" s="118"/>
      <c r="D122" s="118"/>
      <c r="E122" s="118"/>
      <c r="F122" s="128"/>
      <c r="G122" s="123"/>
      <c r="H122" s="129"/>
      <c r="I122" s="118"/>
      <c r="J122" s="130"/>
      <c r="K122" s="122"/>
      <c r="L122" s="109" t="str">
        <f aca="false">IF(I122="","",IF($L$6="mit",IF(B122*I122*$O$4=0,"",B122*I122*$O$4),IF(B122*I122*$O$4=0,"",INT(CEILING(B122*$O$4,J122))*I122)))</f>
        <v/>
      </c>
      <c r="M122" s="110" t="str">
        <f aca="false">IF(L122="","",G122)</f>
        <v/>
      </c>
      <c r="N122" s="111" t="str">
        <f aca="false">IF(L122="","",IF($L$6="mit",IF(B122*$O$4=0,"",B122*$O$4&amp;" "&amp;C122&amp;" "),IF(B122*$O$4=0,"",INT(CEILING(B122*$O$4,J122))&amp;" "&amp;C122&amp;" ")))</f>
        <v/>
      </c>
      <c r="O122" s="112" t="str">
        <f aca="false">IF(L122="","",IF($O$4="","",D122&amp;" "&amp;E122))</f>
        <v/>
      </c>
    </row>
    <row r="123" customFormat="false" ht="15" hidden="false" customHeight="false" outlineLevel="0" collapsed="false">
      <c r="A123" s="116"/>
      <c r="B123" s="118"/>
      <c r="C123" s="118"/>
      <c r="D123" s="118"/>
      <c r="E123" s="118"/>
      <c r="F123" s="128"/>
      <c r="G123" s="123"/>
      <c r="H123" s="129"/>
      <c r="I123" s="118"/>
      <c r="J123" s="130"/>
      <c r="K123" s="122"/>
      <c r="L123" s="109" t="str">
        <f aca="false">IF(I123="","",IF($L$6="mit",IF(B123*I123*$O$4=0,"",B123*I123*$O$4),IF(B123*I123*$O$4=0,"",INT(CEILING(B123*$O$4,J123))*I123)))</f>
        <v/>
      </c>
      <c r="M123" s="110" t="str">
        <f aca="false">IF(L123="","",G123)</f>
        <v/>
      </c>
      <c r="N123" s="111" t="str">
        <f aca="false">IF(L123="","",IF($L$6="mit",IF(B123*$O$4=0,"",B123*$O$4&amp;" "&amp;C123&amp;" "),IF(B123*$O$4=0,"",INT(CEILING(B123*$O$4,J123))&amp;" "&amp;C123&amp;" ")))</f>
        <v/>
      </c>
      <c r="O123" s="112" t="str">
        <f aca="false">IF(L123="","",IF($O$4="","",D123&amp;" "&amp;E123))</f>
        <v/>
      </c>
    </row>
    <row r="124" customFormat="false" ht="15" hidden="false" customHeight="false" outlineLevel="0" collapsed="false">
      <c r="A124" s="116"/>
      <c r="B124" s="118"/>
      <c r="C124" s="118"/>
      <c r="D124" s="118"/>
      <c r="E124" s="118"/>
      <c r="F124" s="128"/>
      <c r="G124" s="123"/>
      <c r="H124" s="129"/>
      <c r="I124" s="118"/>
      <c r="J124" s="130"/>
      <c r="K124" s="122"/>
      <c r="L124" s="109" t="str">
        <f aca="false">IF(I124="","",IF($L$6="mit",IF(B124*I124*$O$4=0,"",B124*I124*$O$4),IF(B124*I124*$O$4=0,"",INT(CEILING(B124*$O$4,J124))*I124)))</f>
        <v/>
      </c>
      <c r="M124" s="110" t="str">
        <f aca="false">IF(L124="","",G124)</f>
        <v/>
      </c>
      <c r="N124" s="111" t="str">
        <f aca="false">IF(L124="","",IF($L$6="mit",IF(B124*$O$4=0,"",B124*$O$4&amp;" "&amp;C124&amp;" "),IF(B124*$O$4=0,"",INT(CEILING(B124*$O$4,J124))&amp;" "&amp;C124&amp;" ")))</f>
        <v/>
      </c>
      <c r="O124" s="112" t="str">
        <f aca="false">IF(L124="","",IF($O$4="","",D124&amp;" "&amp;E124))</f>
        <v/>
      </c>
    </row>
    <row r="125" customFormat="false" ht="15" hidden="false" customHeight="false" outlineLevel="0" collapsed="false">
      <c r="A125" s="116"/>
      <c r="B125" s="118"/>
      <c r="C125" s="118"/>
      <c r="D125" s="118"/>
      <c r="E125" s="118"/>
      <c r="F125" s="128"/>
      <c r="G125" s="123"/>
      <c r="H125" s="129"/>
      <c r="I125" s="118"/>
      <c r="J125" s="130"/>
      <c r="K125" s="122"/>
      <c r="L125" s="109" t="str">
        <f aca="false">IF(I125="","",IF($L$6="mit",IF(B125*I125*$O$4=0,"",B125*I125*$O$4),IF(B125*I125*$O$4=0,"",INT(CEILING(B125*$O$4,J125))*I125)))</f>
        <v/>
      </c>
      <c r="M125" s="110" t="str">
        <f aca="false">IF(L125="","",G125)</f>
        <v/>
      </c>
      <c r="N125" s="111" t="str">
        <f aca="false">IF(L125="","",IF($L$6="mit",IF(B125*$O$4=0,"",B125*$O$4&amp;" "&amp;C125&amp;" "),IF(B125*$O$4=0,"",INT(CEILING(B125*$O$4,J125))&amp;" "&amp;C125&amp;" ")))</f>
        <v/>
      </c>
      <c r="O125" s="112" t="str">
        <f aca="false">IF(L125="","",IF($O$4="","",D125&amp;" "&amp;E125))</f>
        <v/>
      </c>
    </row>
    <row r="126" customFormat="false" ht="15" hidden="false" customHeight="false" outlineLevel="0" collapsed="false">
      <c r="A126" s="116"/>
      <c r="B126" s="118"/>
      <c r="C126" s="118"/>
      <c r="D126" s="118"/>
      <c r="E126" s="118"/>
      <c r="F126" s="128"/>
      <c r="G126" s="123"/>
      <c r="H126" s="129"/>
      <c r="I126" s="118"/>
      <c r="J126" s="130"/>
      <c r="K126" s="122"/>
      <c r="L126" s="109" t="str">
        <f aca="false">IF(I126="","",IF($L$6="mit",IF(B126*I126*$O$4=0,"",B126*I126*$O$4),IF(B126*I126*$O$4=0,"",INT(CEILING(B126*$O$4,J126))*I126)))</f>
        <v/>
      </c>
      <c r="M126" s="110" t="str">
        <f aca="false">IF(L126="","",G126)</f>
        <v/>
      </c>
      <c r="N126" s="111" t="str">
        <f aca="false">IF(L126="","",IF($L$6="mit",IF(B126*$O$4=0,"",B126*$O$4&amp;" "&amp;C126&amp;" "),IF(B126*$O$4=0,"",INT(CEILING(B126*$O$4,J126))&amp;" "&amp;C126&amp;" ")))</f>
        <v/>
      </c>
      <c r="O126" s="112" t="str">
        <f aca="false">IF(L126="","",IF($O$4="","",D126&amp;" "&amp;E126))</f>
        <v/>
      </c>
    </row>
    <row r="127" customFormat="false" ht="15" hidden="false" customHeight="false" outlineLevel="0" collapsed="false">
      <c r="A127" s="116"/>
      <c r="B127" s="118"/>
      <c r="C127" s="118"/>
      <c r="D127" s="118"/>
      <c r="E127" s="118"/>
      <c r="F127" s="128"/>
      <c r="G127" s="123"/>
      <c r="H127" s="129"/>
      <c r="I127" s="118"/>
      <c r="J127" s="130"/>
      <c r="K127" s="122"/>
      <c r="L127" s="109" t="str">
        <f aca="false">IF(I127="","",IF($L$6="mit",IF(B127*I127*$O$4=0,"",B127*I127*$O$4),IF(B127*I127*$O$4=0,"",INT(CEILING(B127*$O$4,J127))*I127)))</f>
        <v/>
      </c>
      <c r="M127" s="110" t="str">
        <f aca="false">IF(L127="","",G127)</f>
        <v/>
      </c>
      <c r="N127" s="111" t="str">
        <f aca="false">IF(L127="","",IF($L$6="mit",IF(B127*$O$4=0,"",B127*$O$4&amp;" "&amp;C127&amp;" "),IF(B127*$O$4=0,"",INT(CEILING(B127*$O$4,J127))&amp;" "&amp;C127&amp;" ")))</f>
        <v/>
      </c>
      <c r="O127" s="112" t="str">
        <f aca="false">IF(L127="","",IF($O$4="","",D127&amp;" "&amp;E127))</f>
        <v/>
      </c>
    </row>
    <row r="128" customFormat="false" ht="15" hidden="false" customHeight="false" outlineLevel="0" collapsed="false">
      <c r="A128" s="116"/>
      <c r="B128" s="118"/>
      <c r="C128" s="118"/>
      <c r="D128" s="118"/>
      <c r="E128" s="118"/>
      <c r="F128" s="128"/>
      <c r="G128" s="123"/>
      <c r="H128" s="129"/>
      <c r="I128" s="118"/>
      <c r="J128" s="130"/>
      <c r="K128" s="122"/>
      <c r="L128" s="109" t="str">
        <f aca="false">IF(I128="","",IF($L$6="mit",IF(B128*I128*$O$4=0,"",B128*I128*$O$4),IF(B128*I128*$O$4=0,"",INT(CEILING(B128*$O$4,J128))*I128)))</f>
        <v/>
      </c>
      <c r="M128" s="110" t="str">
        <f aca="false">IF(L128="","",G128)</f>
        <v/>
      </c>
      <c r="N128" s="111" t="str">
        <f aca="false">IF(L128="","",IF($L$6="mit",IF(B128*$O$4=0,"",B128*$O$4&amp;" "&amp;C128&amp;" "),IF(B128*$O$4=0,"",INT(CEILING(B128*$O$4,J128))&amp;" "&amp;C128&amp;" ")))</f>
        <v/>
      </c>
      <c r="O128" s="112" t="str">
        <f aca="false">IF(L128="","",IF($O$4="","",D128&amp;" "&amp;E128))</f>
        <v/>
      </c>
    </row>
    <row r="129" customFormat="false" ht="15" hidden="false" customHeight="false" outlineLevel="0" collapsed="false">
      <c r="A129" s="116"/>
      <c r="B129" s="118"/>
      <c r="C129" s="118"/>
      <c r="D129" s="118"/>
      <c r="E129" s="118"/>
      <c r="F129" s="128"/>
      <c r="G129" s="123"/>
      <c r="H129" s="129"/>
      <c r="I129" s="118"/>
      <c r="J129" s="130"/>
      <c r="K129" s="122"/>
      <c r="L129" s="109" t="str">
        <f aca="false">IF(I129="","",IF($L$6="mit",IF(B129*I129*$O$4=0,"",B129*I129*$O$4),IF(B129*I129*$O$4=0,"",INT(CEILING(B129*$O$4,J129))*I129)))</f>
        <v/>
      </c>
      <c r="M129" s="110" t="str">
        <f aca="false">IF(L129="","",G129)</f>
        <v/>
      </c>
      <c r="N129" s="111" t="str">
        <f aca="false">IF(L129="","",IF($L$6="mit",IF(B129*$O$4=0,"",B129*$O$4&amp;" "&amp;C129&amp;" "),IF(B129*$O$4=0,"",INT(CEILING(B129*$O$4,J129))&amp;" "&amp;C129&amp;" ")))</f>
        <v/>
      </c>
      <c r="O129" s="112" t="str">
        <f aca="false">IF(L129="","",IF($O$4="","",D129&amp;" "&amp;E129))</f>
        <v/>
      </c>
    </row>
    <row r="130" customFormat="false" ht="15" hidden="false" customHeight="false" outlineLevel="0" collapsed="false">
      <c r="A130" s="131"/>
      <c r="B130" s="132"/>
      <c r="C130" s="132"/>
      <c r="D130" s="132"/>
      <c r="E130" s="132"/>
      <c r="F130" s="133"/>
      <c r="G130" s="134"/>
      <c r="H130" s="135"/>
      <c r="I130" s="132"/>
      <c r="J130" s="136"/>
      <c r="K130" s="137"/>
      <c r="L130" s="138" t="str">
        <f aca="false">IF(I130="","",IF($L$6="mit",IF(B130*I130*$O$4=0,"",B130*I130*$O$4),IF(B130*I130*$O$4=0,"",INT(CEILING(B130*$O$4,J130))*I130)))</f>
        <v/>
      </c>
      <c r="M130" s="139" t="str">
        <f aca="false">IF(L130="","",G130)</f>
        <v/>
      </c>
      <c r="N130" s="140" t="str">
        <f aca="false">IF(L130="","",IF($L$6="mit",IF(B130*$O$4=0,"",B130*$O$4&amp;" "&amp;C130&amp;" "),IF(B130*$O$4=0,"",INT(CEILING(B130*$O$4,J130))&amp;" "&amp;C130&amp;" ")))</f>
        <v/>
      </c>
      <c r="O130" s="141" t="str">
        <f aca="false">IF(L130="","",IF($O$4="","",D130&amp;" "&amp;E130))</f>
        <v/>
      </c>
    </row>
  </sheetData>
  <sheetProtection algorithmName="SHA-512" hashValue="sLu06ZKFX3zk/9jmFUgqDTnY6h6jMp4RJtIcDyeyQqOGt+kHozrZ4ZjtDg3XjjrzgACm+GQ2UudHDyveRSZ8vw==" saltValue="qLRwT7OEDFh2R+N1YU6j2g==" spinCount="100000" sheet="true" objects="true" scenarios="true" selectLockedCells="true"/>
  <mergeCells count="31">
    <mergeCell ref="A1:D1"/>
    <mergeCell ref="E1:F1"/>
    <mergeCell ref="G1:H1"/>
    <mergeCell ref="I1:J1"/>
    <mergeCell ref="M1:O1"/>
    <mergeCell ref="A2:D2"/>
    <mergeCell ref="E2:F2"/>
    <mergeCell ref="G2:H2"/>
    <mergeCell ref="I2:J2"/>
    <mergeCell ref="M2:N2"/>
    <mergeCell ref="A3:D3"/>
    <mergeCell ref="E3:F3"/>
    <mergeCell ref="G3:H3"/>
    <mergeCell ref="I3:J3"/>
    <mergeCell ref="M3:N3"/>
    <mergeCell ref="A4:D4"/>
    <mergeCell ref="E4:F4"/>
    <mergeCell ref="G4:H4"/>
    <mergeCell ref="I4:J4"/>
    <mergeCell ref="M4:N4"/>
    <mergeCell ref="A5:D5"/>
    <mergeCell ref="E5:F5"/>
    <mergeCell ref="G5:H5"/>
    <mergeCell ref="I5:J5"/>
    <mergeCell ref="M5:O5"/>
    <mergeCell ref="A6:D6"/>
    <mergeCell ref="E6:F6"/>
    <mergeCell ref="G6:H6"/>
    <mergeCell ref="I6:J6"/>
    <mergeCell ref="M6:O6"/>
    <mergeCell ref="M7:O7"/>
  </mergeCells>
  <dataValidations count="2">
    <dataValidation allowBlank="true" errorStyle="stop" operator="between" showDropDown="false" showErrorMessage="true" showInputMessage="true" sqref="M6:O6" type="list">
      <formula1>"Berufstätige,BioMed &amp; GT.,Elektronik,Elektrotechnik,Media &amp; Design,Technische Informatik"</formula1>
      <formula2>0</formula2>
    </dataValidation>
    <dataValidation allowBlank="true" errorStyle="stop" operator="between" showDropDown="false" showErrorMessage="true" showInputMessage="true" sqref="L6" type="list">
      <formula1>"ohne,mit"</formula1>
      <formula2>0</formula2>
    </dataValidation>
  </dataValidations>
  <hyperlinks>
    <hyperlink ref="F8" r:id="rId2" display="keeb.supply"/>
    <hyperlink ref="K8" r:id="rId3" display="Ambients Silent Linear Twilight"/>
    <hyperlink ref="F9" r:id="rId4" display="keeb.supply"/>
    <hyperlink ref="K9" r:id="rId5" display="Choc Kailh hotswap sockets"/>
    <hyperlink ref="F10" r:id="rId6" display="s-grundner"/>
    <hyperlink ref="F11" r:id="rId7" display="keeb.supply"/>
    <hyperlink ref="F13" r:id="rId8" display="reichelt.de"/>
    <hyperlink ref="F14" r:id="rId9" display="reichelt.de"/>
    <hyperlink ref="F15" r:id="rId10" display="keeb.supply"/>
    <hyperlink ref="K15" r:id="rId11" display="Switch Mini 7 Pin 2 Slide Positions"/>
    <hyperlink ref="F16" r:id="rId12" display="amazon.de"/>
    <hyperlink ref="K16" r:id="rId13" display="Round Silicone Rubber Feet"/>
  </hyperlinks>
  <printOptions headings="false" gridLines="false" gridLinesSet="true" horizontalCentered="false" verticalCentered="false"/>
  <pageMargins left="0.7875" right="0.39375" top="0.39375" bottom="0.39375" header="0.511811023622047" footer="0.511811023622047"/>
  <pageSetup paperSize="8" scale="100" fitToWidth="1" fitToHeight="1" pageOrder="downThenOver" orientation="portrait" blackAndWhite="false" draft="false" cellComments="none" horizontalDpi="300" verticalDpi="300" copies="1"/>
  <headerFooter differentFirst="false" differentOddEven="false">
    <oddHeader/>
    <oddFooter/>
  </headerFooter>
  <legacyDrawing r:id="rId1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41"/>
  <sheetViews>
    <sheetView showFormulas="false" showGridLines="true" showRowColHeaders="true" showZeros="true" rightToLeft="false" tabSelected="false" showOutlineSymbols="true" defaultGridColor="true" view="pageBreakPreview" topLeftCell="A1" colorId="64" zoomScale="100" zoomScaleNormal="57" zoomScalePageLayoutView="100" workbookViewId="0">
      <selection pane="topLeft" activeCell="A4" activeCellId="0" sqref="A4"/>
    </sheetView>
  </sheetViews>
  <sheetFormatPr defaultColWidth="10.625" defaultRowHeight="14.25" customHeight="true" zeroHeight="false" outlineLevelRow="0" outlineLevelCol="0"/>
  <cols>
    <col collapsed="false" customWidth="true" hidden="false" outlineLevel="0" max="66" min="1" style="1" width="1.25"/>
    <col collapsed="false" customWidth="false" hidden="false" outlineLevel="0" max="16384" min="67" style="1" width="10.62"/>
  </cols>
  <sheetData>
    <row r="1" customFormat="false" ht="15.75" hidden="false" customHeight="true" outlineLevel="0" collapsed="false">
      <c r="A1" s="142" t="n">
        <v>1</v>
      </c>
      <c r="B1" s="142"/>
      <c r="C1" s="142"/>
      <c r="D1" s="142"/>
      <c r="E1" s="143" t="n">
        <v>2</v>
      </c>
      <c r="F1" s="143"/>
      <c r="G1" s="143"/>
      <c r="H1" s="143"/>
      <c r="I1" s="143" t="n">
        <v>3</v>
      </c>
      <c r="J1" s="143"/>
      <c r="K1" s="143"/>
      <c r="L1" s="143"/>
      <c r="M1" s="143" t="n">
        <v>4</v>
      </c>
      <c r="N1" s="143"/>
      <c r="O1" s="143"/>
      <c r="P1" s="143"/>
      <c r="Q1" s="143"/>
      <c r="R1" s="143"/>
      <c r="S1" s="143"/>
      <c r="T1" s="143"/>
      <c r="U1" s="143"/>
      <c r="V1" s="143"/>
      <c r="W1" s="143"/>
      <c r="X1" s="143"/>
      <c r="Y1" s="143"/>
      <c r="Z1" s="143"/>
      <c r="AA1" s="143"/>
      <c r="AB1" s="143"/>
      <c r="AC1" s="143"/>
      <c r="AD1" s="143"/>
      <c r="AE1" s="143"/>
      <c r="AF1" s="143"/>
      <c r="AG1" s="143" t="n">
        <v>5</v>
      </c>
      <c r="AH1" s="143"/>
      <c r="AI1" s="143"/>
      <c r="AJ1" s="143"/>
      <c r="AK1" s="143"/>
      <c r="AL1" s="143"/>
      <c r="AM1" s="143"/>
      <c r="AN1" s="143"/>
      <c r="AO1" s="143"/>
      <c r="AP1" s="143"/>
      <c r="AQ1" s="143"/>
      <c r="AR1" s="143"/>
      <c r="AS1" s="143"/>
      <c r="AT1" s="143"/>
      <c r="AU1" s="143"/>
      <c r="AV1" s="143"/>
      <c r="AW1" s="143"/>
      <c r="AX1" s="143" t="n">
        <v>6</v>
      </c>
      <c r="AY1" s="143"/>
      <c r="AZ1" s="143"/>
      <c r="BA1" s="143"/>
      <c r="BB1" s="144" t="n">
        <v>7</v>
      </c>
      <c r="BC1" s="144"/>
      <c r="BD1" s="144"/>
      <c r="BE1" s="144"/>
      <c r="BF1" s="144"/>
      <c r="BG1" s="144"/>
      <c r="BH1" s="144"/>
      <c r="BI1" s="144"/>
      <c r="BJ1" s="144"/>
      <c r="BK1" s="144"/>
      <c r="BL1" s="144"/>
      <c r="BM1" s="144"/>
      <c r="BN1" s="144"/>
    </row>
    <row r="2" customFormat="false" ht="18.75" hidden="false" customHeight="true" outlineLevel="0" collapsed="false">
      <c r="A2" s="145" t="str">
        <f aca="false">Eingabe!A7</f>
        <v>Lfd. 
Nr.</v>
      </c>
      <c r="B2" s="145"/>
      <c r="C2" s="145"/>
      <c r="D2" s="145"/>
      <c r="E2" s="146" t="str">
        <f aca="false">Eingabe!B7</f>
        <v>Stück-
zahl</v>
      </c>
      <c r="F2" s="146"/>
      <c r="G2" s="146"/>
      <c r="H2" s="146"/>
      <c r="I2" s="146" t="str">
        <f aca="false">Eingabe!C7</f>
        <v>Ein-
heit</v>
      </c>
      <c r="J2" s="146"/>
      <c r="K2" s="146"/>
      <c r="L2" s="146"/>
      <c r="M2" s="147" t="str">
        <f aca="false">Eingabe!D7</f>
        <v>Benennung</v>
      </c>
      <c r="N2" s="147"/>
      <c r="O2" s="147"/>
      <c r="P2" s="147"/>
      <c r="Q2" s="147"/>
      <c r="R2" s="147"/>
      <c r="S2" s="147"/>
      <c r="T2" s="147"/>
      <c r="U2" s="147"/>
      <c r="V2" s="147"/>
      <c r="W2" s="147"/>
      <c r="X2" s="147"/>
      <c r="Y2" s="147"/>
      <c r="Z2" s="147"/>
      <c r="AA2" s="147"/>
      <c r="AB2" s="147"/>
      <c r="AC2" s="147"/>
      <c r="AD2" s="147"/>
      <c r="AE2" s="147"/>
      <c r="AF2" s="147"/>
      <c r="AG2" s="147" t="str">
        <f aca="false">Eingabe!F7&amp;" / "&amp;Eingabe!G7</f>
        <v>Lieferant / Bestellnummer</v>
      </c>
      <c r="AH2" s="147"/>
      <c r="AI2" s="147"/>
      <c r="AJ2" s="147"/>
      <c r="AK2" s="147"/>
      <c r="AL2" s="147"/>
      <c r="AM2" s="147"/>
      <c r="AN2" s="147"/>
      <c r="AO2" s="147"/>
      <c r="AP2" s="147"/>
      <c r="AQ2" s="147"/>
      <c r="AR2" s="147"/>
      <c r="AS2" s="147"/>
      <c r="AT2" s="147"/>
      <c r="AU2" s="147"/>
      <c r="AV2" s="147"/>
      <c r="AW2" s="147"/>
      <c r="AX2" s="148" t="str">
        <f aca="false">Eingabe!H7</f>
        <v>MCd</v>
      </c>
      <c r="AY2" s="148"/>
      <c r="AZ2" s="148"/>
      <c r="BA2" s="148"/>
      <c r="BB2" s="149" t="str">
        <f aca="false">Eingabe!K7</f>
        <v>Bemerkung</v>
      </c>
      <c r="BC2" s="149"/>
      <c r="BD2" s="149"/>
      <c r="BE2" s="149"/>
      <c r="BF2" s="149"/>
      <c r="BG2" s="149"/>
      <c r="BH2" s="149"/>
      <c r="BI2" s="149"/>
      <c r="BJ2" s="149"/>
      <c r="BK2" s="149"/>
      <c r="BL2" s="149"/>
      <c r="BM2" s="149"/>
      <c r="BN2" s="149"/>
    </row>
    <row r="3" customFormat="false" ht="18.75" hidden="false" customHeight="true" outlineLevel="0" collapsed="false">
      <c r="A3" s="145"/>
      <c r="B3" s="145"/>
      <c r="C3" s="145"/>
      <c r="D3" s="145"/>
      <c r="E3" s="146"/>
      <c r="F3" s="146"/>
      <c r="G3" s="146"/>
      <c r="H3" s="146"/>
      <c r="I3" s="146"/>
      <c r="J3" s="146"/>
      <c r="K3" s="146"/>
      <c r="L3" s="146"/>
      <c r="M3" s="147"/>
      <c r="N3" s="147"/>
      <c r="O3" s="147"/>
      <c r="P3" s="147"/>
      <c r="Q3" s="147"/>
      <c r="R3" s="147"/>
      <c r="S3" s="147"/>
      <c r="T3" s="147"/>
      <c r="U3" s="147"/>
      <c r="V3" s="147"/>
      <c r="W3" s="147"/>
      <c r="X3" s="147"/>
      <c r="Y3" s="147"/>
      <c r="Z3" s="147"/>
      <c r="AA3" s="147"/>
      <c r="AB3" s="147"/>
      <c r="AC3" s="147"/>
      <c r="AD3" s="147"/>
      <c r="AE3" s="147"/>
      <c r="AF3" s="147"/>
      <c r="AG3" s="147"/>
      <c r="AH3" s="147"/>
      <c r="AI3" s="147"/>
      <c r="AJ3" s="147"/>
      <c r="AK3" s="147"/>
      <c r="AL3" s="147"/>
      <c r="AM3" s="147"/>
      <c r="AN3" s="147"/>
      <c r="AO3" s="147"/>
      <c r="AP3" s="147"/>
      <c r="AQ3" s="147"/>
      <c r="AR3" s="147"/>
      <c r="AS3" s="147"/>
      <c r="AT3" s="147"/>
      <c r="AU3" s="147"/>
      <c r="AV3" s="147"/>
      <c r="AW3" s="147"/>
      <c r="AX3" s="148"/>
      <c r="AY3" s="148"/>
      <c r="AZ3" s="148"/>
      <c r="BA3" s="148"/>
      <c r="BB3" s="149"/>
      <c r="BC3" s="149"/>
      <c r="BD3" s="149"/>
      <c r="BE3" s="149"/>
      <c r="BF3" s="149"/>
      <c r="BG3" s="149"/>
      <c r="BH3" s="149"/>
      <c r="BI3" s="149"/>
      <c r="BJ3" s="149"/>
      <c r="BK3" s="149"/>
      <c r="BL3" s="149"/>
      <c r="BM3" s="149"/>
      <c r="BN3" s="149"/>
    </row>
    <row r="4" s="156" customFormat="true" ht="25.5" hidden="false" customHeight="true" outlineLevel="0" collapsed="false">
      <c r="A4" s="150" t="n">
        <f aca="false">IF(Eingabe!A8="","",Eingabe!A8)</f>
        <v>1</v>
      </c>
      <c r="B4" s="150"/>
      <c r="C4" s="150"/>
      <c r="D4" s="150"/>
      <c r="E4" s="151" t="n">
        <f aca="false">IF(Eingabe!B8="","",Eingabe!B8)</f>
        <v>40</v>
      </c>
      <c r="F4" s="151"/>
      <c r="G4" s="151"/>
      <c r="H4" s="151"/>
      <c r="I4" s="152" t="str">
        <f aca="false">IF(Eingabe!C8="","",Eingabe!C8)</f>
        <v>STK</v>
      </c>
      <c r="J4" s="152"/>
      <c r="K4" s="152"/>
      <c r="L4" s="152"/>
      <c r="M4" s="153" t="str">
        <f aca="false">IF(Eingabe!D8&amp;""&amp;Eingabe!E8="","",Eingabe!D8&amp;" 
"&amp;Eingabe!E8)</f>
        <v>Choc V1 Switches 
SWL1-20, SWR1-20</v>
      </c>
      <c r="N4" s="153"/>
      <c r="O4" s="153"/>
      <c r="P4" s="153"/>
      <c r="Q4" s="153"/>
      <c r="R4" s="153"/>
      <c r="S4" s="153"/>
      <c r="T4" s="153"/>
      <c r="U4" s="153"/>
      <c r="V4" s="153"/>
      <c r="W4" s="153"/>
      <c r="X4" s="153"/>
      <c r="Y4" s="153"/>
      <c r="Z4" s="153"/>
      <c r="AA4" s="153"/>
      <c r="AB4" s="153"/>
      <c r="AC4" s="153"/>
      <c r="AD4" s="153"/>
      <c r="AE4" s="153"/>
      <c r="AF4" s="153"/>
      <c r="AG4" s="152" t="str">
        <f aca="false">IF(Eingabe!F8&amp;""&amp;Eingabe!G8="","",Eingabe!F8&amp;" 
"&amp;Eingabe!G8)</f>
        <v>keeb.supply 
</v>
      </c>
      <c r="AH4" s="152"/>
      <c r="AI4" s="152"/>
      <c r="AJ4" s="152"/>
      <c r="AK4" s="152"/>
      <c r="AL4" s="152"/>
      <c r="AM4" s="152"/>
      <c r="AN4" s="152"/>
      <c r="AO4" s="152"/>
      <c r="AP4" s="152"/>
      <c r="AQ4" s="152"/>
      <c r="AR4" s="152"/>
      <c r="AS4" s="152"/>
      <c r="AT4" s="152"/>
      <c r="AU4" s="152"/>
      <c r="AV4" s="152"/>
      <c r="AW4" s="152"/>
      <c r="AX4" s="152" t="str">
        <f aca="false">IF(Eingabe!H8="","",Eingabe!H8)</f>
        <v/>
      </c>
      <c r="AY4" s="152"/>
      <c r="AZ4" s="152"/>
      <c r="BA4" s="152"/>
      <c r="BB4" s="154" t="str">
        <f aca="false">IF(Eingabe!K8="","",Eingabe!K8)</f>
        <v>Ambients Silent Linear Twilight</v>
      </c>
      <c r="BC4" s="154"/>
      <c r="BD4" s="154"/>
      <c r="BE4" s="154"/>
      <c r="BF4" s="154"/>
      <c r="BG4" s="154"/>
      <c r="BH4" s="154"/>
      <c r="BI4" s="154"/>
      <c r="BJ4" s="154"/>
      <c r="BK4" s="154"/>
      <c r="BL4" s="154"/>
      <c r="BM4" s="154"/>
      <c r="BN4" s="154"/>
      <c r="BO4" s="155"/>
      <c r="BP4" s="155"/>
      <c r="BQ4" s="155"/>
      <c r="BR4" s="155"/>
      <c r="BS4" s="155"/>
      <c r="BT4" s="155"/>
      <c r="BU4" s="155"/>
      <c r="BV4" s="155"/>
      <c r="BW4" s="155"/>
      <c r="BX4" s="155"/>
      <c r="BY4" s="155"/>
      <c r="BZ4" s="155"/>
      <c r="CA4" s="155"/>
      <c r="CB4" s="155"/>
      <c r="CC4" s="155"/>
      <c r="CD4" s="155"/>
      <c r="CE4" s="155"/>
      <c r="CF4" s="155"/>
      <c r="CG4" s="155"/>
      <c r="CH4" s="155"/>
      <c r="CI4" s="155"/>
      <c r="CJ4" s="155"/>
      <c r="CK4" s="155"/>
      <c r="CL4" s="155"/>
      <c r="CM4" s="155"/>
      <c r="CN4" s="155"/>
      <c r="CO4" s="155"/>
      <c r="CP4" s="155"/>
      <c r="CQ4" s="155"/>
      <c r="CR4" s="155"/>
      <c r="CS4" s="155"/>
      <c r="CT4" s="155"/>
      <c r="CU4" s="155"/>
      <c r="CV4" s="155"/>
      <c r="CW4" s="155"/>
      <c r="CX4" s="155"/>
      <c r="CY4" s="155"/>
      <c r="CZ4" s="155"/>
      <c r="DA4" s="155"/>
      <c r="DB4" s="155"/>
      <c r="DC4" s="155"/>
      <c r="DD4" s="155"/>
      <c r="DE4" s="155"/>
      <c r="DF4" s="155"/>
      <c r="DG4" s="155"/>
      <c r="DH4" s="155"/>
      <c r="DI4" s="155"/>
      <c r="DJ4" s="155"/>
      <c r="DK4" s="155"/>
      <c r="DL4" s="155"/>
      <c r="DM4" s="155"/>
      <c r="DN4" s="155"/>
      <c r="DO4" s="155"/>
      <c r="DP4" s="155"/>
      <c r="DQ4" s="155"/>
      <c r="DR4" s="155"/>
      <c r="DS4" s="155"/>
      <c r="DT4" s="155"/>
      <c r="DU4" s="155"/>
      <c r="DV4" s="155"/>
      <c r="DW4" s="155"/>
      <c r="DX4" s="155"/>
      <c r="DY4" s="155"/>
      <c r="DZ4" s="155"/>
      <c r="EA4" s="155"/>
      <c r="EB4" s="155"/>
      <c r="EC4" s="155"/>
      <c r="ED4" s="155"/>
      <c r="EE4" s="155"/>
      <c r="EF4" s="155"/>
      <c r="EG4" s="155"/>
      <c r="EH4" s="155"/>
      <c r="EI4" s="155"/>
      <c r="EJ4" s="155"/>
      <c r="EK4" s="155"/>
      <c r="EL4" s="155"/>
      <c r="EM4" s="155"/>
      <c r="EN4" s="155"/>
      <c r="EO4" s="155"/>
      <c r="EP4" s="155"/>
      <c r="EQ4" s="155"/>
      <c r="ER4" s="155"/>
      <c r="ES4" s="155"/>
      <c r="ET4" s="155"/>
      <c r="EU4" s="155"/>
      <c r="EV4" s="155"/>
      <c r="EW4" s="155"/>
      <c r="EX4" s="155"/>
      <c r="EY4" s="155"/>
      <c r="EZ4" s="155"/>
      <c r="FA4" s="155"/>
      <c r="FB4" s="155"/>
      <c r="FC4" s="155"/>
      <c r="FD4" s="155"/>
      <c r="FE4" s="155"/>
      <c r="FF4" s="155"/>
      <c r="FG4" s="155"/>
      <c r="FH4" s="155"/>
      <c r="FI4" s="155"/>
      <c r="FJ4" s="155"/>
      <c r="FK4" s="155"/>
      <c r="FL4" s="155"/>
      <c r="FM4" s="155"/>
      <c r="FN4" s="155"/>
      <c r="FO4" s="155"/>
      <c r="FP4" s="155"/>
      <c r="FQ4" s="155"/>
      <c r="FR4" s="155"/>
      <c r="FS4" s="155"/>
      <c r="FT4" s="155"/>
      <c r="FU4" s="155"/>
      <c r="FV4" s="155"/>
      <c r="FW4" s="155"/>
      <c r="FX4" s="155"/>
      <c r="FY4" s="155"/>
      <c r="FZ4" s="155"/>
      <c r="GA4" s="155"/>
      <c r="GB4" s="155"/>
      <c r="GC4" s="155"/>
      <c r="GD4" s="155"/>
      <c r="GE4" s="155"/>
      <c r="GF4" s="155"/>
      <c r="GG4" s="155"/>
      <c r="GH4" s="155"/>
      <c r="GI4" s="155"/>
      <c r="GJ4" s="155"/>
      <c r="GK4" s="155"/>
      <c r="GL4" s="155"/>
      <c r="GM4" s="155"/>
      <c r="GN4" s="155"/>
      <c r="GO4" s="155"/>
      <c r="GP4" s="155"/>
      <c r="GQ4" s="155"/>
      <c r="GR4" s="155"/>
      <c r="GS4" s="155"/>
      <c r="GT4" s="155"/>
      <c r="GU4" s="155"/>
      <c r="GV4" s="155"/>
      <c r="GW4" s="155"/>
      <c r="GX4" s="155"/>
      <c r="GY4" s="155"/>
      <c r="GZ4" s="155"/>
      <c r="HA4" s="155"/>
      <c r="HB4" s="155"/>
      <c r="HC4" s="155"/>
      <c r="HD4" s="155"/>
      <c r="HE4" s="155"/>
      <c r="HF4" s="155"/>
      <c r="HG4" s="155"/>
      <c r="HH4" s="155"/>
      <c r="HI4" s="155"/>
      <c r="HJ4" s="155"/>
      <c r="HK4" s="155"/>
      <c r="HL4" s="155"/>
      <c r="HM4" s="155"/>
      <c r="HN4" s="155"/>
      <c r="HO4" s="155"/>
      <c r="HP4" s="155"/>
      <c r="HQ4" s="155"/>
      <c r="HR4" s="155"/>
      <c r="HS4" s="155"/>
      <c r="HT4" s="155"/>
      <c r="HU4" s="155"/>
      <c r="HV4" s="155"/>
      <c r="HW4" s="155"/>
      <c r="HX4" s="155"/>
      <c r="HY4" s="155"/>
      <c r="HZ4" s="155"/>
      <c r="IA4" s="155"/>
      <c r="IB4" s="155"/>
      <c r="IC4" s="155"/>
      <c r="ID4" s="155"/>
      <c r="IE4" s="155"/>
      <c r="IF4" s="155"/>
      <c r="IG4" s="155"/>
      <c r="IH4" s="155"/>
      <c r="II4" s="155"/>
      <c r="IJ4" s="155"/>
      <c r="IK4" s="155"/>
      <c r="IL4" s="155"/>
      <c r="IM4" s="155"/>
      <c r="IN4" s="155"/>
      <c r="IO4" s="155"/>
      <c r="IP4" s="155"/>
      <c r="IQ4" s="155"/>
      <c r="IR4" s="155"/>
      <c r="IS4" s="155"/>
      <c r="IT4" s="155"/>
      <c r="IU4" s="155"/>
      <c r="IV4" s="155"/>
    </row>
    <row r="5" s="156" customFormat="true" ht="25.5" hidden="false" customHeight="true" outlineLevel="0" collapsed="false">
      <c r="A5" s="157" t="n">
        <f aca="false">IF(Eingabe!A9="","",Eingabe!A9)</f>
        <v>2</v>
      </c>
      <c r="B5" s="157"/>
      <c r="C5" s="157"/>
      <c r="D5" s="157"/>
      <c r="E5" s="158" t="n">
        <f aca="false">IF(Eingabe!B9="","",Eingabe!B9)</f>
        <v>40</v>
      </c>
      <c r="F5" s="158"/>
      <c r="G5" s="158"/>
      <c r="H5" s="158"/>
      <c r="I5" s="159" t="str">
        <f aca="false">IF(Eingabe!C9="","",Eingabe!C9)</f>
        <v>STK</v>
      </c>
      <c r="J5" s="159"/>
      <c r="K5" s="159"/>
      <c r="L5" s="159"/>
      <c r="M5" s="160" t="str">
        <f aca="false">IF(Eingabe!D9&amp;""&amp;Eingabe!E9="","",Eingabe!D9&amp;" 
"&amp;Eingabe!E9)</f>
        <v>Kailh-Choc 1350 Hot Swap Sockets 
SWL1-20, SWR1-20</v>
      </c>
      <c r="N5" s="160"/>
      <c r="O5" s="160"/>
      <c r="P5" s="160"/>
      <c r="Q5" s="160"/>
      <c r="R5" s="160"/>
      <c r="S5" s="160"/>
      <c r="T5" s="160"/>
      <c r="U5" s="160"/>
      <c r="V5" s="160"/>
      <c r="W5" s="160"/>
      <c r="X5" s="160"/>
      <c r="Y5" s="160"/>
      <c r="Z5" s="160"/>
      <c r="AA5" s="160"/>
      <c r="AB5" s="160"/>
      <c r="AC5" s="160"/>
      <c r="AD5" s="160"/>
      <c r="AE5" s="160"/>
      <c r="AF5" s="160"/>
      <c r="AG5" s="159" t="str">
        <f aca="false">IF(Eingabe!F9&amp;""&amp;Eingabe!G9="","",Eingabe!F9&amp;" 
"&amp;Eingabe!G9)</f>
        <v>keeb.supply 
</v>
      </c>
      <c r="AH5" s="159"/>
      <c r="AI5" s="159"/>
      <c r="AJ5" s="159"/>
      <c r="AK5" s="159"/>
      <c r="AL5" s="159"/>
      <c r="AM5" s="159"/>
      <c r="AN5" s="159"/>
      <c r="AO5" s="159"/>
      <c r="AP5" s="159"/>
      <c r="AQ5" s="159"/>
      <c r="AR5" s="159"/>
      <c r="AS5" s="159"/>
      <c r="AT5" s="159"/>
      <c r="AU5" s="159"/>
      <c r="AV5" s="159"/>
      <c r="AW5" s="159"/>
      <c r="AX5" s="159" t="str">
        <f aca="false">IF(Eingabe!H9="","",Eingabe!H9)</f>
        <v/>
      </c>
      <c r="AY5" s="159"/>
      <c r="AZ5" s="159"/>
      <c r="BA5" s="159"/>
      <c r="BB5" s="161" t="str">
        <f aca="false">IF(Eingabe!K9="","",Eingabe!K9)</f>
        <v>Choc Kailh hotswap sockets</v>
      </c>
      <c r="BC5" s="161"/>
      <c r="BD5" s="161"/>
      <c r="BE5" s="161"/>
      <c r="BF5" s="161"/>
      <c r="BG5" s="161"/>
      <c r="BH5" s="161"/>
      <c r="BI5" s="161"/>
      <c r="BJ5" s="161"/>
      <c r="BK5" s="161"/>
      <c r="BL5" s="161"/>
      <c r="BM5" s="161"/>
      <c r="BN5" s="161"/>
      <c r="BO5" s="155"/>
      <c r="BP5" s="155"/>
      <c r="BQ5" s="155"/>
      <c r="BR5" s="155"/>
      <c r="BS5" s="155"/>
      <c r="BT5" s="155"/>
      <c r="BU5" s="155"/>
      <c r="BV5" s="155"/>
      <c r="BW5" s="155"/>
      <c r="BX5" s="155"/>
      <c r="BY5" s="155"/>
      <c r="BZ5" s="155"/>
      <c r="CA5" s="155"/>
      <c r="CB5" s="155"/>
      <c r="CC5" s="155"/>
      <c r="CD5" s="155"/>
      <c r="CE5" s="155"/>
      <c r="CF5" s="155"/>
      <c r="CG5" s="155"/>
      <c r="CH5" s="155"/>
      <c r="CI5" s="155"/>
      <c r="CJ5" s="155"/>
      <c r="CK5" s="155"/>
      <c r="CL5" s="155"/>
      <c r="CM5" s="155"/>
      <c r="CN5" s="155"/>
      <c r="CO5" s="155"/>
      <c r="CP5" s="155"/>
      <c r="CQ5" s="155"/>
      <c r="CR5" s="155"/>
      <c r="CS5" s="155"/>
      <c r="CT5" s="155"/>
      <c r="CU5" s="155"/>
      <c r="CV5" s="155"/>
      <c r="CW5" s="155"/>
      <c r="CX5" s="155"/>
      <c r="CY5" s="155"/>
      <c r="CZ5" s="155"/>
      <c r="DA5" s="155"/>
      <c r="DB5" s="155"/>
      <c r="DC5" s="155"/>
      <c r="DD5" s="155"/>
      <c r="DE5" s="155"/>
      <c r="DF5" s="155"/>
      <c r="DG5" s="155"/>
      <c r="DH5" s="155"/>
      <c r="DI5" s="155"/>
      <c r="DJ5" s="155"/>
      <c r="DK5" s="155"/>
      <c r="DL5" s="155"/>
      <c r="DM5" s="155"/>
      <c r="DN5" s="155"/>
      <c r="DO5" s="155"/>
      <c r="DP5" s="155"/>
      <c r="DQ5" s="155"/>
      <c r="DR5" s="155"/>
      <c r="DS5" s="155"/>
      <c r="DT5" s="155"/>
      <c r="DU5" s="155"/>
      <c r="DV5" s="155"/>
      <c r="DW5" s="155"/>
      <c r="DX5" s="155"/>
      <c r="DY5" s="155"/>
      <c r="DZ5" s="155"/>
      <c r="EA5" s="155"/>
      <c r="EB5" s="155"/>
      <c r="EC5" s="155"/>
      <c r="ED5" s="155"/>
      <c r="EE5" s="155"/>
      <c r="EF5" s="155"/>
      <c r="EG5" s="155"/>
      <c r="EH5" s="155"/>
      <c r="EI5" s="155"/>
      <c r="EJ5" s="155"/>
      <c r="EK5" s="155"/>
      <c r="EL5" s="155"/>
      <c r="EM5" s="155"/>
      <c r="EN5" s="155"/>
      <c r="EO5" s="155"/>
      <c r="EP5" s="155"/>
      <c r="EQ5" s="155"/>
      <c r="ER5" s="155"/>
      <c r="ES5" s="155"/>
      <c r="ET5" s="155"/>
      <c r="EU5" s="155"/>
      <c r="EV5" s="155"/>
      <c r="EW5" s="155"/>
      <c r="EX5" s="155"/>
      <c r="EY5" s="155"/>
      <c r="EZ5" s="155"/>
      <c r="FA5" s="155"/>
      <c r="FB5" s="155"/>
      <c r="FC5" s="155"/>
      <c r="FD5" s="155"/>
      <c r="FE5" s="155"/>
      <c r="FF5" s="155"/>
      <c r="FG5" s="155"/>
      <c r="FH5" s="155"/>
      <c r="FI5" s="155"/>
      <c r="FJ5" s="155"/>
      <c r="FK5" s="155"/>
      <c r="FL5" s="155"/>
      <c r="FM5" s="155"/>
      <c r="FN5" s="155"/>
      <c r="FO5" s="155"/>
      <c r="FP5" s="155"/>
      <c r="FQ5" s="155"/>
      <c r="FR5" s="155"/>
      <c r="FS5" s="155"/>
      <c r="FT5" s="155"/>
      <c r="FU5" s="155"/>
      <c r="FV5" s="155"/>
      <c r="FW5" s="155"/>
      <c r="FX5" s="155"/>
      <c r="FY5" s="155"/>
      <c r="FZ5" s="155"/>
      <c r="GA5" s="155"/>
      <c r="GB5" s="155"/>
      <c r="GC5" s="155"/>
      <c r="GD5" s="155"/>
      <c r="GE5" s="155"/>
      <c r="GF5" s="155"/>
      <c r="GG5" s="155"/>
      <c r="GH5" s="155"/>
      <c r="GI5" s="155"/>
      <c r="GJ5" s="155"/>
      <c r="GK5" s="155"/>
      <c r="GL5" s="155"/>
      <c r="GM5" s="155"/>
      <c r="GN5" s="155"/>
      <c r="GO5" s="155"/>
      <c r="GP5" s="155"/>
      <c r="GQ5" s="155"/>
      <c r="GR5" s="155"/>
      <c r="GS5" s="155"/>
      <c r="GT5" s="155"/>
      <c r="GU5" s="155"/>
      <c r="GV5" s="155"/>
      <c r="GW5" s="155"/>
      <c r="GX5" s="155"/>
      <c r="GY5" s="155"/>
      <c r="GZ5" s="155"/>
      <c r="HA5" s="155"/>
      <c r="HB5" s="155"/>
      <c r="HC5" s="155"/>
      <c r="HD5" s="155"/>
      <c r="HE5" s="155"/>
      <c r="HF5" s="155"/>
      <c r="HG5" s="155"/>
      <c r="HH5" s="155"/>
      <c r="HI5" s="155"/>
      <c r="HJ5" s="155"/>
      <c r="HK5" s="155"/>
      <c r="HL5" s="155"/>
      <c r="HM5" s="155"/>
      <c r="HN5" s="155"/>
      <c r="HO5" s="155"/>
      <c r="HP5" s="155"/>
      <c r="HQ5" s="155"/>
      <c r="HR5" s="155"/>
      <c r="HS5" s="155"/>
      <c r="HT5" s="155"/>
      <c r="HU5" s="155"/>
      <c r="HV5" s="155"/>
      <c r="HW5" s="155"/>
      <c r="HX5" s="155"/>
      <c r="HY5" s="155"/>
      <c r="HZ5" s="155"/>
      <c r="IA5" s="155"/>
      <c r="IB5" s="155"/>
      <c r="IC5" s="155"/>
      <c r="ID5" s="155"/>
      <c r="IE5" s="155"/>
      <c r="IF5" s="155"/>
      <c r="IG5" s="155"/>
      <c r="IH5" s="155"/>
      <c r="II5" s="155"/>
      <c r="IJ5" s="155"/>
      <c r="IK5" s="155"/>
      <c r="IL5" s="155"/>
      <c r="IM5" s="155"/>
      <c r="IN5" s="155"/>
      <c r="IO5" s="155"/>
      <c r="IP5" s="155"/>
      <c r="IQ5" s="155"/>
      <c r="IR5" s="155"/>
      <c r="IS5" s="155"/>
      <c r="IT5" s="155"/>
      <c r="IU5" s="155"/>
      <c r="IV5" s="155"/>
    </row>
    <row r="6" s="156" customFormat="true" ht="25.5" hidden="false" customHeight="true" outlineLevel="0" collapsed="false">
      <c r="A6" s="157" t="n">
        <f aca="false">IF(Eingabe!A10="","",Eingabe!A10)</f>
        <v>3</v>
      </c>
      <c r="B6" s="157"/>
      <c r="C6" s="157"/>
      <c r="D6" s="157"/>
      <c r="E6" s="158" t="n">
        <f aca="false">IF(Eingabe!B10="","",Eingabe!B10)</f>
        <v>40</v>
      </c>
      <c r="F6" s="158"/>
      <c r="G6" s="158"/>
      <c r="H6" s="158"/>
      <c r="I6" s="159" t="str">
        <f aca="false">IF(Eingabe!C10="","",Eingabe!C10)</f>
        <v>STK</v>
      </c>
      <c r="J6" s="159"/>
      <c r="K6" s="159"/>
      <c r="L6" s="159"/>
      <c r="M6" s="160" t="str">
        <f aca="false">IF(Eingabe!D10&amp;""&amp;Eingabe!E10="","",Eingabe!D10&amp;" 
"&amp;Eingabe!E10)</f>
        <v>1N4148 
DL1-20, DR1-20</v>
      </c>
      <c r="N6" s="160"/>
      <c r="O6" s="160"/>
      <c r="P6" s="160"/>
      <c r="Q6" s="160"/>
      <c r="R6" s="160"/>
      <c r="S6" s="160"/>
      <c r="T6" s="160"/>
      <c r="U6" s="160"/>
      <c r="V6" s="160"/>
      <c r="W6" s="160"/>
      <c r="X6" s="160"/>
      <c r="Y6" s="160"/>
      <c r="Z6" s="160"/>
      <c r="AA6" s="160"/>
      <c r="AB6" s="160"/>
      <c r="AC6" s="160"/>
      <c r="AD6" s="160"/>
      <c r="AE6" s="160"/>
      <c r="AF6" s="160"/>
      <c r="AG6" s="159" t="str">
        <f aca="false">IF(Eingabe!F10&amp;""&amp;Eingabe!G10="","",Eingabe!F10&amp;" 
"&amp;Eingabe!G10)</f>
        <v>s-grundner 
1N 4148</v>
      </c>
      <c r="AH6" s="159"/>
      <c r="AI6" s="159"/>
      <c r="AJ6" s="159"/>
      <c r="AK6" s="159"/>
      <c r="AL6" s="159"/>
      <c r="AM6" s="159"/>
      <c r="AN6" s="159"/>
      <c r="AO6" s="159"/>
      <c r="AP6" s="159"/>
      <c r="AQ6" s="159"/>
      <c r="AR6" s="159"/>
      <c r="AS6" s="159"/>
      <c r="AT6" s="159"/>
      <c r="AU6" s="159"/>
      <c r="AV6" s="159"/>
      <c r="AW6" s="159"/>
      <c r="AX6" s="159" t="str">
        <f aca="false">IF(Eingabe!H10="","",Eingabe!H10)</f>
        <v/>
      </c>
      <c r="AY6" s="159"/>
      <c r="AZ6" s="159"/>
      <c r="BA6" s="159"/>
      <c r="BB6" s="161" t="str">
        <f aca="false">IF(Eingabe!K10="","",Eingabe!K10)</f>
        <v>THT version</v>
      </c>
      <c r="BC6" s="161"/>
      <c r="BD6" s="161"/>
      <c r="BE6" s="161"/>
      <c r="BF6" s="161"/>
      <c r="BG6" s="161"/>
      <c r="BH6" s="161"/>
      <c r="BI6" s="161"/>
      <c r="BJ6" s="161"/>
      <c r="BK6" s="161"/>
      <c r="BL6" s="161"/>
      <c r="BM6" s="161"/>
      <c r="BN6" s="161"/>
      <c r="BO6" s="155"/>
      <c r="BP6" s="155"/>
      <c r="BQ6" s="155"/>
      <c r="BR6" s="155"/>
      <c r="BS6" s="155"/>
      <c r="BT6" s="155"/>
      <c r="BU6" s="155"/>
      <c r="BV6" s="155"/>
      <c r="BW6" s="155"/>
      <c r="BX6" s="155"/>
      <c r="BY6" s="155"/>
      <c r="BZ6" s="155"/>
      <c r="CA6" s="155"/>
      <c r="CB6" s="155"/>
      <c r="CC6" s="155"/>
      <c r="CD6" s="155"/>
      <c r="CE6" s="155"/>
      <c r="CF6" s="155"/>
      <c r="CG6" s="155"/>
      <c r="CH6" s="155"/>
      <c r="CI6" s="155"/>
      <c r="CJ6" s="155"/>
      <c r="CK6" s="155"/>
      <c r="CL6" s="155"/>
      <c r="CM6" s="155"/>
      <c r="CN6" s="155"/>
      <c r="CO6" s="155"/>
      <c r="CP6" s="155"/>
      <c r="CQ6" s="155"/>
      <c r="CR6" s="155"/>
      <c r="CS6" s="155"/>
      <c r="CT6" s="155"/>
      <c r="CU6" s="155"/>
      <c r="CV6" s="155"/>
      <c r="CW6" s="155"/>
      <c r="CX6" s="155"/>
      <c r="CY6" s="155"/>
      <c r="CZ6" s="155"/>
      <c r="DA6" s="155"/>
      <c r="DB6" s="155"/>
      <c r="DC6" s="155"/>
      <c r="DD6" s="155"/>
      <c r="DE6" s="155"/>
      <c r="DF6" s="155"/>
      <c r="DG6" s="155"/>
      <c r="DH6" s="155"/>
      <c r="DI6" s="155"/>
      <c r="DJ6" s="155"/>
      <c r="DK6" s="155"/>
      <c r="DL6" s="155"/>
      <c r="DM6" s="155"/>
      <c r="DN6" s="155"/>
      <c r="DO6" s="155"/>
      <c r="DP6" s="155"/>
      <c r="DQ6" s="155"/>
      <c r="DR6" s="155"/>
      <c r="DS6" s="155"/>
      <c r="DT6" s="155"/>
      <c r="DU6" s="155"/>
      <c r="DV6" s="155"/>
      <c r="DW6" s="155"/>
      <c r="DX6" s="155"/>
      <c r="DY6" s="155"/>
      <c r="DZ6" s="155"/>
      <c r="EA6" s="155"/>
      <c r="EB6" s="155"/>
      <c r="EC6" s="155"/>
      <c r="ED6" s="155"/>
      <c r="EE6" s="155"/>
      <c r="EF6" s="155"/>
      <c r="EG6" s="155"/>
      <c r="EH6" s="155"/>
      <c r="EI6" s="155"/>
      <c r="EJ6" s="155"/>
      <c r="EK6" s="155"/>
      <c r="EL6" s="155"/>
      <c r="EM6" s="155"/>
      <c r="EN6" s="155"/>
      <c r="EO6" s="155"/>
      <c r="EP6" s="155"/>
      <c r="EQ6" s="155"/>
      <c r="ER6" s="155"/>
      <c r="ES6" s="155"/>
      <c r="ET6" s="155"/>
      <c r="EU6" s="155"/>
      <c r="EV6" s="155"/>
      <c r="EW6" s="155"/>
      <c r="EX6" s="155"/>
      <c r="EY6" s="155"/>
      <c r="EZ6" s="155"/>
      <c r="FA6" s="155"/>
      <c r="FB6" s="155"/>
      <c r="FC6" s="155"/>
      <c r="FD6" s="155"/>
      <c r="FE6" s="155"/>
      <c r="FF6" s="155"/>
      <c r="FG6" s="155"/>
      <c r="FH6" s="155"/>
      <c r="FI6" s="155"/>
      <c r="FJ6" s="155"/>
      <c r="FK6" s="155"/>
      <c r="FL6" s="155"/>
      <c r="FM6" s="155"/>
      <c r="FN6" s="155"/>
      <c r="FO6" s="155"/>
      <c r="FP6" s="155"/>
      <c r="FQ6" s="155"/>
      <c r="FR6" s="155"/>
      <c r="FS6" s="155"/>
      <c r="FT6" s="155"/>
      <c r="FU6" s="155"/>
      <c r="FV6" s="155"/>
      <c r="FW6" s="155"/>
      <c r="FX6" s="155"/>
      <c r="FY6" s="155"/>
      <c r="FZ6" s="155"/>
      <c r="GA6" s="155"/>
      <c r="GB6" s="155"/>
      <c r="GC6" s="155"/>
      <c r="GD6" s="155"/>
      <c r="GE6" s="155"/>
      <c r="GF6" s="155"/>
      <c r="GG6" s="155"/>
      <c r="GH6" s="155"/>
      <c r="GI6" s="155"/>
      <c r="GJ6" s="155"/>
      <c r="GK6" s="155"/>
      <c r="GL6" s="155"/>
      <c r="GM6" s="155"/>
      <c r="GN6" s="155"/>
      <c r="GO6" s="155"/>
      <c r="GP6" s="155"/>
      <c r="GQ6" s="155"/>
      <c r="GR6" s="155"/>
      <c r="GS6" s="155"/>
      <c r="GT6" s="155"/>
      <c r="GU6" s="155"/>
      <c r="GV6" s="155"/>
      <c r="GW6" s="155"/>
      <c r="GX6" s="155"/>
      <c r="GY6" s="155"/>
      <c r="GZ6" s="155"/>
      <c r="HA6" s="155"/>
      <c r="HB6" s="155"/>
      <c r="HC6" s="155"/>
      <c r="HD6" s="155"/>
      <c r="HE6" s="155"/>
      <c r="HF6" s="155"/>
      <c r="HG6" s="155"/>
      <c r="HH6" s="155"/>
      <c r="HI6" s="155"/>
      <c r="HJ6" s="155"/>
      <c r="HK6" s="155"/>
      <c r="HL6" s="155"/>
      <c r="HM6" s="155"/>
      <c r="HN6" s="155"/>
      <c r="HO6" s="155"/>
      <c r="HP6" s="155"/>
      <c r="HQ6" s="155"/>
      <c r="HR6" s="155"/>
      <c r="HS6" s="155"/>
      <c r="HT6" s="155"/>
      <c r="HU6" s="155"/>
      <c r="HV6" s="155"/>
      <c r="HW6" s="155"/>
      <c r="HX6" s="155"/>
      <c r="HY6" s="155"/>
      <c r="HZ6" s="155"/>
      <c r="IA6" s="155"/>
      <c r="IB6" s="155"/>
      <c r="IC6" s="155"/>
      <c r="ID6" s="155"/>
      <c r="IE6" s="155"/>
      <c r="IF6" s="155"/>
      <c r="IG6" s="155"/>
      <c r="IH6" s="155"/>
      <c r="II6" s="155"/>
      <c r="IJ6" s="155"/>
      <c r="IK6" s="155"/>
      <c r="IL6" s="155"/>
      <c r="IM6" s="155"/>
      <c r="IN6" s="155"/>
      <c r="IO6" s="155"/>
      <c r="IP6" s="155"/>
      <c r="IQ6" s="155"/>
      <c r="IR6" s="155"/>
      <c r="IS6" s="155"/>
      <c r="IT6" s="155"/>
      <c r="IU6" s="155"/>
      <c r="IV6" s="155"/>
    </row>
    <row r="7" s="156" customFormat="true" ht="25.5" hidden="false" customHeight="true" outlineLevel="0" collapsed="false">
      <c r="A7" s="157" t="n">
        <f aca="false">IF(Eingabe!A11="","",Eingabe!A11)</f>
        <v>4</v>
      </c>
      <c r="B7" s="157"/>
      <c r="C7" s="157"/>
      <c r="D7" s="157"/>
      <c r="E7" s="158" t="n">
        <f aca="false">IF(Eingabe!B11="","",Eingabe!B11)</f>
        <v>2</v>
      </c>
      <c r="F7" s="158"/>
      <c r="G7" s="158"/>
      <c r="H7" s="158"/>
      <c r="I7" s="159" t="str">
        <f aca="false">IF(Eingabe!C11="","",Eingabe!C11)</f>
        <v>STK</v>
      </c>
      <c r="J7" s="159"/>
      <c r="K7" s="159"/>
      <c r="L7" s="159"/>
      <c r="M7" s="160" t="str">
        <f aca="false">IF(Eingabe!D11&amp;""&amp;Eingabe!E11="","",Eingabe!D11&amp;" 
"&amp;Eingabe!E11)</f>
        <v>Reset Button 
RSW1,2</v>
      </c>
      <c r="N7" s="160"/>
      <c r="O7" s="160"/>
      <c r="P7" s="160"/>
      <c r="Q7" s="160"/>
      <c r="R7" s="160"/>
      <c r="S7" s="160"/>
      <c r="T7" s="160"/>
      <c r="U7" s="160"/>
      <c r="V7" s="160"/>
      <c r="W7" s="160"/>
      <c r="X7" s="160"/>
      <c r="Y7" s="160"/>
      <c r="Z7" s="160"/>
      <c r="AA7" s="160"/>
      <c r="AB7" s="160"/>
      <c r="AC7" s="160"/>
      <c r="AD7" s="160"/>
      <c r="AE7" s="160"/>
      <c r="AF7" s="160"/>
      <c r="AG7" s="159" t="str">
        <f aca="false">IF(Eingabe!F11&amp;""&amp;Eingabe!G11="","",Eingabe!F11&amp;" 
"&amp;Eingabe!G11)</f>
        <v>keeb.supply 
SKHLLCA010</v>
      </c>
      <c r="AH7" s="159"/>
      <c r="AI7" s="159"/>
      <c r="AJ7" s="159"/>
      <c r="AK7" s="159"/>
      <c r="AL7" s="159"/>
      <c r="AM7" s="159"/>
      <c r="AN7" s="159"/>
      <c r="AO7" s="159"/>
      <c r="AP7" s="159"/>
      <c r="AQ7" s="159"/>
      <c r="AR7" s="159"/>
      <c r="AS7" s="159"/>
      <c r="AT7" s="159"/>
      <c r="AU7" s="159"/>
      <c r="AV7" s="159"/>
      <c r="AW7" s="159"/>
      <c r="AX7" s="159" t="str">
        <f aca="false">IF(Eingabe!H11="","",Eingabe!H11)</f>
        <v/>
      </c>
      <c r="AY7" s="159"/>
      <c r="AZ7" s="159"/>
      <c r="BA7" s="159"/>
      <c r="BB7" s="161" t="str">
        <f aca="false">IF(Eingabe!K11="","",Eingabe!K11)</f>
        <v>Alps</v>
      </c>
      <c r="BC7" s="161"/>
      <c r="BD7" s="161"/>
      <c r="BE7" s="161"/>
      <c r="BF7" s="161"/>
      <c r="BG7" s="161"/>
      <c r="BH7" s="161"/>
      <c r="BI7" s="161"/>
      <c r="BJ7" s="161"/>
      <c r="BK7" s="161"/>
      <c r="BL7" s="161"/>
      <c r="BM7" s="161"/>
      <c r="BN7" s="161"/>
      <c r="BO7" s="155"/>
      <c r="BP7" s="155"/>
      <c r="BQ7" s="155"/>
      <c r="BR7" s="155"/>
      <c r="BS7" s="155"/>
      <c r="BT7" s="155"/>
      <c r="BU7" s="155"/>
      <c r="BV7" s="155"/>
      <c r="BW7" s="155"/>
      <c r="BX7" s="155"/>
      <c r="BY7" s="155"/>
      <c r="BZ7" s="155"/>
      <c r="CA7" s="155"/>
      <c r="CB7" s="155"/>
      <c r="CC7" s="155"/>
      <c r="CD7" s="155"/>
      <c r="CE7" s="155"/>
      <c r="CF7" s="155"/>
      <c r="CG7" s="155"/>
      <c r="CH7" s="155"/>
      <c r="CI7" s="155"/>
      <c r="CJ7" s="155"/>
      <c r="CK7" s="155"/>
      <c r="CL7" s="155"/>
      <c r="CM7" s="155"/>
      <c r="CN7" s="155"/>
      <c r="CO7" s="155"/>
      <c r="CP7" s="155"/>
      <c r="CQ7" s="155"/>
      <c r="CR7" s="155"/>
      <c r="CS7" s="155"/>
      <c r="CT7" s="155"/>
      <c r="CU7" s="155"/>
      <c r="CV7" s="155"/>
      <c r="CW7" s="155"/>
      <c r="CX7" s="155"/>
      <c r="CY7" s="155"/>
      <c r="CZ7" s="155"/>
      <c r="DA7" s="155"/>
      <c r="DB7" s="155"/>
      <c r="DC7" s="155"/>
      <c r="DD7" s="155"/>
      <c r="DE7" s="155"/>
      <c r="DF7" s="155"/>
      <c r="DG7" s="155"/>
      <c r="DH7" s="155"/>
      <c r="DI7" s="155"/>
      <c r="DJ7" s="155"/>
      <c r="DK7" s="155"/>
      <c r="DL7" s="155"/>
      <c r="DM7" s="155"/>
      <c r="DN7" s="155"/>
      <c r="DO7" s="155"/>
      <c r="DP7" s="155"/>
      <c r="DQ7" s="155"/>
      <c r="DR7" s="155"/>
      <c r="DS7" s="155"/>
      <c r="DT7" s="155"/>
      <c r="DU7" s="155"/>
      <c r="DV7" s="155"/>
      <c r="DW7" s="155"/>
      <c r="DX7" s="155"/>
      <c r="DY7" s="155"/>
      <c r="DZ7" s="155"/>
      <c r="EA7" s="155"/>
      <c r="EB7" s="155"/>
      <c r="EC7" s="155"/>
      <c r="ED7" s="155"/>
      <c r="EE7" s="155"/>
      <c r="EF7" s="155"/>
      <c r="EG7" s="155"/>
      <c r="EH7" s="155"/>
      <c r="EI7" s="155"/>
      <c r="EJ7" s="155"/>
      <c r="EK7" s="155"/>
      <c r="EL7" s="155"/>
      <c r="EM7" s="155"/>
      <c r="EN7" s="155"/>
      <c r="EO7" s="155"/>
      <c r="EP7" s="155"/>
      <c r="EQ7" s="155"/>
      <c r="ER7" s="155"/>
      <c r="ES7" s="155"/>
      <c r="ET7" s="155"/>
      <c r="EU7" s="155"/>
      <c r="EV7" s="155"/>
      <c r="EW7" s="155"/>
      <c r="EX7" s="155"/>
      <c r="EY7" s="155"/>
      <c r="EZ7" s="155"/>
      <c r="FA7" s="155"/>
      <c r="FB7" s="155"/>
      <c r="FC7" s="155"/>
      <c r="FD7" s="155"/>
      <c r="FE7" s="155"/>
      <c r="FF7" s="155"/>
      <c r="FG7" s="155"/>
      <c r="FH7" s="155"/>
      <c r="FI7" s="155"/>
      <c r="FJ7" s="155"/>
      <c r="FK7" s="155"/>
      <c r="FL7" s="155"/>
      <c r="FM7" s="155"/>
      <c r="FN7" s="155"/>
      <c r="FO7" s="155"/>
      <c r="FP7" s="155"/>
      <c r="FQ7" s="155"/>
      <c r="FR7" s="155"/>
      <c r="FS7" s="155"/>
      <c r="FT7" s="155"/>
      <c r="FU7" s="155"/>
      <c r="FV7" s="155"/>
      <c r="FW7" s="155"/>
      <c r="FX7" s="155"/>
      <c r="FY7" s="155"/>
      <c r="FZ7" s="155"/>
      <c r="GA7" s="155"/>
      <c r="GB7" s="155"/>
      <c r="GC7" s="155"/>
      <c r="GD7" s="155"/>
      <c r="GE7" s="155"/>
      <c r="GF7" s="155"/>
      <c r="GG7" s="155"/>
      <c r="GH7" s="155"/>
      <c r="GI7" s="155"/>
      <c r="GJ7" s="155"/>
      <c r="GK7" s="155"/>
      <c r="GL7" s="155"/>
      <c r="GM7" s="155"/>
      <c r="GN7" s="155"/>
      <c r="GO7" s="155"/>
      <c r="GP7" s="155"/>
      <c r="GQ7" s="155"/>
      <c r="GR7" s="155"/>
      <c r="GS7" s="155"/>
      <c r="GT7" s="155"/>
      <c r="GU7" s="155"/>
      <c r="GV7" s="155"/>
      <c r="GW7" s="155"/>
      <c r="GX7" s="155"/>
      <c r="GY7" s="155"/>
      <c r="GZ7" s="155"/>
      <c r="HA7" s="155"/>
      <c r="HB7" s="155"/>
      <c r="HC7" s="155"/>
      <c r="HD7" s="155"/>
      <c r="HE7" s="155"/>
      <c r="HF7" s="155"/>
      <c r="HG7" s="155"/>
      <c r="HH7" s="155"/>
      <c r="HI7" s="155"/>
      <c r="HJ7" s="155"/>
      <c r="HK7" s="155"/>
      <c r="HL7" s="155"/>
      <c r="HM7" s="155"/>
      <c r="HN7" s="155"/>
      <c r="HO7" s="155"/>
      <c r="HP7" s="155"/>
      <c r="HQ7" s="155"/>
      <c r="HR7" s="155"/>
      <c r="HS7" s="155"/>
      <c r="HT7" s="155"/>
      <c r="HU7" s="155"/>
      <c r="HV7" s="155"/>
      <c r="HW7" s="155"/>
      <c r="HX7" s="155"/>
      <c r="HY7" s="155"/>
      <c r="HZ7" s="155"/>
      <c r="IA7" s="155"/>
      <c r="IB7" s="155"/>
      <c r="IC7" s="155"/>
      <c r="ID7" s="155"/>
      <c r="IE7" s="155"/>
      <c r="IF7" s="155"/>
      <c r="IG7" s="155"/>
      <c r="IH7" s="155"/>
      <c r="II7" s="155"/>
      <c r="IJ7" s="155"/>
      <c r="IK7" s="155"/>
      <c r="IL7" s="155"/>
      <c r="IM7" s="155"/>
      <c r="IN7" s="155"/>
      <c r="IO7" s="155"/>
      <c r="IP7" s="155"/>
      <c r="IQ7" s="155"/>
      <c r="IR7" s="155"/>
      <c r="IS7" s="155"/>
      <c r="IT7" s="155"/>
      <c r="IU7" s="155"/>
      <c r="IV7" s="155"/>
    </row>
    <row r="8" s="156" customFormat="true" ht="25.5" hidden="false" customHeight="true" outlineLevel="0" collapsed="false">
      <c r="A8" s="157" t="n">
        <f aca="false">IF(Eingabe!A12="","",Eingabe!A12)</f>
        <v>5</v>
      </c>
      <c r="B8" s="157"/>
      <c r="C8" s="157"/>
      <c r="D8" s="157"/>
      <c r="E8" s="158" t="n">
        <f aca="false">IF(Eingabe!B12="","",Eingabe!B12)</f>
        <v>1</v>
      </c>
      <c r="F8" s="158"/>
      <c r="G8" s="158"/>
      <c r="H8" s="158"/>
      <c r="I8" s="159" t="str">
        <f aca="false">IF(Eingabe!C12="","",Eingabe!C12)</f>
        <v>STK</v>
      </c>
      <c r="J8" s="159"/>
      <c r="K8" s="159"/>
      <c r="L8" s="159"/>
      <c r="M8" s="160" t="str">
        <f aca="false">IF(Eingabe!D12&amp;""&amp;Eingabe!E12="","",Eingabe!D12&amp;" 
"&amp;Eingabe!E12)</f>
        <v>PCB 
</v>
      </c>
      <c r="N8" s="160"/>
      <c r="O8" s="160"/>
      <c r="P8" s="160"/>
      <c r="Q8" s="160"/>
      <c r="R8" s="160"/>
      <c r="S8" s="160"/>
      <c r="T8" s="160"/>
      <c r="U8" s="160"/>
      <c r="V8" s="160"/>
      <c r="W8" s="160"/>
      <c r="X8" s="160"/>
      <c r="Y8" s="160"/>
      <c r="Z8" s="160"/>
      <c r="AA8" s="160"/>
      <c r="AB8" s="160"/>
      <c r="AC8" s="160"/>
      <c r="AD8" s="160"/>
      <c r="AE8" s="160"/>
      <c r="AF8" s="160"/>
      <c r="AG8" s="159" t="str">
        <f aca="false">IF(Eingabe!F12&amp;""&amp;Eingabe!G12="","",Eingabe!F12&amp;" 
"&amp;Eingabe!G12)</f>
        <v>l-langegger 
</v>
      </c>
      <c r="AH8" s="159"/>
      <c r="AI8" s="159"/>
      <c r="AJ8" s="159"/>
      <c r="AK8" s="159"/>
      <c r="AL8" s="159"/>
      <c r="AM8" s="159"/>
      <c r="AN8" s="159"/>
      <c r="AO8" s="159"/>
      <c r="AP8" s="159"/>
      <c r="AQ8" s="159"/>
      <c r="AR8" s="159"/>
      <c r="AS8" s="159"/>
      <c r="AT8" s="159"/>
      <c r="AU8" s="159"/>
      <c r="AV8" s="159"/>
      <c r="AW8" s="159"/>
      <c r="AX8" s="159" t="str">
        <f aca="false">IF(Eingabe!H12="","",Eingabe!H12)</f>
        <v/>
      </c>
      <c r="AY8" s="159"/>
      <c r="AZ8" s="159"/>
      <c r="BA8" s="159"/>
      <c r="BB8" s="161" t="str">
        <f aca="false">IF(Eingabe!K12="","",Eingabe!K12)</f>
        <v>PCB-Way via Sammelbestellung</v>
      </c>
      <c r="BC8" s="161"/>
      <c r="BD8" s="161"/>
      <c r="BE8" s="161"/>
      <c r="BF8" s="161"/>
      <c r="BG8" s="161"/>
      <c r="BH8" s="161"/>
      <c r="BI8" s="161"/>
      <c r="BJ8" s="161"/>
      <c r="BK8" s="161"/>
      <c r="BL8" s="161"/>
      <c r="BM8" s="161"/>
      <c r="BN8" s="161"/>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c r="CR8" s="155"/>
      <c r="CS8" s="155"/>
      <c r="CT8" s="155"/>
      <c r="CU8" s="155"/>
      <c r="CV8" s="155"/>
      <c r="CW8" s="155"/>
      <c r="CX8" s="155"/>
      <c r="CY8" s="155"/>
      <c r="CZ8" s="155"/>
      <c r="DA8" s="155"/>
      <c r="DB8" s="155"/>
      <c r="DC8" s="155"/>
      <c r="DD8" s="155"/>
      <c r="DE8" s="155"/>
      <c r="DF8" s="155"/>
      <c r="DG8" s="155"/>
      <c r="DH8" s="155"/>
      <c r="DI8" s="155"/>
      <c r="DJ8" s="155"/>
      <c r="DK8" s="155"/>
      <c r="DL8" s="155"/>
      <c r="DM8" s="155"/>
      <c r="DN8" s="155"/>
      <c r="DO8" s="155"/>
      <c r="DP8" s="155"/>
      <c r="DQ8" s="155"/>
      <c r="DR8" s="155"/>
      <c r="DS8" s="155"/>
      <c r="DT8" s="155"/>
      <c r="DU8" s="155"/>
      <c r="DV8" s="155"/>
      <c r="DW8" s="155"/>
      <c r="DX8" s="155"/>
      <c r="DY8" s="155"/>
      <c r="DZ8" s="155"/>
      <c r="EA8" s="155"/>
      <c r="EB8" s="155"/>
      <c r="EC8" s="155"/>
      <c r="ED8" s="155"/>
      <c r="EE8" s="155"/>
      <c r="EF8" s="155"/>
      <c r="EG8" s="155"/>
      <c r="EH8" s="155"/>
      <c r="EI8" s="155"/>
      <c r="EJ8" s="155"/>
      <c r="EK8" s="155"/>
      <c r="EL8" s="155"/>
      <c r="EM8" s="155"/>
      <c r="EN8" s="155"/>
      <c r="EO8" s="155"/>
      <c r="EP8" s="155"/>
      <c r="EQ8" s="155"/>
      <c r="ER8" s="155"/>
      <c r="ES8" s="155"/>
      <c r="ET8" s="155"/>
      <c r="EU8" s="155"/>
      <c r="EV8" s="155"/>
      <c r="EW8" s="155"/>
      <c r="EX8" s="155"/>
      <c r="EY8" s="155"/>
      <c r="EZ8" s="155"/>
      <c r="FA8" s="155"/>
      <c r="FB8" s="155"/>
      <c r="FC8" s="155"/>
      <c r="FD8" s="155"/>
      <c r="FE8" s="155"/>
      <c r="FF8" s="155"/>
      <c r="FG8" s="155"/>
      <c r="FH8" s="155"/>
      <c r="FI8" s="155"/>
      <c r="FJ8" s="155"/>
      <c r="FK8" s="155"/>
      <c r="FL8" s="155"/>
      <c r="FM8" s="155"/>
      <c r="FN8" s="155"/>
      <c r="FO8" s="155"/>
      <c r="FP8" s="155"/>
      <c r="FQ8" s="155"/>
      <c r="FR8" s="155"/>
      <c r="FS8" s="155"/>
      <c r="FT8" s="155"/>
      <c r="FU8" s="155"/>
      <c r="FV8" s="155"/>
      <c r="FW8" s="155"/>
      <c r="FX8" s="155"/>
      <c r="FY8" s="155"/>
      <c r="FZ8" s="155"/>
      <c r="GA8" s="155"/>
      <c r="GB8" s="155"/>
      <c r="GC8" s="155"/>
      <c r="GD8" s="155"/>
      <c r="GE8" s="155"/>
      <c r="GF8" s="155"/>
      <c r="GG8" s="155"/>
      <c r="GH8" s="155"/>
      <c r="GI8" s="155"/>
      <c r="GJ8" s="155"/>
      <c r="GK8" s="155"/>
      <c r="GL8" s="155"/>
      <c r="GM8" s="155"/>
      <c r="GN8" s="155"/>
      <c r="GO8" s="155"/>
      <c r="GP8" s="155"/>
      <c r="GQ8" s="155"/>
      <c r="GR8" s="155"/>
      <c r="GS8" s="155"/>
      <c r="GT8" s="155"/>
      <c r="GU8" s="155"/>
      <c r="GV8" s="155"/>
      <c r="GW8" s="155"/>
      <c r="GX8" s="155"/>
      <c r="GY8" s="155"/>
      <c r="GZ8" s="155"/>
      <c r="HA8" s="155"/>
      <c r="HB8" s="155"/>
      <c r="HC8" s="155"/>
      <c r="HD8" s="155"/>
      <c r="HE8" s="155"/>
      <c r="HF8" s="155"/>
      <c r="HG8" s="155"/>
      <c r="HH8" s="155"/>
      <c r="HI8" s="155"/>
      <c r="HJ8" s="155"/>
      <c r="HK8" s="155"/>
      <c r="HL8" s="155"/>
      <c r="HM8" s="155"/>
      <c r="HN8" s="155"/>
      <c r="HO8" s="155"/>
      <c r="HP8" s="155"/>
      <c r="HQ8" s="155"/>
      <c r="HR8" s="155"/>
      <c r="HS8" s="155"/>
      <c r="HT8" s="155"/>
      <c r="HU8" s="155"/>
      <c r="HV8" s="155"/>
      <c r="HW8" s="155"/>
      <c r="HX8" s="155"/>
      <c r="HY8" s="155"/>
      <c r="HZ8" s="155"/>
      <c r="IA8" s="155"/>
      <c r="IB8" s="155"/>
      <c r="IC8" s="155"/>
      <c r="ID8" s="155"/>
      <c r="IE8" s="155"/>
      <c r="IF8" s="155"/>
      <c r="IG8" s="155"/>
      <c r="IH8" s="155"/>
      <c r="II8" s="155"/>
      <c r="IJ8" s="155"/>
      <c r="IK8" s="155"/>
      <c r="IL8" s="155"/>
      <c r="IM8" s="155"/>
      <c r="IN8" s="155"/>
      <c r="IO8" s="155"/>
      <c r="IP8" s="155"/>
      <c r="IQ8" s="155"/>
      <c r="IR8" s="155"/>
      <c r="IS8" s="155"/>
      <c r="IT8" s="155"/>
      <c r="IU8" s="155"/>
      <c r="IV8" s="155"/>
    </row>
    <row r="9" s="156" customFormat="true" ht="25.5" hidden="false" customHeight="true" outlineLevel="0" collapsed="false">
      <c r="A9" s="157" t="n">
        <f aca="false">IF(Eingabe!A13="","",Eingabe!A13)</f>
        <v>6</v>
      </c>
      <c r="B9" s="157"/>
      <c r="C9" s="157"/>
      <c r="D9" s="157"/>
      <c r="E9" s="158" t="n">
        <f aca="false">IF(Eingabe!B13="","",Eingabe!B13)</f>
        <v>2</v>
      </c>
      <c r="F9" s="158"/>
      <c r="G9" s="158"/>
      <c r="H9" s="158"/>
      <c r="I9" s="159" t="str">
        <f aca="false">IF(Eingabe!C13="","",Eingabe!C13)</f>
        <v>STK</v>
      </c>
      <c r="J9" s="159"/>
      <c r="K9" s="159"/>
      <c r="L9" s="159"/>
      <c r="M9" s="160" t="str">
        <f aca="false">IF(Eingabe!D13&amp;""&amp;Eingabe!E13="","",Eingabe!D13&amp;" 
"&amp;Eingabe!E13)</f>
        <v>LiPo Akku 3.7V 
</v>
      </c>
      <c r="N9" s="160"/>
      <c r="O9" s="160"/>
      <c r="P9" s="160"/>
      <c r="Q9" s="160"/>
      <c r="R9" s="160"/>
      <c r="S9" s="160"/>
      <c r="T9" s="160"/>
      <c r="U9" s="160"/>
      <c r="V9" s="160"/>
      <c r="W9" s="160"/>
      <c r="X9" s="160"/>
      <c r="Y9" s="160"/>
      <c r="Z9" s="160"/>
      <c r="AA9" s="160"/>
      <c r="AB9" s="160"/>
      <c r="AC9" s="160"/>
      <c r="AD9" s="160"/>
      <c r="AE9" s="160"/>
      <c r="AF9" s="160"/>
      <c r="AG9" s="159" t="str">
        <f aca="false">IF(Eingabe!F13&amp;""&amp;Eingabe!G13="","",Eingabe!F13&amp;" 
"&amp;Eingabe!G13)</f>
        <v>reichelt.de 
AKKU 30851</v>
      </c>
      <c r="AH9" s="159"/>
      <c r="AI9" s="159"/>
      <c r="AJ9" s="159"/>
      <c r="AK9" s="159"/>
      <c r="AL9" s="159"/>
      <c r="AM9" s="159"/>
      <c r="AN9" s="159"/>
      <c r="AO9" s="159"/>
      <c r="AP9" s="159"/>
      <c r="AQ9" s="159"/>
      <c r="AR9" s="159"/>
      <c r="AS9" s="159"/>
      <c r="AT9" s="159"/>
      <c r="AU9" s="159"/>
      <c r="AV9" s="159"/>
      <c r="AW9" s="159"/>
      <c r="AX9" s="159" t="str">
        <f aca="false">IF(Eingabe!H13="","",Eingabe!H13)</f>
        <v/>
      </c>
      <c r="AY9" s="159"/>
      <c r="AZ9" s="159"/>
      <c r="BA9" s="159"/>
      <c r="BB9" s="161" t="str">
        <f aca="false">IF(Eingabe!K13="","",Eingabe!K13)</f>
        <v>140mAh, L=24.4mm, B=13.1mm, H=6.1mm</v>
      </c>
      <c r="BC9" s="161"/>
      <c r="BD9" s="161"/>
      <c r="BE9" s="161"/>
      <c r="BF9" s="161"/>
      <c r="BG9" s="161"/>
      <c r="BH9" s="161"/>
      <c r="BI9" s="161"/>
      <c r="BJ9" s="161"/>
      <c r="BK9" s="161"/>
      <c r="BL9" s="161"/>
      <c r="BM9" s="161"/>
      <c r="BN9" s="161"/>
      <c r="BO9" s="155"/>
      <c r="BP9" s="155"/>
      <c r="BQ9" s="155"/>
      <c r="BR9" s="155"/>
      <c r="BS9" s="155"/>
      <c r="BT9" s="155"/>
      <c r="BU9" s="155"/>
      <c r="BV9" s="155"/>
      <c r="BW9" s="155"/>
      <c r="BX9" s="155"/>
      <c r="BY9" s="155"/>
      <c r="BZ9" s="155"/>
      <c r="CA9" s="155"/>
      <c r="CB9" s="155"/>
      <c r="CC9" s="155"/>
      <c r="CD9" s="155"/>
      <c r="CE9" s="155"/>
      <c r="CF9" s="155"/>
      <c r="CG9" s="155"/>
      <c r="CH9" s="155"/>
      <c r="CI9" s="155"/>
      <c r="CJ9" s="155"/>
      <c r="CK9" s="155"/>
      <c r="CL9" s="155"/>
      <c r="CM9" s="155"/>
      <c r="CN9" s="155"/>
      <c r="CO9" s="155"/>
      <c r="CP9" s="155"/>
      <c r="CQ9" s="155"/>
      <c r="CR9" s="155"/>
      <c r="CS9" s="155"/>
      <c r="CT9" s="155"/>
      <c r="CU9" s="155"/>
      <c r="CV9" s="155"/>
      <c r="CW9" s="155"/>
      <c r="CX9" s="155"/>
      <c r="CY9" s="155"/>
      <c r="CZ9" s="155"/>
      <c r="DA9" s="155"/>
      <c r="DB9" s="155"/>
      <c r="DC9" s="155"/>
      <c r="DD9" s="155"/>
      <c r="DE9" s="155"/>
      <c r="DF9" s="155"/>
      <c r="DG9" s="155"/>
      <c r="DH9" s="155"/>
      <c r="DI9" s="155"/>
      <c r="DJ9" s="155"/>
      <c r="DK9" s="155"/>
      <c r="DL9" s="155"/>
      <c r="DM9" s="155"/>
      <c r="DN9" s="155"/>
      <c r="DO9" s="155"/>
      <c r="DP9" s="155"/>
      <c r="DQ9" s="155"/>
      <c r="DR9" s="155"/>
      <c r="DS9" s="155"/>
      <c r="DT9" s="155"/>
      <c r="DU9" s="155"/>
      <c r="DV9" s="155"/>
      <c r="DW9" s="155"/>
      <c r="DX9" s="155"/>
      <c r="DY9" s="155"/>
      <c r="DZ9" s="155"/>
      <c r="EA9" s="155"/>
      <c r="EB9" s="155"/>
      <c r="EC9" s="155"/>
      <c r="ED9" s="155"/>
      <c r="EE9" s="155"/>
      <c r="EF9" s="155"/>
      <c r="EG9" s="155"/>
      <c r="EH9" s="155"/>
      <c r="EI9" s="155"/>
      <c r="EJ9" s="155"/>
      <c r="EK9" s="155"/>
      <c r="EL9" s="155"/>
      <c r="EM9" s="155"/>
      <c r="EN9" s="155"/>
      <c r="EO9" s="155"/>
      <c r="EP9" s="155"/>
      <c r="EQ9" s="155"/>
      <c r="ER9" s="155"/>
      <c r="ES9" s="155"/>
      <c r="ET9" s="155"/>
      <c r="EU9" s="155"/>
      <c r="EV9" s="155"/>
      <c r="EW9" s="155"/>
      <c r="EX9" s="155"/>
      <c r="EY9" s="155"/>
      <c r="EZ9" s="155"/>
      <c r="FA9" s="155"/>
      <c r="FB9" s="155"/>
      <c r="FC9" s="155"/>
      <c r="FD9" s="155"/>
      <c r="FE9" s="155"/>
      <c r="FF9" s="155"/>
      <c r="FG9" s="155"/>
      <c r="FH9" s="155"/>
      <c r="FI9" s="155"/>
      <c r="FJ9" s="155"/>
      <c r="FK9" s="155"/>
      <c r="FL9" s="155"/>
      <c r="FM9" s="155"/>
      <c r="FN9" s="155"/>
      <c r="FO9" s="155"/>
      <c r="FP9" s="155"/>
      <c r="FQ9" s="155"/>
      <c r="FR9" s="155"/>
      <c r="FS9" s="155"/>
      <c r="FT9" s="155"/>
      <c r="FU9" s="155"/>
      <c r="FV9" s="155"/>
      <c r="FW9" s="155"/>
      <c r="FX9" s="155"/>
      <c r="FY9" s="155"/>
      <c r="FZ9" s="155"/>
      <c r="GA9" s="155"/>
      <c r="GB9" s="155"/>
      <c r="GC9" s="155"/>
      <c r="GD9" s="155"/>
      <c r="GE9" s="155"/>
      <c r="GF9" s="155"/>
      <c r="GG9" s="155"/>
      <c r="GH9" s="155"/>
      <c r="GI9" s="155"/>
      <c r="GJ9" s="155"/>
      <c r="GK9" s="155"/>
      <c r="GL9" s="155"/>
      <c r="GM9" s="155"/>
      <c r="GN9" s="155"/>
      <c r="GO9" s="155"/>
      <c r="GP9" s="155"/>
      <c r="GQ9" s="155"/>
      <c r="GR9" s="155"/>
      <c r="GS9" s="155"/>
      <c r="GT9" s="155"/>
      <c r="GU9" s="155"/>
      <c r="GV9" s="155"/>
      <c r="GW9" s="155"/>
      <c r="GX9" s="155"/>
      <c r="GY9" s="155"/>
      <c r="GZ9" s="155"/>
      <c r="HA9" s="155"/>
      <c r="HB9" s="155"/>
      <c r="HC9" s="155"/>
      <c r="HD9" s="155"/>
      <c r="HE9" s="155"/>
      <c r="HF9" s="155"/>
      <c r="HG9" s="155"/>
      <c r="HH9" s="155"/>
      <c r="HI9" s="155"/>
      <c r="HJ9" s="155"/>
      <c r="HK9" s="155"/>
      <c r="HL9" s="155"/>
      <c r="HM9" s="155"/>
      <c r="HN9" s="155"/>
      <c r="HO9" s="155"/>
      <c r="HP9" s="155"/>
      <c r="HQ9" s="155"/>
      <c r="HR9" s="155"/>
      <c r="HS9" s="155"/>
      <c r="HT9" s="155"/>
      <c r="HU9" s="155"/>
      <c r="HV9" s="155"/>
      <c r="HW9" s="155"/>
      <c r="HX9" s="155"/>
      <c r="HY9" s="155"/>
      <c r="HZ9" s="155"/>
      <c r="IA9" s="155"/>
      <c r="IB9" s="155"/>
      <c r="IC9" s="155"/>
      <c r="ID9" s="155"/>
      <c r="IE9" s="155"/>
      <c r="IF9" s="155"/>
      <c r="IG9" s="155"/>
      <c r="IH9" s="155"/>
      <c r="II9" s="155"/>
      <c r="IJ9" s="155"/>
      <c r="IK9" s="155"/>
      <c r="IL9" s="155"/>
      <c r="IM9" s="155"/>
      <c r="IN9" s="155"/>
      <c r="IO9" s="155"/>
      <c r="IP9" s="155"/>
      <c r="IQ9" s="155"/>
      <c r="IR9" s="155"/>
      <c r="IS9" s="155"/>
      <c r="IT9" s="155"/>
      <c r="IU9" s="155"/>
      <c r="IV9" s="155"/>
    </row>
    <row r="10" s="156" customFormat="true" ht="25.5" hidden="false" customHeight="true" outlineLevel="0" collapsed="false">
      <c r="A10" s="157" t="n">
        <f aca="false">IF(Eingabe!A14="","",Eingabe!A14)</f>
        <v>7</v>
      </c>
      <c r="B10" s="157"/>
      <c r="C10" s="157"/>
      <c r="D10" s="157"/>
      <c r="E10" s="158" t="n">
        <f aca="false">IF(Eingabe!B14="","",Eingabe!B14)</f>
        <v>3</v>
      </c>
      <c r="F10" s="158"/>
      <c r="G10" s="158"/>
      <c r="H10" s="158"/>
      <c r="I10" s="159" t="str">
        <f aca="false">IF(Eingabe!C14="","",Eingabe!C14)</f>
        <v>STK</v>
      </c>
      <c r="J10" s="159"/>
      <c r="K10" s="159"/>
      <c r="L10" s="159"/>
      <c r="M10" s="160" t="str">
        <f aca="false">IF(Eingabe!D14&amp;""&amp;Eingabe!E14="","",Eingabe!D14&amp;" 
"&amp;Eingabe!E14)</f>
        <v>Seeed Studio XIAO nRF52840 
U1,2</v>
      </c>
      <c r="N10" s="160"/>
      <c r="O10" s="160"/>
      <c r="P10" s="160"/>
      <c r="Q10" s="160"/>
      <c r="R10" s="160"/>
      <c r="S10" s="160"/>
      <c r="T10" s="160"/>
      <c r="U10" s="160"/>
      <c r="V10" s="160"/>
      <c r="W10" s="160"/>
      <c r="X10" s="160"/>
      <c r="Y10" s="160"/>
      <c r="Z10" s="160"/>
      <c r="AA10" s="160"/>
      <c r="AB10" s="160"/>
      <c r="AC10" s="160"/>
      <c r="AD10" s="160"/>
      <c r="AE10" s="160"/>
      <c r="AF10" s="160"/>
      <c r="AG10" s="159" t="str">
        <f aca="false">IF(Eingabe!F14&amp;""&amp;Eingabe!G14="","",Eingabe!F14&amp;" 
"&amp;Eingabe!G14)</f>
        <v>reichelt.de 
XIAO NRF52840</v>
      </c>
      <c r="AH10" s="159"/>
      <c r="AI10" s="159"/>
      <c r="AJ10" s="159"/>
      <c r="AK10" s="159"/>
      <c r="AL10" s="159"/>
      <c r="AM10" s="159"/>
      <c r="AN10" s="159"/>
      <c r="AO10" s="159"/>
      <c r="AP10" s="159"/>
      <c r="AQ10" s="159"/>
      <c r="AR10" s="159"/>
      <c r="AS10" s="159"/>
      <c r="AT10" s="159"/>
      <c r="AU10" s="159"/>
      <c r="AV10" s="159"/>
      <c r="AW10" s="159"/>
      <c r="AX10" s="159" t="str">
        <f aca="false">IF(Eingabe!H14="","",Eingabe!H14)</f>
        <v/>
      </c>
      <c r="AY10" s="159"/>
      <c r="AZ10" s="159"/>
      <c r="BA10" s="159"/>
      <c r="BB10" s="161" t="str">
        <f aca="false">IF(Eingabe!K14="","",Eingabe!K14)</f>
        <v/>
      </c>
      <c r="BC10" s="161"/>
      <c r="BD10" s="161"/>
      <c r="BE10" s="161"/>
      <c r="BF10" s="161"/>
      <c r="BG10" s="161"/>
      <c r="BH10" s="161"/>
      <c r="BI10" s="161"/>
      <c r="BJ10" s="161"/>
      <c r="BK10" s="161"/>
      <c r="BL10" s="161"/>
      <c r="BM10" s="161"/>
      <c r="BN10" s="161"/>
      <c r="BO10" s="155"/>
      <c r="BP10" s="155"/>
      <c r="BQ10" s="155"/>
      <c r="BR10" s="155"/>
      <c r="BS10" s="155"/>
      <c r="BT10" s="155"/>
      <c r="BU10" s="155"/>
      <c r="BV10" s="155"/>
      <c r="BW10" s="155"/>
      <c r="BX10" s="155"/>
      <c r="BY10" s="155"/>
      <c r="BZ10" s="155"/>
      <c r="CA10" s="155"/>
      <c r="CB10" s="155"/>
      <c r="CC10" s="155"/>
      <c r="CD10" s="155"/>
      <c r="CE10" s="155"/>
      <c r="CF10" s="155"/>
      <c r="CG10" s="155"/>
      <c r="CH10" s="155"/>
      <c r="CI10" s="155"/>
      <c r="CJ10" s="155"/>
      <c r="CK10" s="155"/>
      <c r="CL10" s="155"/>
      <c r="CM10" s="155"/>
      <c r="CN10" s="155"/>
      <c r="CO10" s="155"/>
      <c r="CP10" s="155"/>
      <c r="CQ10" s="155"/>
      <c r="CR10" s="155"/>
      <c r="CS10" s="155"/>
      <c r="CT10" s="155"/>
      <c r="CU10" s="155"/>
      <c r="CV10" s="155"/>
      <c r="CW10" s="155"/>
      <c r="CX10" s="155"/>
      <c r="CY10" s="155"/>
      <c r="CZ10" s="155"/>
      <c r="DA10" s="155"/>
      <c r="DB10" s="155"/>
      <c r="DC10" s="155"/>
      <c r="DD10" s="155"/>
      <c r="DE10" s="155"/>
      <c r="DF10" s="155"/>
      <c r="DG10" s="155"/>
      <c r="DH10" s="155"/>
      <c r="DI10" s="155"/>
      <c r="DJ10" s="155"/>
      <c r="DK10" s="155"/>
      <c r="DL10" s="155"/>
      <c r="DM10" s="155"/>
      <c r="DN10" s="155"/>
      <c r="DO10" s="155"/>
      <c r="DP10" s="155"/>
      <c r="DQ10" s="155"/>
      <c r="DR10" s="155"/>
      <c r="DS10" s="155"/>
      <c r="DT10" s="155"/>
      <c r="DU10" s="155"/>
      <c r="DV10" s="155"/>
      <c r="DW10" s="155"/>
      <c r="DX10" s="155"/>
      <c r="DY10" s="155"/>
      <c r="DZ10" s="155"/>
      <c r="EA10" s="155"/>
      <c r="EB10" s="155"/>
      <c r="EC10" s="155"/>
      <c r="ED10" s="155"/>
      <c r="EE10" s="155"/>
      <c r="EF10" s="155"/>
      <c r="EG10" s="155"/>
      <c r="EH10" s="155"/>
      <c r="EI10" s="155"/>
      <c r="EJ10" s="155"/>
      <c r="EK10" s="155"/>
      <c r="EL10" s="155"/>
      <c r="EM10" s="155"/>
      <c r="EN10" s="155"/>
      <c r="EO10" s="155"/>
      <c r="EP10" s="155"/>
      <c r="EQ10" s="155"/>
      <c r="ER10" s="155"/>
      <c r="ES10" s="155"/>
      <c r="ET10" s="155"/>
      <c r="EU10" s="155"/>
      <c r="EV10" s="155"/>
      <c r="EW10" s="155"/>
      <c r="EX10" s="155"/>
      <c r="EY10" s="155"/>
      <c r="EZ10" s="155"/>
      <c r="FA10" s="155"/>
      <c r="FB10" s="155"/>
      <c r="FC10" s="155"/>
      <c r="FD10" s="155"/>
      <c r="FE10" s="155"/>
      <c r="FF10" s="155"/>
      <c r="FG10" s="155"/>
      <c r="FH10" s="155"/>
      <c r="FI10" s="155"/>
      <c r="FJ10" s="155"/>
      <c r="FK10" s="155"/>
      <c r="FL10" s="155"/>
      <c r="FM10" s="155"/>
      <c r="FN10" s="155"/>
      <c r="FO10" s="155"/>
      <c r="FP10" s="155"/>
      <c r="FQ10" s="155"/>
      <c r="FR10" s="155"/>
      <c r="FS10" s="155"/>
      <c r="FT10" s="155"/>
      <c r="FU10" s="155"/>
      <c r="FV10" s="155"/>
      <c r="FW10" s="155"/>
      <c r="FX10" s="155"/>
      <c r="FY10" s="155"/>
      <c r="FZ10" s="155"/>
      <c r="GA10" s="155"/>
      <c r="GB10" s="155"/>
      <c r="GC10" s="155"/>
      <c r="GD10" s="155"/>
      <c r="GE10" s="155"/>
      <c r="GF10" s="155"/>
      <c r="GG10" s="155"/>
      <c r="GH10" s="155"/>
      <c r="GI10" s="155"/>
      <c r="GJ10" s="155"/>
      <c r="GK10" s="155"/>
      <c r="GL10" s="155"/>
      <c r="GM10" s="155"/>
      <c r="GN10" s="155"/>
      <c r="GO10" s="155"/>
      <c r="GP10" s="155"/>
      <c r="GQ10" s="155"/>
      <c r="GR10" s="155"/>
      <c r="GS10" s="155"/>
      <c r="GT10" s="155"/>
      <c r="GU10" s="155"/>
      <c r="GV10" s="155"/>
      <c r="GW10" s="155"/>
      <c r="GX10" s="155"/>
      <c r="GY10" s="155"/>
      <c r="GZ10" s="155"/>
      <c r="HA10" s="155"/>
      <c r="HB10" s="155"/>
      <c r="HC10" s="155"/>
      <c r="HD10" s="155"/>
      <c r="HE10" s="155"/>
      <c r="HF10" s="155"/>
      <c r="HG10" s="155"/>
      <c r="HH10" s="155"/>
      <c r="HI10" s="155"/>
      <c r="HJ10" s="155"/>
      <c r="HK10" s="155"/>
      <c r="HL10" s="155"/>
      <c r="HM10" s="155"/>
      <c r="HN10" s="155"/>
      <c r="HO10" s="155"/>
      <c r="HP10" s="155"/>
      <c r="HQ10" s="155"/>
      <c r="HR10" s="155"/>
      <c r="HS10" s="155"/>
      <c r="HT10" s="155"/>
      <c r="HU10" s="155"/>
      <c r="HV10" s="155"/>
      <c r="HW10" s="155"/>
      <c r="HX10" s="155"/>
      <c r="HY10" s="155"/>
      <c r="HZ10" s="155"/>
      <c r="IA10" s="155"/>
      <c r="IB10" s="155"/>
      <c r="IC10" s="155"/>
      <c r="ID10" s="155"/>
      <c r="IE10" s="155"/>
      <c r="IF10" s="155"/>
      <c r="IG10" s="155"/>
      <c r="IH10" s="155"/>
      <c r="II10" s="155"/>
      <c r="IJ10" s="155"/>
      <c r="IK10" s="155"/>
      <c r="IL10" s="155"/>
      <c r="IM10" s="155"/>
      <c r="IN10" s="155"/>
      <c r="IO10" s="155"/>
      <c r="IP10" s="155"/>
      <c r="IQ10" s="155"/>
      <c r="IR10" s="155"/>
      <c r="IS10" s="155"/>
      <c r="IT10" s="155"/>
      <c r="IU10" s="155"/>
      <c r="IV10" s="155"/>
    </row>
    <row r="11" s="156" customFormat="true" ht="25.5" hidden="false" customHeight="true" outlineLevel="0" collapsed="false">
      <c r="A11" s="157" t="n">
        <f aca="false">IF(Eingabe!A15="","",Eingabe!A15)</f>
        <v>8</v>
      </c>
      <c r="B11" s="157"/>
      <c r="C11" s="157"/>
      <c r="D11" s="157"/>
      <c r="E11" s="158" t="n">
        <f aca="false">IF(Eingabe!B15="","",Eingabe!B15)</f>
        <v>2</v>
      </c>
      <c r="F11" s="158"/>
      <c r="G11" s="158"/>
      <c r="H11" s="158"/>
      <c r="I11" s="159" t="str">
        <f aca="false">IF(Eingabe!C15="","",Eingabe!C15)</f>
        <v>STK</v>
      </c>
      <c r="J11" s="159"/>
      <c r="K11" s="159"/>
      <c r="L11" s="159"/>
      <c r="M11" s="160" t="str">
        <f aca="false">IF(Eingabe!D15&amp;""&amp;Eingabe!E15="","",Eingabe!D15&amp;" 
"&amp;Eingabe!E15)</f>
        <v>SPST Power Switch 
PSW1,2</v>
      </c>
      <c r="N11" s="160"/>
      <c r="O11" s="160"/>
      <c r="P11" s="160"/>
      <c r="Q11" s="160"/>
      <c r="R11" s="160"/>
      <c r="S11" s="160"/>
      <c r="T11" s="160"/>
      <c r="U11" s="160"/>
      <c r="V11" s="160"/>
      <c r="W11" s="160"/>
      <c r="X11" s="160"/>
      <c r="Y11" s="160"/>
      <c r="Z11" s="160"/>
      <c r="AA11" s="160"/>
      <c r="AB11" s="160"/>
      <c r="AC11" s="160"/>
      <c r="AD11" s="160"/>
      <c r="AE11" s="160"/>
      <c r="AF11" s="160"/>
      <c r="AG11" s="159" t="str">
        <f aca="false">IF(Eingabe!F15&amp;""&amp;Eingabe!G15="","",Eingabe!F15&amp;" 
"&amp;Eingabe!G15)</f>
        <v>keeb.supply 
MSK-12C02</v>
      </c>
      <c r="AH11" s="159"/>
      <c r="AI11" s="159"/>
      <c r="AJ11" s="159"/>
      <c r="AK11" s="159"/>
      <c r="AL11" s="159"/>
      <c r="AM11" s="159"/>
      <c r="AN11" s="159"/>
      <c r="AO11" s="159"/>
      <c r="AP11" s="159"/>
      <c r="AQ11" s="159"/>
      <c r="AR11" s="159"/>
      <c r="AS11" s="159"/>
      <c r="AT11" s="159"/>
      <c r="AU11" s="159"/>
      <c r="AV11" s="159"/>
      <c r="AW11" s="159"/>
      <c r="AX11" s="159" t="str">
        <f aca="false">IF(Eingabe!H15="","",Eingabe!H15)</f>
        <v/>
      </c>
      <c r="AY11" s="159"/>
      <c r="AZ11" s="159"/>
      <c r="BA11" s="159"/>
      <c r="BB11" s="161" t="str">
        <f aca="false">IF(Eingabe!K15="","",Eingabe!K15)</f>
        <v>Switch Mini 7 Pin 2 Slide Positions</v>
      </c>
      <c r="BC11" s="161"/>
      <c r="BD11" s="161"/>
      <c r="BE11" s="161"/>
      <c r="BF11" s="161"/>
      <c r="BG11" s="161"/>
      <c r="BH11" s="161"/>
      <c r="BI11" s="161"/>
      <c r="BJ11" s="161"/>
      <c r="BK11" s="161"/>
      <c r="BL11" s="161"/>
      <c r="BM11" s="161"/>
      <c r="BN11" s="161"/>
      <c r="BO11" s="155"/>
      <c r="BP11" s="155"/>
      <c r="BQ11" s="155"/>
      <c r="BR11" s="155"/>
      <c r="BS11" s="155"/>
      <c r="BT11" s="155"/>
      <c r="BU11" s="155"/>
      <c r="BV11" s="155"/>
      <c r="BW11" s="155"/>
      <c r="BX11" s="155"/>
      <c r="BY11" s="155"/>
      <c r="BZ11" s="155"/>
      <c r="CA11" s="155"/>
      <c r="CB11" s="155"/>
      <c r="CC11" s="155"/>
      <c r="CD11" s="155"/>
      <c r="CE11" s="155"/>
      <c r="CF11" s="155"/>
      <c r="CG11" s="155"/>
      <c r="CH11" s="155"/>
      <c r="CI11" s="155"/>
      <c r="CJ11" s="155"/>
      <c r="CK11" s="155"/>
      <c r="CL11" s="155"/>
      <c r="CM11" s="155"/>
      <c r="CN11" s="155"/>
      <c r="CO11" s="155"/>
      <c r="CP11" s="155"/>
      <c r="CQ11" s="155"/>
      <c r="CR11" s="155"/>
      <c r="CS11" s="155"/>
      <c r="CT11" s="155"/>
      <c r="CU11" s="155"/>
      <c r="CV11" s="155"/>
      <c r="CW11" s="155"/>
      <c r="CX11" s="155"/>
      <c r="CY11" s="155"/>
      <c r="CZ11" s="155"/>
      <c r="DA11" s="155"/>
      <c r="DB11" s="155"/>
      <c r="DC11" s="155"/>
      <c r="DD11" s="155"/>
      <c r="DE11" s="155"/>
      <c r="DF11" s="155"/>
      <c r="DG11" s="155"/>
      <c r="DH11" s="155"/>
      <c r="DI11" s="155"/>
      <c r="DJ11" s="155"/>
      <c r="DK11" s="155"/>
      <c r="DL11" s="155"/>
      <c r="DM11" s="155"/>
      <c r="DN11" s="155"/>
      <c r="DO11" s="155"/>
      <c r="DP11" s="155"/>
      <c r="DQ11" s="155"/>
      <c r="DR11" s="155"/>
      <c r="DS11" s="155"/>
      <c r="DT11" s="155"/>
      <c r="DU11" s="155"/>
      <c r="DV11" s="155"/>
      <c r="DW11" s="155"/>
      <c r="DX11" s="155"/>
      <c r="DY11" s="155"/>
      <c r="DZ11" s="155"/>
      <c r="EA11" s="155"/>
      <c r="EB11" s="155"/>
      <c r="EC11" s="155"/>
      <c r="ED11" s="155"/>
      <c r="EE11" s="155"/>
      <c r="EF11" s="155"/>
      <c r="EG11" s="155"/>
      <c r="EH11" s="155"/>
      <c r="EI11" s="155"/>
      <c r="EJ11" s="155"/>
      <c r="EK11" s="155"/>
      <c r="EL11" s="155"/>
      <c r="EM11" s="155"/>
      <c r="EN11" s="155"/>
      <c r="EO11" s="155"/>
      <c r="EP11" s="155"/>
      <c r="EQ11" s="155"/>
      <c r="ER11" s="155"/>
      <c r="ES11" s="155"/>
      <c r="ET11" s="155"/>
      <c r="EU11" s="155"/>
      <c r="EV11" s="155"/>
      <c r="EW11" s="155"/>
      <c r="EX11" s="155"/>
      <c r="EY11" s="155"/>
      <c r="EZ11" s="155"/>
      <c r="FA11" s="155"/>
      <c r="FB11" s="155"/>
      <c r="FC11" s="155"/>
      <c r="FD11" s="155"/>
      <c r="FE11" s="155"/>
      <c r="FF11" s="155"/>
      <c r="FG11" s="155"/>
      <c r="FH11" s="155"/>
      <c r="FI11" s="155"/>
      <c r="FJ11" s="155"/>
      <c r="FK11" s="155"/>
      <c r="FL11" s="155"/>
      <c r="FM11" s="155"/>
      <c r="FN11" s="155"/>
      <c r="FO11" s="155"/>
      <c r="FP11" s="155"/>
      <c r="FQ11" s="155"/>
      <c r="FR11" s="155"/>
      <c r="FS11" s="155"/>
      <c r="FT11" s="155"/>
      <c r="FU11" s="155"/>
      <c r="FV11" s="155"/>
      <c r="FW11" s="155"/>
      <c r="FX11" s="155"/>
      <c r="FY11" s="155"/>
      <c r="FZ11" s="155"/>
      <c r="GA11" s="155"/>
      <c r="GB11" s="155"/>
      <c r="GC11" s="155"/>
      <c r="GD11" s="155"/>
      <c r="GE11" s="155"/>
      <c r="GF11" s="155"/>
      <c r="GG11" s="155"/>
      <c r="GH11" s="155"/>
      <c r="GI11" s="155"/>
      <c r="GJ11" s="155"/>
      <c r="GK11" s="155"/>
      <c r="GL11" s="155"/>
      <c r="GM11" s="155"/>
      <c r="GN11" s="155"/>
      <c r="GO11" s="155"/>
      <c r="GP11" s="155"/>
      <c r="GQ11" s="155"/>
      <c r="GR11" s="155"/>
      <c r="GS11" s="155"/>
      <c r="GT11" s="155"/>
      <c r="GU11" s="155"/>
      <c r="GV11" s="155"/>
      <c r="GW11" s="155"/>
      <c r="GX11" s="155"/>
      <c r="GY11" s="155"/>
      <c r="GZ11" s="155"/>
      <c r="HA11" s="155"/>
      <c r="HB11" s="155"/>
      <c r="HC11" s="155"/>
      <c r="HD11" s="155"/>
      <c r="HE11" s="155"/>
      <c r="HF11" s="155"/>
      <c r="HG11" s="155"/>
      <c r="HH11" s="155"/>
      <c r="HI11" s="155"/>
      <c r="HJ11" s="155"/>
      <c r="HK11" s="155"/>
      <c r="HL11" s="155"/>
      <c r="HM11" s="155"/>
      <c r="HN11" s="155"/>
      <c r="HO11" s="155"/>
      <c r="HP11" s="155"/>
      <c r="HQ11" s="155"/>
      <c r="HR11" s="155"/>
      <c r="HS11" s="155"/>
      <c r="HT11" s="155"/>
      <c r="HU11" s="155"/>
      <c r="HV11" s="155"/>
      <c r="HW11" s="155"/>
      <c r="HX11" s="155"/>
      <c r="HY11" s="155"/>
      <c r="HZ11" s="155"/>
      <c r="IA11" s="155"/>
      <c r="IB11" s="155"/>
      <c r="IC11" s="155"/>
      <c r="ID11" s="155"/>
      <c r="IE11" s="155"/>
      <c r="IF11" s="155"/>
      <c r="IG11" s="155"/>
      <c r="IH11" s="155"/>
      <c r="II11" s="155"/>
      <c r="IJ11" s="155"/>
      <c r="IK11" s="155"/>
      <c r="IL11" s="155"/>
      <c r="IM11" s="155"/>
      <c r="IN11" s="155"/>
      <c r="IO11" s="155"/>
      <c r="IP11" s="155"/>
      <c r="IQ11" s="155"/>
      <c r="IR11" s="155"/>
      <c r="IS11" s="155"/>
      <c r="IT11" s="155"/>
      <c r="IU11" s="155"/>
      <c r="IV11" s="155"/>
    </row>
    <row r="12" s="156" customFormat="true" ht="25.5" hidden="false" customHeight="true" outlineLevel="0" collapsed="false">
      <c r="A12" s="157" t="n">
        <f aca="false">IF(Eingabe!A16="","",Eingabe!A16)</f>
        <v>9</v>
      </c>
      <c r="B12" s="157"/>
      <c r="C12" s="157"/>
      <c r="D12" s="157"/>
      <c r="E12" s="158" t="n">
        <f aca="false">IF(Eingabe!B16="","",Eingabe!B16)</f>
        <v>4</v>
      </c>
      <c r="F12" s="158"/>
      <c r="G12" s="158"/>
      <c r="H12" s="158"/>
      <c r="I12" s="159" t="str">
        <f aca="false">IF(Eingabe!C16="","",Eingabe!C16)</f>
        <v>STK</v>
      </c>
      <c r="J12" s="159"/>
      <c r="K12" s="159"/>
      <c r="L12" s="159"/>
      <c r="M12" s="160" t="str">
        <f aca="false">IF(Eingabe!D16&amp;""&amp;Eingabe!E16="","",Eingabe!D16&amp;" 
"&amp;Eingabe!E16)</f>
        <v>Gummi Füße 
</v>
      </c>
      <c r="N12" s="160"/>
      <c r="O12" s="160"/>
      <c r="P12" s="160"/>
      <c r="Q12" s="160"/>
      <c r="R12" s="160"/>
      <c r="S12" s="160"/>
      <c r="T12" s="160"/>
      <c r="U12" s="160"/>
      <c r="V12" s="160"/>
      <c r="W12" s="160"/>
      <c r="X12" s="160"/>
      <c r="Y12" s="160"/>
      <c r="Z12" s="160"/>
      <c r="AA12" s="160"/>
      <c r="AB12" s="160"/>
      <c r="AC12" s="160"/>
      <c r="AD12" s="160"/>
      <c r="AE12" s="160"/>
      <c r="AF12" s="160"/>
      <c r="AG12" s="159" t="str">
        <f aca="false">IF(Eingabe!F16&amp;""&amp;Eingabe!G16="","",Eingabe!F16&amp;" 
"&amp;Eingabe!G16)</f>
        <v>amazon.de 
</v>
      </c>
      <c r="AH12" s="159"/>
      <c r="AI12" s="159"/>
      <c r="AJ12" s="159"/>
      <c r="AK12" s="159"/>
      <c r="AL12" s="159"/>
      <c r="AM12" s="159"/>
      <c r="AN12" s="159"/>
      <c r="AO12" s="159"/>
      <c r="AP12" s="159"/>
      <c r="AQ12" s="159"/>
      <c r="AR12" s="159"/>
      <c r="AS12" s="159"/>
      <c r="AT12" s="159"/>
      <c r="AU12" s="159"/>
      <c r="AV12" s="159"/>
      <c r="AW12" s="159"/>
      <c r="AX12" s="159" t="str">
        <f aca="false">IF(Eingabe!H16="","",Eingabe!H16)</f>
        <v/>
      </c>
      <c r="AY12" s="159"/>
      <c r="AZ12" s="159"/>
      <c r="BA12" s="159"/>
      <c r="BB12" s="161" t="str">
        <f aca="false">IF(Eingabe!K16="","",Eingabe!K16)</f>
        <v>Round Silicone Rubber Feet</v>
      </c>
      <c r="BC12" s="161"/>
      <c r="BD12" s="161"/>
      <c r="BE12" s="161"/>
      <c r="BF12" s="161"/>
      <c r="BG12" s="161"/>
      <c r="BH12" s="161"/>
      <c r="BI12" s="161"/>
      <c r="BJ12" s="161"/>
      <c r="BK12" s="161"/>
      <c r="BL12" s="161"/>
      <c r="BM12" s="161"/>
      <c r="BN12" s="161"/>
      <c r="BO12" s="155"/>
      <c r="BP12" s="155"/>
      <c r="BQ12" s="155"/>
      <c r="BR12" s="155"/>
      <c r="BS12" s="155"/>
      <c r="BT12" s="155"/>
      <c r="BU12" s="155"/>
      <c r="BV12" s="155"/>
      <c r="BW12" s="155"/>
      <c r="BX12" s="155"/>
      <c r="BY12" s="155"/>
      <c r="BZ12" s="155"/>
      <c r="CA12" s="155"/>
      <c r="CB12" s="155"/>
      <c r="CC12" s="155"/>
      <c r="CD12" s="155"/>
      <c r="CE12" s="155"/>
      <c r="CF12" s="155"/>
      <c r="CG12" s="155"/>
      <c r="CH12" s="155"/>
      <c r="CI12" s="155"/>
      <c r="CJ12" s="155"/>
      <c r="CK12" s="155"/>
      <c r="CL12" s="155"/>
      <c r="CM12" s="155"/>
      <c r="CN12" s="155"/>
      <c r="CO12" s="155"/>
      <c r="CP12" s="155"/>
      <c r="CQ12" s="155"/>
      <c r="CR12" s="155"/>
      <c r="CS12" s="155"/>
      <c r="CT12" s="155"/>
      <c r="CU12" s="155"/>
      <c r="CV12" s="155"/>
      <c r="CW12" s="155"/>
      <c r="CX12" s="155"/>
      <c r="CY12" s="155"/>
      <c r="CZ12" s="155"/>
      <c r="DA12" s="155"/>
      <c r="DB12" s="155"/>
      <c r="DC12" s="155"/>
      <c r="DD12" s="155"/>
      <c r="DE12" s="155"/>
      <c r="DF12" s="155"/>
      <c r="DG12" s="155"/>
      <c r="DH12" s="155"/>
      <c r="DI12" s="155"/>
      <c r="DJ12" s="155"/>
      <c r="DK12" s="155"/>
      <c r="DL12" s="155"/>
      <c r="DM12" s="155"/>
      <c r="DN12" s="155"/>
      <c r="DO12" s="155"/>
      <c r="DP12" s="155"/>
      <c r="DQ12" s="155"/>
      <c r="DR12" s="155"/>
      <c r="DS12" s="155"/>
      <c r="DT12" s="155"/>
      <c r="DU12" s="155"/>
      <c r="DV12" s="155"/>
      <c r="DW12" s="155"/>
      <c r="DX12" s="155"/>
      <c r="DY12" s="155"/>
      <c r="DZ12" s="155"/>
      <c r="EA12" s="155"/>
      <c r="EB12" s="155"/>
      <c r="EC12" s="155"/>
      <c r="ED12" s="155"/>
      <c r="EE12" s="155"/>
      <c r="EF12" s="155"/>
      <c r="EG12" s="155"/>
      <c r="EH12" s="155"/>
      <c r="EI12" s="155"/>
      <c r="EJ12" s="155"/>
      <c r="EK12" s="155"/>
      <c r="EL12" s="155"/>
      <c r="EM12" s="155"/>
      <c r="EN12" s="155"/>
      <c r="EO12" s="155"/>
      <c r="EP12" s="155"/>
      <c r="EQ12" s="155"/>
      <c r="ER12" s="155"/>
      <c r="ES12" s="155"/>
      <c r="ET12" s="155"/>
      <c r="EU12" s="155"/>
      <c r="EV12" s="155"/>
      <c r="EW12" s="155"/>
      <c r="EX12" s="155"/>
      <c r="EY12" s="155"/>
      <c r="EZ12" s="155"/>
      <c r="FA12" s="155"/>
      <c r="FB12" s="155"/>
      <c r="FC12" s="155"/>
      <c r="FD12" s="155"/>
      <c r="FE12" s="155"/>
      <c r="FF12" s="155"/>
      <c r="FG12" s="155"/>
      <c r="FH12" s="155"/>
      <c r="FI12" s="155"/>
      <c r="FJ12" s="155"/>
      <c r="FK12" s="155"/>
      <c r="FL12" s="155"/>
      <c r="FM12" s="155"/>
      <c r="FN12" s="155"/>
      <c r="FO12" s="155"/>
      <c r="FP12" s="155"/>
      <c r="FQ12" s="155"/>
      <c r="FR12" s="155"/>
      <c r="FS12" s="155"/>
      <c r="FT12" s="155"/>
      <c r="FU12" s="155"/>
      <c r="FV12" s="155"/>
      <c r="FW12" s="155"/>
      <c r="FX12" s="155"/>
      <c r="FY12" s="155"/>
      <c r="FZ12" s="155"/>
      <c r="GA12" s="155"/>
      <c r="GB12" s="155"/>
      <c r="GC12" s="155"/>
      <c r="GD12" s="155"/>
      <c r="GE12" s="155"/>
      <c r="GF12" s="155"/>
      <c r="GG12" s="155"/>
      <c r="GH12" s="155"/>
      <c r="GI12" s="155"/>
      <c r="GJ12" s="155"/>
      <c r="GK12" s="155"/>
      <c r="GL12" s="155"/>
      <c r="GM12" s="155"/>
      <c r="GN12" s="155"/>
      <c r="GO12" s="155"/>
      <c r="GP12" s="155"/>
      <c r="GQ12" s="155"/>
      <c r="GR12" s="155"/>
      <c r="GS12" s="155"/>
      <c r="GT12" s="155"/>
      <c r="GU12" s="155"/>
      <c r="GV12" s="155"/>
      <c r="GW12" s="155"/>
      <c r="GX12" s="155"/>
      <c r="GY12" s="155"/>
      <c r="GZ12" s="155"/>
      <c r="HA12" s="155"/>
      <c r="HB12" s="155"/>
      <c r="HC12" s="155"/>
      <c r="HD12" s="155"/>
      <c r="HE12" s="155"/>
      <c r="HF12" s="155"/>
      <c r="HG12" s="155"/>
      <c r="HH12" s="155"/>
      <c r="HI12" s="155"/>
      <c r="HJ12" s="155"/>
      <c r="HK12" s="155"/>
      <c r="HL12" s="155"/>
      <c r="HM12" s="155"/>
      <c r="HN12" s="155"/>
      <c r="HO12" s="155"/>
      <c r="HP12" s="155"/>
      <c r="HQ12" s="155"/>
      <c r="HR12" s="155"/>
      <c r="HS12" s="155"/>
      <c r="HT12" s="155"/>
      <c r="HU12" s="155"/>
      <c r="HV12" s="155"/>
      <c r="HW12" s="155"/>
      <c r="HX12" s="155"/>
      <c r="HY12" s="155"/>
      <c r="HZ12" s="155"/>
      <c r="IA12" s="155"/>
      <c r="IB12" s="155"/>
      <c r="IC12" s="155"/>
      <c r="ID12" s="155"/>
      <c r="IE12" s="155"/>
      <c r="IF12" s="155"/>
      <c r="IG12" s="155"/>
      <c r="IH12" s="155"/>
      <c r="II12" s="155"/>
      <c r="IJ12" s="155"/>
      <c r="IK12" s="155"/>
      <c r="IL12" s="155"/>
      <c r="IM12" s="155"/>
      <c r="IN12" s="155"/>
      <c r="IO12" s="155"/>
      <c r="IP12" s="155"/>
      <c r="IQ12" s="155"/>
      <c r="IR12" s="155"/>
      <c r="IS12" s="155"/>
      <c r="IT12" s="155"/>
      <c r="IU12" s="155"/>
      <c r="IV12" s="155"/>
    </row>
    <row r="13" s="156" customFormat="true" ht="25.5" hidden="false" customHeight="true" outlineLevel="0" collapsed="false">
      <c r="A13" s="157" t="n">
        <f aca="false">IF(Eingabe!A17="","",Eingabe!A17)</f>
        <v>1</v>
      </c>
      <c r="B13" s="157"/>
      <c r="C13" s="157"/>
      <c r="D13" s="157"/>
      <c r="E13" s="158" t="str">
        <f aca="false">IF(Eingabe!B17="","",Eingabe!B17)</f>
        <v/>
      </c>
      <c r="F13" s="158"/>
      <c r="G13" s="158"/>
      <c r="H13" s="158"/>
      <c r="I13" s="159" t="str">
        <f aca="false">IF(Eingabe!C17="","",Eingabe!C17)</f>
        <v/>
      </c>
      <c r="J13" s="159"/>
      <c r="K13" s="159"/>
      <c r="L13" s="159"/>
      <c r="M13" s="160" t="str">
        <f aca="false">IF(Eingabe!D17&amp;""&amp;Eingabe!E17="","",Eingabe!D17&amp;" 
"&amp;Eingabe!E17)</f>
        <v/>
      </c>
      <c r="N13" s="160"/>
      <c r="O13" s="160"/>
      <c r="P13" s="160"/>
      <c r="Q13" s="160"/>
      <c r="R13" s="160"/>
      <c r="S13" s="160"/>
      <c r="T13" s="160"/>
      <c r="U13" s="160"/>
      <c r="V13" s="160"/>
      <c r="W13" s="160"/>
      <c r="X13" s="160"/>
      <c r="Y13" s="160"/>
      <c r="Z13" s="160"/>
      <c r="AA13" s="160"/>
      <c r="AB13" s="160"/>
      <c r="AC13" s="160"/>
      <c r="AD13" s="160"/>
      <c r="AE13" s="160"/>
      <c r="AF13" s="160"/>
      <c r="AG13" s="159" t="str">
        <f aca="false">IF(Eingabe!F17&amp;""&amp;Eingabe!G17="","",Eingabe!F17&amp;" 
"&amp;Eingabe!G17)</f>
        <v/>
      </c>
      <c r="AH13" s="159"/>
      <c r="AI13" s="159"/>
      <c r="AJ13" s="159"/>
      <c r="AK13" s="159"/>
      <c r="AL13" s="159"/>
      <c r="AM13" s="159"/>
      <c r="AN13" s="159"/>
      <c r="AO13" s="159"/>
      <c r="AP13" s="159"/>
      <c r="AQ13" s="159"/>
      <c r="AR13" s="159"/>
      <c r="AS13" s="159"/>
      <c r="AT13" s="159"/>
      <c r="AU13" s="159"/>
      <c r="AV13" s="159"/>
      <c r="AW13" s="159"/>
      <c r="AX13" s="159" t="str">
        <f aca="false">IF(Eingabe!H17="","",Eingabe!H17)</f>
        <v/>
      </c>
      <c r="AY13" s="159"/>
      <c r="AZ13" s="159"/>
      <c r="BA13" s="159"/>
      <c r="BB13" s="161" t="str">
        <f aca="false">IF(Eingabe!K17="","",Eingabe!K17)</f>
        <v/>
      </c>
      <c r="BC13" s="161"/>
      <c r="BD13" s="161"/>
      <c r="BE13" s="161"/>
      <c r="BF13" s="161"/>
      <c r="BG13" s="161"/>
      <c r="BH13" s="161"/>
      <c r="BI13" s="161"/>
      <c r="BJ13" s="161"/>
      <c r="BK13" s="161"/>
      <c r="BL13" s="161"/>
      <c r="BM13" s="161"/>
      <c r="BN13" s="161"/>
      <c r="BO13" s="155"/>
      <c r="BP13" s="155"/>
      <c r="BQ13" s="155"/>
      <c r="BR13" s="155"/>
      <c r="BS13" s="155"/>
      <c r="BT13" s="155"/>
      <c r="BU13" s="155"/>
      <c r="BV13" s="155"/>
      <c r="BW13" s="155"/>
      <c r="BX13" s="155"/>
      <c r="BY13" s="155"/>
      <c r="BZ13" s="155"/>
      <c r="CA13" s="155"/>
      <c r="CB13" s="155"/>
      <c r="CC13" s="155"/>
      <c r="CD13" s="155"/>
      <c r="CE13" s="155"/>
      <c r="CF13" s="155"/>
      <c r="CG13" s="155"/>
      <c r="CH13" s="155"/>
      <c r="CI13" s="155"/>
      <c r="CJ13" s="155"/>
      <c r="CK13" s="155"/>
      <c r="CL13" s="155"/>
      <c r="CM13" s="155"/>
      <c r="CN13" s="155"/>
      <c r="CO13" s="155"/>
      <c r="CP13" s="155"/>
      <c r="CQ13" s="155"/>
      <c r="CR13" s="155"/>
      <c r="CS13" s="155"/>
      <c r="CT13" s="155"/>
      <c r="CU13" s="155"/>
      <c r="CV13" s="155"/>
      <c r="CW13" s="155"/>
      <c r="CX13" s="155"/>
      <c r="CY13" s="155"/>
      <c r="CZ13" s="155"/>
      <c r="DA13" s="155"/>
      <c r="DB13" s="155"/>
      <c r="DC13" s="155"/>
      <c r="DD13" s="155"/>
      <c r="DE13" s="155"/>
      <c r="DF13" s="155"/>
      <c r="DG13" s="155"/>
      <c r="DH13" s="155"/>
      <c r="DI13" s="155"/>
      <c r="DJ13" s="155"/>
      <c r="DK13" s="155"/>
      <c r="DL13" s="155"/>
      <c r="DM13" s="155"/>
      <c r="DN13" s="155"/>
      <c r="DO13" s="155"/>
      <c r="DP13" s="155"/>
      <c r="DQ13" s="155"/>
      <c r="DR13" s="155"/>
      <c r="DS13" s="155"/>
      <c r="DT13" s="155"/>
      <c r="DU13" s="155"/>
      <c r="DV13" s="155"/>
      <c r="DW13" s="155"/>
      <c r="DX13" s="155"/>
      <c r="DY13" s="155"/>
      <c r="DZ13" s="155"/>
      <c r="EA13" s="155"/>
      <c r="EB13" s="155"/>
      <c r="EC13" s="155"/>
      <c r="ED13" s="155"/>
      <c r="EE13" s="155"/>
      <c r="EF13" s="155"/>
      <c r="EG13" s="155"/>
      <c r="EH13" s="155"/>
      <c r="EI13" s="155"/>
      <c r="EJ13" s="155"/>
      <c r="EK13" s="155"/>
      <c r="EL13" s="155"/>
      <c r="EM13" s="155"/>
      <c r="EN13" s="155"/>
      <c r="EO13" s="155"/>
      <c r="EP13" s="155"/>
      <c r="EQ13" s="155"/>
      <c r="ER13" s="155"/>
      <c r="ES13" s="155"/>
      <c r="ET13" s="155"/>
      <c r="EU13" s="155"/>
      <c r="EV13" s="155"/>
      <c r="EW13" s="155"/>
      <c r="EX13" s="155"/>
      <c r="EY13" s="155"/>
      <c r="EZ13" s="155"/>
      <c r="FA13" s="155"/>
      <c r="FB13" s="155"/>
      <c r="FC13" s="155"/>
      <c r="FD13" s="155"/>
      <c r="FE13" s="155"/>
      <c r="FF13" s="155"/>
      <c r="FG13" s="155"/>
      <c r="FH13" s="155"/>
      <c r="FI13" s="155"/>
      <c r="FJ13" s="155"/>
      <c r="FK13" s="155"/>
      <c r="FL13" s="155"/>
      <c r="FM13" s="155"/>
      <c r="FN13" s="155"/>
      <c r="FO13" s="155"/>
      <c r="FP13" s="155"/>
      <c r="FQ13" s="155"/>
      <c r="FR13" s="155"/>
      <c r="FS13" s="155"/>
      <c r="FT13" s="155"/>
      <c r="FU13" s="155"/>
      <c r="FV13" s="155"/>
      <c r="FW13" s="155"/>
      <c r="FX13" s="155"/>
      <c r="FY13" s="155"/>
      <c r="FZ13" s="155"/>
      <c r="GA13" s="155"/>
      <c r="GB13" s="155"/>
      <c r="GC13" s="155"/>
      <c r="GD13" s="155"/>
      <c r="GE13" s="155"/>
      <c r="GF13" s="155"/>
      <c r="GG13" s="155"/>
      <c r="GH13" s="155"/>
      <c r="GI13" s="155"/>
      <c r="GJ13" s="155"/>
      <c r="GK13" s="155"/>
      <c r="GL13" s="155"/>
      <c r="GM13" s="155"/>
      <c r="GN13" s="155"/>
      <c r="GO13" s="155"/>
      <c r="GP13" s="155"/>
      <c r="GQ13" s="155"/>
      <c r="GR13" s="155"/>
      <c r="GS13" s="155"/>
      <c r="GT13" s="155"/>
      <c r="GU13" s="155"/>
      <c r="GV13" s="155"/>
      <c r="GW13" s="155"/>
      <c r="GX13" s="155"/>
      <c r="GY13" s="155"/>
      <c r="GZ13" s="155"/>
      <c r="HA13" s="155"/>
      <c r="HB13" s="155"/>
      <c r="HC13" s="155"/>
      <c r="HD13" s="155"/>
      <c r="HE13" s="155"/>
      <c r="HF13" s="155"/>
      <c r="HG13" s="155"/>
      <c r="HH13" s="155"/>
      <c r="HI13" s="155"/>
      <c r="HJ13" s="155"/>
      <c r="HK13" s="155"/>
      <c r="HL13" s="155"/>
      <c r="HM13" s="155"/>
      <c r="HN13" s="155"/>
      <c r="HO13" s="155"/>
      <c r="HP13" s="155"/>
      <c r="HQ13" s="155"/>
      <c r="HR13" s="155"/>
      <c r="HS13" s="155"/>
      <c r="HT13" s="155"/>
      <c r="HU13" s="155"/>
      <c r="HV13" s="155"/>
      <c r="HW13" s="155"/>
      <c r="HX13" s="155"/>
      <c r="HY13" s="155"/>
      <c r="HZ13" s="155"/>
      <c r="IA13" s="155"/>
      <c r="IB13" s="155"/>
      <c r="IC13" s="155"/>
      <c r="ID13" s="155"/>
      <c r="IE13" s="155"/>
      <c r="IF13" s="155"/>
      <c r="IG13" s="155"/>
      <c r="IH13" s="155"/>
      <c r="II13" s="155"/>
      <c r="IJ13" s="155"/>
      <c r="IK13" s="155"/>
      <c r="IL13" s="155"/>
      <c r="IM13" s="155"/>
      <c r="IN13" s="155"/>
      <c r="IO13" s="155"/>
      <c r="IP13" s="155"/>
      <c r="IQ13" s="155"/>
      <c r="IR13" s="155"/>
      <c r="IS13" s="155"/>
      <c r="IT13" s="155"/>
      <c r="IU13" s="155"/>
      <c r="IV13" s="155"/>
    </row>
    <row r="14" s="156" customFormat="true" ht="25.5" hidden="false" customHeight="true" outlineLevel="0" collapsed="false">
      <c r="A14" s="157" t="n">
        <f aca="false">IF(Eingabe!A18="","",Eingabe!A18)</f>
        <v>11</v>
      </c>
      <c r="B14" s="157"/>
      <c r="C14" s="157"/>
      <c r="D14" s="157"/>
      <c r="E14" s="158" t="str">
        <f aca="false">IF(Eingabe!B18="","",Eingabe!B18)</f>
        <v/>
      </c>
      <c r="F14" s="158"/>
      <c r="G14" s="158"/>
      <c r="H14" s="158"/>
      <c r="I14" s="159" t="str">
        <f aca="false">IF(Eingabe!C18="","",Eingabe!C18)</f>
        <v/>
      </c>
      <c r="J14" s="159"/>
      <c r="K14" s="159"/>
      <c r="L14" s="159"/>
      <c r="M14" s="160" t="str">
        <f aca="false">IF(Eingabe!D18&amp;""&amp;Eingabe!E18="","",Eingabe!D18&amp;" 
"&amp;Eingabe!E18)</f>
        <v/>
      </c>
      <c r="N14" s="160"/>
      <c r="O14" s="160"/>
      <c r="P14" s="160"/>
      <c r="Q14" s="160"/>
      <c r="R14" s="160"/>
      <c r="S14" s="160"/>
      <c r="T14" s="160"/>
      <c r="U14" s="160"/>
      <c r="V14" s="160"/>
      <c r="W14" s="160"/>
      <c r="X14" s="160"/>
      <c r="Y14" s="160"/>
      <c r="Z14" s="160"/>
      <c r="AA14" s="160"/>
      <c r="AB14" s="160"/>
      <c r="AC14" s="160"/>
      <c r="AD14" s="160"/>
      <c r="AE14" s="160"/>
      <c r="AF14" s="160"/>
      <c r="AG14" s="159" t="str">
        <f aca="false">IF(Eingabe!F18&amp;""&amp;Eingabe!G18="","",Eingabe!F18&amp;" 
"&amp;Eingabe!G18)</f>
        <v/>
      </c>
      <c r="AH14" s="159"/>
      <c r="AI14" s="159"/>
      <c r="AJ14" s="159"/>
      <c r="AK14" s="159"/>
      <c r="AL14" s="159"/>
      <c r="AM14" s="159"/>
      <c r="AN14" s="159"/>
      <c r="AO14" s="159"/>
      <c r="AP14" s="159"/>
      <c r="AQ14" s="159"/>
      <c r="AR14" s="159"/>
      <c r="AS14" s="159"/>
      <c r="AT14" s="159"/>
      <c r="AU14" s="159"/>
      <c r="AV14" s="159"/>
      <c r="AW14" s="159"/>
      <c r="AX14" s="159" t="str">
        <f aca="false">IF(Eingabe!H18="","",Eingabe!H18)</f>
        <v/>
      </c>
      <c r="AY14" s="159"/>
      <c r="AZ14" s="159"/>
      <c r="BA14" s="159"/>
      <c r="BB14" s="161" t="str">
        <f aca="false">IF(Eingabe!K18="","",Eingabe!K18)</f>
        <v/>
      </c>
      <c r="BC14" s="161"/>
      <c r="BD14" s="161"/>
      <c r="BE14" s="161"/>
      <c r="BF14" s="161"/>
      <c r="BG14" s="161"/>
      <c r="BH14" s="161"/>
      <c r="BI14" s="161"/>
      <c r="BJ14" s="161"/>
      <c r="BK14" s="161"/>
      <c r="BL14" s="161"/>
      <c r="BM14" s="161"/>
      <c r="BN14" s="161"/>
      <c r="BO14" s="155"/>
      <c r="BP14" s="155"/>
      <c r="BQ14" s="155"/>
      <c r="BR14" s="155"/>
      <c r="BS14" s="155"/>
      <c r="BT14" s="155"/>
      <c r="BU14" s="155"/>
      <c r="BV14" s="155"/>
      <c r="BW14" s="155"/>
      <c r="BX14" s="155"/>
      <c r="BY14" s="155"/>
      <c r="BZ14" s="155"/>
      <c r="CA14" s="155"/>
      <c r="CB14" s="155"/>
      <c r="CC14" s="155"/>
      <c r="CD14" s="155"/>
      <c r="CE14" s="155"/>
      <c r="CF14" s="155"/>
      <c r="CG14" s="155"/>
      <c r="CH14" s="155"/>
      <c r="CI14" s="155"/>
      <c r="CJ14" s="155"/>
      <c r="CK14" s="155"/>
      <c r="CL14" s="155"/>
      <c r="CM14" s="155"/>
      <c r="CN14" s="155"/>
      <c r="CO14" s="155"/>
      <c r="CP14" s="155"/>
      <c r="CQ14" s="155"/>
      <c r="CR14" s="155"/>
      <c r="CS14" s="155"/>
      <c r="CT14" s="155"/>
      <c r="CU14" s="155"/>
      <c r="CV14" s="155"/>
      <c r="CW14" s="155"/>
      <c r="CX14" s="155"/>
      <c r="CY14" s="155"/>
      <c r="CZ14" s="155"/>
      <c r="DA14" s="155"/>
      <c r="DB14" s="155"/>
      <c r="DC14" s="155"/>
      <c r="DD14" s="155"/>
      <c r="DE14" s="155"/>
      <c r="DF14" s="155"/>
      <c r="DG14" s="155"/>
      <c r="DH14" s="155"/>
      <c r="DI14" s="155"/>
      <c r="DJ14" s="155"/>
      <c r="DK14" s="155"/>
      <c r="DL14" s="155"/>
      <c r="DM14" s="155"/>
      <c r="DN14" s="155"/>
      <c r="DO14" s="155"/>
      <c r="DP14" s="155"/>
      <c r="DQ14" s="155"/>
      <c r="DR14" s="155"/>
      <c r="DS14" s="155"/>
      <c r="DT14" s="155"/>
      <c r="DU14" s="155"/>
      <c r="DV14" s="155"/>
      <c r="DW14" s="155"/>
      <c r="DX14" s="155"/>
      <c r="DY14" s="155"/>
      <c r="DZ14" s="155"/>
      <c r="EA14" s="155"/>
      <c r="EB14" s="155"/>
      <c r="EC14" s="155"/>
      <c r="ED14" s="155"/>
      <c r="EE14" s="155"/>
      <c r="EF14" s="155"/>
      <c r="EG14" s="155"/>
      <c r="EH14" s="155"/>
      <c r="EI14" s="155"/>
      <c r="EJ14" s="155"/>
      <c r="EK14" s="155"/>
      <c r="EL14" s="155"/>
      <c r="EM14" s="155"/>
      <c r="EN14" s="155"/>
      <c r="EO14" s="155"/>
      <c r="EP14" s="155"/>
      <c r="EQ14" s="155"/>
      <c r="ER14" s="155"/>
      <c r="ES14" s="155"/>
      <c r="ET14" s="155"/>
      <c r="EU14" s="155"/>
      <c r="EV14" s="155"/>
      <c r="EW14" s="155"/>
      <c r="EX14" s="155"/>
      <c r="EY14" s="155"/>
      <c r="EZ14" s="155"/>
      <c r="FA14" s="155"/>
      <c r="FB14" s="155"/>
      <c r="FC14" s="155"/>
      <c r="FD14" s="155"/>
      <c r="FE14" s="155"/>
      <c r="FF14" s="155"/>
      <c r="FG14" s="155"/>
      <c r="FH14" s="155"/>
      <c r="FI14" s="155"/>
      <c r="FJ14" s="155"/>
      <c r="FK14" s="155"/>
      <c r="FL14" s="155"/>
      <c r="FM14" s="155"/>
      <c r="FN14" s="155"/>
      <c r="FO14" s="155"/>
      <c r="FP14" s="155"/>
      <c r="FQ14" s="155"/>
      <c r="FR14" s="155"/>
      <c r="FS14" s="155"/>
      <c r="FT14" s="155"/>
      <c r="FU14" s="155"/>
      <c r="FV14" s="155"/>
      <c r="FW14" s="155"/>
      <c r="FX14" s="155"/>
      <c r="FY14" s="155"/>
      <c r="FZ14" s="155"/>
      <c r="GA14" s="155"/>
      <c r="GB14" s="155"/>
      <c r="GC14" s="155"/>
      <c r="GD14" s="155"/>
      <c r="GE14" s="155"/>
      <c r="GF14" s="155"/>
      <c r="GG14" s="155"/>
      <c r="GH14" s="155"/>
      <c r="GI14" s="155"/>
      <c r="GJ14" s="155"/>
      <c r="GK14" s="155"/>
      <c r="GL14" s="155"/>
      <c r="GM14" s="155"/>
      <c r="GN14" s="155"/>
      <c r="GO14" s="155"/>
      <c r="GP14" s="155"/>
      <c r="GQ14" s="155"/>
      <c r="GR14" s="155"/>
      <c r="GS14" s="155"/>
      <c r="GT14" s="155"/>
      <c r="GU14" s="155"/>
      <c r="GV14" s="155"/>
      <c r="GW14" s="155"/>
      <c r="GX14" s="155"/>
      <c r="GY14" s="155"/>
      <c r="GZ14" s="155"/>
      <c r="HA14" s="155"/>
      <c r="HB14" s="155"/>
      <c r="HC14" s="155"/>
      <c r="HD14" s="155"/>
      <c r="HE14" s="155"/>
      <c r="HF14" s="155"/>
      <c r="HG14" s="155"/>
      <c r="HH14" s="155"/>
      <c r="HI14" s="155"/>
      <c r="HJ14" s="155"/>
      <c r="HK14" s="155"/>
      <c r="HL14" s="155"/>
      <c r="HM14" s="155"/>
      <c r="HN14" s="155"/>
      <c r="HO14" s="155"/>
      <c r="HP14" s="155"/>
      <c r="HQ14" s="155"/>
      <c r="HR14" s="155"/>
      <c r="HS14" s="155"/>
      <c r="HT14" s="155"/>
      <c r="HU14" s="155"/>
      <c r="HV14" s="155"/>
      <c r="HW14" s="155"/>
      <c r="HX14" s="155"/>
      <c r="HY14" s="155"/>
      <c r="HZ14" s="155"/>
      <c r="IA14" s="155"/>
      <c r="IB14" s="155"/>
      <c r="IC14" s="155"/>
      <c r="ID14" s="155"/>
      <c r="IE14" s="155"/>
      <c r="IF14" s="155"/>
      <c r="IG14" s="155"/>
      <c r="IH14" s="155"/>
      <c r="II14" s="155"/>
      <c r="IJ14" s="155"/>
      <c r="IK14" s="155"/>
      <c r="IL14" s="155"/>
      <c r="IM14" s="155"/>
      <c r="IN14" s="155"/>
      <c r="IO14" s="155"/>
      <c r="IP14" s="155"/>
      <c r="IQ14" s="155"/>
      <c r="IR14" s="155"/>
      <c r="IS14" s="155"/>
      <c r="IT14" s="155"/>
      <c r="IU14" s="155"/>
      <c r="IV14" s="155"/>
    </row>
    <row r="15" s="156" customFormat="true" ht="25.5" hidden="false" customHeight="true" outlineLevel="0" collapsed="false">
      <c r="A15" s="157" t="n">
        <f aca="false">IF(Eingabe!A19="","",Eingabe!A19)</f>
        <v>12</v>
      </c>
      <c r="B15" s="157"/>
      <c r="C15" s="157"/>
      <c r="D15" s="157"/>
      <c r="E15" s="158" t="str">
        <f aca="false">IF(Eingabe!B19="","",Eingabe!B19)</f>
        <v/>
      </c>
      <c r="F15" s="158"/>
      <c r="G15" s="158"/>
      <c r="H15" s="158"/>
      <c r="I15" s="159" t="str">
        <f aca="false">IF(Eingabe!C19="","",Eingabe!C19)</f>
        <v/>
      </c>
      <c r="J15" s="159"/>
      <c r="K15" s="159"/>
      <c r="L15" s="159"/>
      <c r="M15" s="160" t="str">
        <f aca="false">IF(Eingabe!D19&amp;""&amp;Eingabe!E19="","",Eingabe!D19&amp;" 
"&amp;Eingabe!E19)</f>
        <v/>
      </c>
      <c r="N15" s="160"/>
      <c r="O15" s="160"/>
      <c r="P15" s="160"/>
      <c r="Q15" s="160"/>
      <c r="R15" s="160"/>
      <c r="S15" s="160"/>
      <c r="T15" s="160"/>
      <c r="U15" s="160"/>
      <c r="V15" s="160"/>
      <c r="W15" s="160"/>
      <c r="X15" s="160"/>
      <c r="Y15" s="160"/>
      <c r="Z15" s="160"/>
      <c r="AA15" s="160"/>
      <c r="AB15" s="160"/>
      <c r="AC15" s="160"/>
      <c r="AD15" s="160"/>
      <c r="AE15" s="160"/>
      <c r="AF15" s="160"/>
      <c r="AG15" s="159" t="str">
        <f aca="false">IF(Eingabe!F19&amp;""&amp;Eingabe!G19="","",Eingabe!F19&amp;" 
"&amp;Eingabe!G19)</f>
        <v/>
      </c>
      <c r="AH15" s="159"/>
      <c r="AI15" s="159"/>
      <c r="AJ15" s="159"/>
      <c r="AK15" s="159"/>
      <c r="AL15" s="159"/>
      <c r="AM15" s="159"/>
      <c r="AN15" s="159"/>
      <c r="AO15" s="159"/>
      <c r="AP15" s="159"/>
      <c r="AQ15" s="159"/>
      <c r="AR15" s="159"/>
      <c r="AS15" s="159"/>
      <c r="AT15" s="159"/>
      <c r="AU15" s="159"/>
      <c r="AV15" s="159"/>
      <c r="AW15" s="159"/>
      <c r="AX15" s="159" t="str">
        <f aca="false">IF(Eingabe!H19="","",Eingabe!H19)</f>
        <v/>
      </c>
      <c r="AY15" s="159"/>
      <c r="AZ15" s="159"/>
      <c r="BA15" s="159"/>
      <c r="BB15" s="161" t="str">
        <f aca="false">IF(Eingabe!K19="","",Eingabe!K19)</f>
        <v/>
      </c>
      <c r="BC15" s="161"/>
      <c r="BD15" s="161"/>
      <c r="BE15" s="161"/>
      <c r="BF15" s="161"/>
      <c r="BG15" s="161"/>
      <c r="BH15" s="161"/>
      <c r="BI15" s="161"/>
      <c r="BJ15" s="161"/>
      <c r="BK15" s="161"/>
      <c r="BL15" s="161"/>
      <c r="BM15" s="161"/>
      <c r="BN15" s="161"/>
      <c r="BO15" s="155"/>
      <c r="BP15" s="155"/>
      <c r="BQ15" s="155"/>
      <c r="BR15" s="155"/>
      <c r="BS15" s="155"/>
      <c r="BT15" s="155"/>
      <c r="BU15" s="155"/>
      <c r="BV15" s="155"/>
      <c r="BW15" s="155"/>
      <c r="BX15" s="155"/>
      <c r="BY15" s="155"/>
      <c r="BZ15" s="155"/>
      <c r="CA15" s="155"/>
      <c r="CB15" s="155"/>
      <c r="CC15" s="155"/>
      <c r="CD15" s="155"/>
      <c r="CE15" s="155"/>
      <c r="CF15" s="155"/>
      <c r="CG15" s="155"/>
      <c r="CH15" s="155"/>
      <c r="CI15" s="155"/>
      <c r="CJ15" s="155"/>
      <c r="CK15" s="155"/>
      <c r="CL15" s="155"/>
      <c r="CM15" s="155"/>
      <c r="CN15" s="155"/>
      <c r="CO15" s="155"/>
      <c r="CP15" s="155"/>
      <c r="CQ15" s="155"/>
      <c r="CR15" s="155"/>
      <c r="CS15" s="155"/>
      <c r="CT15" s="155"/>
      <c r="CU15" s="155"/>
      <c r="CV15" s="155"/>
      <c r="CW15" s="155"/>
      <c r="CX15" s="155"/>
      <c r="CY15" s="155"/>
      <c r="CZ15" s="155"/>
      <c r="DA15" s="155"/>
      <c r="DB15" s="155"/>
      <c r="DC15" s="155"/>
      <c r="DD15" s="155"/>
      <c r="DE15" s="155"/>
      <c r="DF15" s="155"/>
      <c r="DG15" s="155"/>
      <c r="DH15" s="155"/>
      <c r="DI15" s="155"/>
      <c r="DJ15" s="155"/>
      <c r="DK15" s="155"/>
      <c r="DL15" s="155"/>
      <c r="DM15" s="155"/>
      <c r="DN15" s="155"/>
      <c r="DO15" s="155"/>
      <c r="DP15" s="155"/>
      <c r="DQ15" s="155"/>
      <c r="DR15" s="155"/>
      <c r="DS15" s="155"/>
      <c r="DT15" s="155"/>
      <c r="DU15" s="155"/>
      <c r="DV15" s="155"/>
      <c r="DW15" s="155"/>
      <c r="DX15" s="155"/>
      <c r="DY15" s="155"/>
      <c r="DZ15" s="155"/>
      <c r="EA15" s="155"/>
      <c r="EB15" s="155"/>
      <c r="EC15" s="155"/>
      <c r="ED15" s="155"/>
      <c r="EE15" s="155"/>
      <c r="EF15" s="155"/>
      <c r="EG15" s="155"/>
      <c r="EH15" s="155"/>
      <c r="EI15" s="155"/>
      <c r="EJ15" s="155"/>
      <c r="EK15" s="155"/>
      <c r="EL15" s="155"/>
      <c r="EM15" s="155"/>
      <c r="EN15" s="155"/>
      <c r="EO15" s="155"/>
      <c r="EP15" s="155"/>
      <c r="EQ15" s="155"/>
      <c r="ER15" s="155"/>
      <c r="ES15" s="155"/>
      <c r="ET15" s="155"/>
      <c r="EU15" s="155"/>
      <c r="EV15" s="155"/>
      <c r="EW15" s="155"/>
      <c r="EX15" s="155"/>
      <c r="EY15" s="155"/>
      <c r="EZ15" s="155"/>
      <c r="FA15" s="155"/>
      <c r="FB15" s="155"/>
      <c r="FC15" s="155"/>
      <c r="FD15" s="155"/>
      <c r="FE15" s="155"/>
      <c r="FF15" s="155"/>
      <c r="FG15" s="155"/>
      <c r="FH15" s="155"/>
      <c r="FI15" s="155"/>
      <c r="FJ15" s="155"/>
      <c r="FK15" s="155"/>
      <c r="FL15" s="155"/>
      <c r="FM15" s="155"/>
      <c r="FN15" s="155"/>
      <c r="FO15" s="155"/>
      <c r="FP15" s="155"/>
      <c r="FQ15" s="155"/>
      <c r="FR15" s="155"/>
      <c r="FS15" s="155"/>
      <c r="FT15" s="155"/>
      <c r="FU15" s="155"/>
      <c r="FV15" s="155"/>
      <c r="FW15" s="155"/>
      <c r="FX15" s="155"/>
      <c r="FY15" s="155"/>
      <c r="FZ15" s="155"/>
      <c r="GA15" s="155"/>
      <c r="GB15" s="155"/>
      <c r="GC15" s="155"/>
      <c r="GD15" s="155"/>
      <c r="GE15" s="155"/>
      <c r="GF15" s="155"/>
      <c r="GG15" s="155"/>
      <c r="GH15" s="155"/>
      <c r="GI15" s="155"/>
      <c r="GJ15" s="155"/>
      <c r="GK15" s="155"/>
      <c r="GL15" s="155"/>
      <c r="GM15" s="155"/>
      <c r="GN15" s="155"/>
      <c r="GO15" s="155"/>
      <c r="GP15" s="155"/>
      <c r="GQ15" s="155"/>
      <c r="GR15" s="155"/>
      <c r="GS15" s="155"/>
      <c r="GT15" s="155"/>
      <c r="GU15" s="155"/>
      <c r="GV15" s="155"/>
      <c r="GW15" s="155"/>
      <c r="GX15" s="155"/>
      <c r="GY15" s="155"/>
      <c r="GZ15" s="155"/>
      <c r="HA15" s="155"/>
      <c r="HB15" s="155"/>
      <c r="HC15" s="155"/>
      <c r="HD15" s="155"/>
      <c r="HE15" s="155"/>
      <c r="HF15" s="155"/>
      <c r="HG15" s="155"/>
      <c r="HH15" s="155"/>
      <c r="HI15" s="155"/>
      <c r="HJ15" s="155"/>
      <c r="HK15" s="155"/>
      <c r="HL15" s="155"/>
      <c r="HM15" s="155"/>
      <c r="HN15" s="155"/>
      <c r="HO15" s="155"/>
      <c r="HP15" s="155"/>
      <c r="HQ15" s="155"/>
      <c r="HR15" s="155"/>
      <c r="HS15" s="155"/>
      <c r="HT15" s="155"/>
      <c r="HU15" s="155"/>
      <c r="HV15" s="155"/>
      <c r="HW15" s="155"/>
      <c r="HX15" s="155"/>
      <c r="HY15" s="155"/>
      <c r="HZ15" s="155"/>
      <c r="IA15" s="155"/>
      <c r="IB15" s="155"/>
      <c r="IC15" s="155"/>
      <c r="ID15" s="155"/>
      <c r="IE15" s="155"/>
      <c r="IF15" s="155"/>
      <c r="IG15" s="155"/>
      <c r="IH15" s="155"/>
      <c r="II15" s="155"/>
      <c r="IJ15" s="155"/>
      <c r="IK15" s="155"/>
      <c r="IL15" s="155"/>
      <c r="IM15" s="155"/>
      <c r="IN15" s="155"/>
      <c r="IO15" s="155"/>
      <c r="IP15" s="155"/>
      <c r="IQ15" s="155"/>
      <c r="IR15" s="155"/>
      <c r="IS15" s="155"/>
      <c r="IT15" s="155"/>
      <c r="IU15" s="155"/>
      <c r="IV15" s="155"/>
    </row>
    <row r="16" s="156" customFormat="true" ht="25.5" hidden="false" customHeight="true" outlineLevel="0" collapsed="false">
      <c r="A16" s="157" t="n">
        <f aca="false">IF(Eingabe!A20="","",Eingabe!A20)</f>
        <v>13</v>
      </c>
      <c r="B16" s="157"/>
      <c r="C16" s="157"/>
      <c r="D16" s="157"/>
      <c r="E16" s="158" t="str">
        <f aca="false">IF(Eingabe!B20="","",Eingabe!B20)</f>
        <v/>
      </c>
      <c r="F16" s="158"/>
      <c r="G16" s="158"/>
      <c r="H16" s="158"/>
      <c r="I16" s="159" t="str">
        <f aca="false">IF(Eingabe!C20="","",Eingabe!C20)</f>
        <v/>
      </c>
      <c r="J16" s="159"/>
      <c r="K16" s="159"/>
      <c r="L16" s="159"/>
      <c r="M16" s="160" t="str">
        <f aca="false">IF(Eingabe!D20&amp;""&amp;Eingabe!E20="","",Eingabe!D20&amp;" 
"&amp;Eingabe!E20)</f>
        <v/>
      </c>
      <c r="N16" s="160"/>
      <c r="O16" s="160"/>
      <c r="P16" s="160"/>
      <c r="Q16" s="160"/>
      <c r="R16" s="160"/>
      <c r="S16" s="160"/>
      <c r="T16" s="160"/>
      <c r="U16" s="160"/>
      <c r="V16" s="160"/>
      <c r="W16" s="160"/>
      <c r="X16" s="160"/>
      <c r="Y16" s="160"/>
      <c r="Z16" s="160"/>
      <c r="AA16" s="160"/>
      <c r="AB16" s="160"/>
      <c r="AC16" s="160"/>
      <c r="AD16" s="160"/>
      <c r="AE16" s="160"/>
      <c r="AF16" s="160"/>
      <c r="AG16" s="159" t="str">
        <f aca="false">IF(Eingabe!F20&amp;""&amp;Eingabe!G20="","",Eingabe!F20&amp;" 
"&amp;Eingabe!G20)</f>
        <v/>
      </c>
      <c r="AH16" s="159"/>
      <c r="AI16" s="159"/>
      <c r="AJ16" s="159"/>
      <c r="AK16" s="159"/>
      <c r="AL16" s="159"/>
      <c r="AM16" s="159"/>
      <c r="AN16" s="159"/>
      <c r="AO16" s="159"/>
      <c r="AP16" s="159"/>
      <c r="AQ16" s="159"/>
      <c r="AR16" s="159"/>
      <c r="AS16" s="159"/>
      <c r="AT16" s="159"/>
      <c r="AU16" s="159"/>
      <c r="AV16" s="159"/>
      <c r="AW16" s="159"/>
      <c r="AX16" s="159" t="str">
        <f aca="false">IF(Eingabe!H20="","",Eingabe!H20)</f>
        <v/>
      </c>
      <c r="AY16" s="159"/>
      <c r="AZ16" s="159"/>
      <c r="BA16" s="159"/>
      <c r="BB16" s="161" t="str">
        <f aca="false">IF(Eingabe!K20="","",Eingabe!K20)</f>
        <v/>
      </c>
      <c r="BC16" s="161"/>
      <c r="BD16" s="161"/>
      <c r="BE16" s="161"/>
      <c r="BF16" s="161"/>
      <c r="BG16" s="161"/>
      <c r="BH16" s="161"/>
      <c r="BI16" s="161"/>
      <c r="BJ16" s="161"/>
      <c r="BK16" s="161"/>
      <c r="BL16" s="161"/>
      <c r="BM16" s="161"/>
      <c r="BN16" s="161"/>
      <c r="BO16" s="155"/>
      <c r="BP16" s="155"/>
      <c r="BQ16" s="155"/>
      <c r="BR16" s="155"/>
      <c r="BS16" s="155"/>
      <c r="BT16" s="155"/>
      <c r="BU16" s="155"/>
      <c r="BV16" s="155"/>
      <c r="BW16" s="155"/>
      <c r="BX16" s="155"/>
      <c r="BY16" s="155"/>
      <c r="BZ16" s="155"/>
      <c r="CA16" s="155"/>
      <c r="CB16" s="155"/>
      <c r="CC16" s="155"/>
      <c r="CD16" s="155"/>
      <c r="CE16" s="155"/>
      <c r="CF16" s="155"/>
      <c r="CG16" s="155"/>
      <c r="CH16" s="155"/>
      <c r="CI16" s="155"/>
      <c r="CJ16" s="155"/>
      <c r="CK16" s="155"/>
      <c r="CL16" s="155"/>
      <c r="CM16" s="155"/>
      <c r="CN16" s="155"/>
      <c r="CO16" s="155"/>
      <c r="CP16" s="155"/>
      <c r="CQ16" s="155"/>
      <c r="CR16" s="155"/>
      <c r="CS16" s="155"/>
      <c r="CT16" s="155"/>
      <c r="CU16" s="155"/>
      <c r="CV16" s="155"/>
      <c r="CW16" s="155"/>
      <c r="CX16" s="155"/>
      <c r="CY16" s="155"/>
      <c r="CZ16" s="155"/>
      <c r="DA16" s="155"/>
      <c r="DB16" s="155"/>
      <c r="DC16" s="155"/>
      <c r="DD16" s="155"/>
      <c r="DE16" s="155"/>
      <c r="DF16" s="155"/>
      <c r="DG16" s="155"/>
      <c r="DH16" s="155"/>
      <c r="DI16" s="155"/>
      <c r="DJ16" s="155"/>
      <c r="DK16" s="155"/>
      <c r="DL16" s="155"/>
      <c r="DM16" s="155"/>
      <c r="DN16" s="155"/>
      <c r="DO16" s="155"/>
      <c r="DP16" s="155"/>
      <c r="DQ16" s="155"/>
      <c r="DR16" s="155"/>
      <c r="DS16" s="155"/>
      <c r="DT16" s="155"/>
      <c r="DU16" s="155"/>
      <c r="DV16" s="155"/>
      <c r="DW16" s="155"/>
      <c r="DX16" s="155"/>
      <c r="DY16" s="155"/>
      <c r="DZ16" s="155"/>
      <c r="EA16" s="155"/>
      <c r="EB16" s="155"/>
      <c r="EC16" s="155"/>
      <c r="ED16" s="155"/>
      <c r="EE16" s="155"/>
      <c r="EF16" s="155"/>
      <c r="EG16" s="155"/>
      <c r="EH16" s="155"/>
      <c r="EI16" s="155"/>
      <c r="EJ16" s="155"/>
      <c r="EK16" s="155"/>
      <c r="EL16" s="155"/>
      <c r="EM16" s="155"/>
      <c r="EN16" s="155"/>
      <c r="EO16" s="155"/>
      <c r="EP16" s="155"/>
      <c r="EQ16" s="155"/>
      <c r="ER16" s="155"/>
      <c r="ES16" s="155"/>
      <c r="ET16" s="155"/>
      <c r="EU16" s="155"/>
      <c r="EV16" s="155"/>
      <c r="EW16" s="155"/>
      <c r="EX16" s="155"/>
      <c r="EY16" s="155"/>
      <c r="EZ16" s="155"/>
      <c r="FA16" s="155"/>
      <c r="FB16" s="155"/>
      <c r="FC16" s="155"/>
      <c r="FD16" s="155"/>
      <c r="FE16" s="155"/>
      <c r="FF16" s="155"/>
      <c r="FG16" s="155"/>
      <c r="FH16" s="155"/>
      <c r="FI16" s="155"/>
      <c r="FJ16" s="155"/>
      <c r="FK16" s="155"/>
      <c r="FL16" s="155"/>
      <c r="FM16" s="155"/>
      <c r="FN16" s="155"/>
      <c r="FO16" s="155"/>
      <c r="FP16" s="155"/>
      <c r="FQ16" s="155"/>
      <c r="FR16" s="155"/>
      <c r="FS16" s="155"/>
      <c r="FT16" s="155"/>
      <c r="FU16" s="155"/>
      <c r="FV16" s="155"/>
      <c r="FW16" s="155"/>
      <c r="FX16" s="155"/>
      <c r="FY16" s="155"/>
      <c r="FZ16" s="155"/>
      <c r="GA16" s="155"/>
      <c r="GB16" s="155"/>
      <c r="GC16" s="155"/>
      <c r="GD16" s="155"/>
      <c r="GE16" s="155"/>
      <c r="GF16" s="155"/>
      <c r="GG16" s="155"/>
      <c r="GH16" s="155"/>
      <c r="GI16" s="155"/>
      <c r="GJ16" s="155"/>
      <c r="GK16" s="155"/>
      <c r="GL16" s="155"/>
      <c r="GM16" s="155"/>
      <c r="GN16" s="155"/>
      <c r="GO16" s="155"/>
      <c r="GP16" s="155"/>
      <c r="GQ16" s="155"/>
      <c r="GR16" s="155"/>
      <c r="GS16" s="155"/>
      <c r="GT16" s="155"/>
      <c r="GU16" s="155"/>
      <c r="GV16" s="155"/>
      <c r="GW16" s="155"/>
      <c r="GX16" s="155"/>
      <c r="GY16" s="155"/>
      <c r="GZ16" s="155"/>
      <c r="HA16" s="155"/>
      <c r="HB16" s="155"/>
      <c r="HC16" s="155"/>
      <c r="HD16" s="155"/>
      <c r="HE16" s="155"/>
      <c r="HF16" s="155"/>
      <c r="HG16" s="155"/>
      <c r="HH16" s="155"/>
      <c r="HI16" s="155"/>
      <c r="HJ16" s="155"/>
      <c r="HK16" s="155"/>
      <c r="HL16" s="155"/>
      <c r="HM16" s="155"/>
      <c r="HN16" s="155"/>
      <c r="HO16" s="155"/>
      <c r="HP16" s="155"/>
      <c r="HQ16" s="155"/>
      <c r="HR16" s="155"/>
      <c r="HS16" s="155"/>
      <c r="HT16" s="155"/>
      <c r="HU16" s="155"/>
      <c r="HV16" s="155"/>
      <c r="HW16" s="155"/>
      <c r="HX16" s="155"/>
      <c r="HY16" s="155"/>
      <c r="HZ16" s="155"/>
      <c r="IA16" s="155"/>
      <c r="IB16" s="155"/>
      <c r="IC16" s="155"/>
      <c r="ID16" s="155"/>
      <c r="IE16" s="155"/>
      <c r="IF16" s="155"/>
      <c r="IG16" s="155"/>
      <c r="IH16" s="155"/>
      <c r="II16" s="155"/>
      <c r="IJ16" s="155"/>
      <c r="IK16" s="155"/>
      <c r="IL16" s="155"/>
      <c r="IM16" s="155"/>
      <c r="IN16" s="155"/>
      <c r="IO16" s="155"/>
      <c r="IP16" s="155"/>
      <c r="IQ16" s="155"/>
      <c r="IR16" s="155"/>
      <c r="IS16" s="155"/>
      <c r="IT16" s="155"/>
      <c r="IU16" s="155"/>
      <c r="IV16" s="155"/>
    </row>
    <row r="17" s="156" customFormat="true" ht="25.5" hidden="false" customHeight="true" outlineLevel="0" collapsed="false">
      <c r="A17" s="157" t="n">
        <f aca="false">IF(Eingabe!A21="","",Eingabe!A21)</f>
        <v>14</v>
      </c>
      <c r="B17" s="157"/>
      <c r="C17" s="157"/>
      <c r="D17" s="157"/>
      <c r="E17" s="158" t="str">
        <f aca="false">IF(Eingabe!B21="","",Eingabe!B21)</f>
        <v/>
      </c>
      <c r="F17" s="158"/>
      <c r="G17" s="158"/>
      <c r="H17" s="158"/>
      <c r="I17" s="159" t="str">
        <f aca="false">IF(Eingabe!C21="","",Eingabe!C21)</f>
        <v/>
      </c>
      <c r="J17" s="159"/>
      <c r="K17" s="159"/>
      <c r="L17" s="159"/>
      <c r="M17" s="160" t="str">
        <f aca="false">IF(Eingabe!D21&amp;""&amp;Eingabe!E21="","",Eingabe!D21&amp;" 
"&amp;Eingabe!E21)</f>
        <v/>
      </c>
      <c r="N17" s="160"/>
      <c r="O17" s="160"/>
      <c r="P17" s="160"/>
      <c r="Q17" s="160"/>
      <c r="R17" s="160"/>
      <c r="S17" s="160"/>
      <c r="T17" s="160"/>
      <c r="U17" s="160"/>
      <c r="V17" s="160"/>
      <c r="W17" s="160"/>
      <c r="X17" s="160"/>
      <c r="Y17" s="160"/>
      <c r="Z17" s="160"/>
      <c r="AA17" s="160"/>
      <c r="AB17" s="160"/>
      <c r="AC17" s="160"/>
      <c r="AD17" s="160"/>
      <c r="AE17" s="160"/>
      <c r="AF17" s="160"/>
      <c r="AG17" s="159" t="str">
        <f aca="false">IF(Eingabe!F21&amp;""&amp;Eingabe!G21="","",Eingabe!F21&amp;" 
"&amp;Eingabe!G21)</f>
        <v/>
      </c>
      <c r="AH17" s="159"/>
      <c r="AI17" s="159"/>
      <c r="AJ17" s="159"/>
      <c r="AK17" s="159"/>
      <c r="AL17" s="159"/>
      <c r="AM17" s="159"/>
      <c r="AN17" s="159"/>
      <c r="AO17" s="159"/>
      <c r="AP17" s="159"/>
      <c r="AQ17" s="159"/>
      <c r="AR17" s="159"/>
      <c r="AS17" s="159"/>
      <c r="AT17" s="159"/>
      <c r="AU17" s="159"/>
      <c r="AV17" s="159"/>
      <c r="AW17" s="159"/>
      <c r="AX17" s="159" t="str">
        <f aca="false">IF(Eingabe!H21="","",Eingabe!H21)</f>
        <v/>
      </c>
      <c r="AY17" s="159"/>
      <c r="AZ17" s="159"/>
      <c r="BA17" s="159"/>
      <c r="BB17" s="161" t="str">
        <f aca="false">IF(Eingabe!K21="","",Eingabe!K21)</f>
        <v/>
      </c>
      <c r="BC17" s="161"/>
      <c r="BD17" s="161"/>
      <c r="BE17" s="161"/>
      <c r="BF17" s="161"/>
      <c r="BG17" s="161"/>
      <c r="BH17" s="161"/>
      <c r="BI17" s="161"/>
      <c r="BJ17" s="161"/>
      <c r="BK17" s="161"/>
      <c r="BL17" s="161"/>
      <c r="BM17" s="161"/>
      <c r="BN17" s="161"/>
      <c r="BO17" s="155"/>
      <c r="BP17" s="155"/>
      <c r="BQ17" s="155"/>
      <c r="BR17" s="155"/>
      <c r="BS17" s="155"/>
      <c r="BT17" s="155"/>
      <c r="BU17" s="155"/>
      <c r="BV17" s="155"/>
      <c r="BW17" s="155"/>
      <c r="BX17" s="155"/>
      <c r="BY17" s="155"/>
      <c r="BZ17" s="155"/>
      <c r="CA17" s="155"/>
      <c r="CB17" s="155"/>
      <c r="CC17" s="155"/>
      <c r="CD17" s="155"/>
      <c r="CE17" s="155"/>
      <c r="CF17" s="155"/>
      <c r="CG17" s="155"/>
      <c r="CH17" s="155"/>
      <c r="CI17" s="155"/>
      <c r="CJ17" s="155"/>
      <c r="CK17" s="155"/>
      <c r="CL17" s="155"/>
      <c r="CM17" s="155"/>
      <c r="CN17" s="155"/>
      <c r="CO17" s="155"/>
      <c r="CP17" s="155"/>
      <c r="CQ17" s="155"/>
      <c r="CR17" s="155"/>
      <c r="CS17" s="155"/>
      <c r="CT17" s="155"/>
      <c r="CU17" s="155"/>
      <c r="CV17" s="155"/>
      <c r="CW17" s="155"/>
      <c r="CX17" s="155"/>
      <c r="CY17" s="155"/>
      <c r="CZ17" s="155"/>
      <c r="DA17" s="155"/>
      <c r="DB17" s="155"/>
      <c r="DC17" s="155"/>
      <c r="DD17" s="155"/>
      <c r="DE17" s="155"/>
      <c r="DF17" s="155"/>
      <c r="DG17" s="155"/>
      <c r="DH17" s="155"/>
      <c r="DI17" s="155"/>
      <c r="DJ17" s="155"/>
      <c r="DK17" s="155"/>
      <c r="DL17" s="155"/>
      <c r="DM17" s="155"/>
      <c r="DN17" s="155"/>
      <c r="DO17" s="155"/>
      <c r="DP17" s="155"/>
      <c r="DQ17" s="155"/>
      <c r="DR17" s="155"/>
      <c r="DS17" s="155"/>
      <c r="DT17" s="155"/>
      <c r="DU17" s="155"/>
      <c r="DV17" s="155"/>
      <c r="DW17" s="155"/>
      <c r="DX17" s="155"/>
      <c r="DY17" s="155"/>
      <c r="DZ17" s="155"/>
      <c r="EA17" s="155"/>
      <c r="EB17" s="155"/>
      <c r="EC17" s="155"/>
      <c r="ED17" s="155"/>
      <c r="EE17" s="155"/>
      <c r="EF17" s="155"/>
      <c r="EG17" s="155"/>
      <c r="EH17" s="155"/>
      <c r="EI17" s="155"/>
      <c r="EJ17" s="155"/>
      <c r="EK17" s="155"/>
      <c r="EL17" s="155"/>
      <c r="EM17" s="155"/>
      <c r="EN17" s="155"/>
      <c r="EO17" s="155"/>
      <c r="EP17" s="155"/>
      <c r="EQ17" s="155"/>
      <c r="ER17" s="155"/>
      <c r="ES17" s="155"/>
      <c r="ET17" s="155"/>
      <c r="EU17" s="155"/>
      <c r="EV17" s="155"/>
      <c r="EW17" s="155"/>
      <c r="EX17" s="155"/>
      <c r="EY17" s="155"/>
      <c r="EZ17" s="155"/>
      <c r="FA17" s="155"/>
      <c r="FB17" s="155"/>
      <c r="FC17" s="155"/>
      <c r="FD17" s="155"/>
      <c r="FE17" s="155"/>
      <c r="FF17" s="155"/>
      <c r="FG17" s="155"/>
      <c r="FH17" s="155"/>
      <c r="FI17" s="155"/>
      <c r="FJ17" s="155"/>
      <c r="FK17" s="155"/>
      <c r="FL17" s="155"/>
      <c r="FM17" s="155"/>
      <c r="FN17" s="155"/>
      <c r="FO17" s="155"/>
      <c r="FP17" s="155"/>
      <c r="FQ17" s="155"/>
      <c r="FR17" s="155"/>
      <c r="FS17" s="155"/>
      <c r="FT17" s="155"/>
      <c r="FU17" s="155"/>
      <c r="FV17" s="155"/>
      <c r="FW17" s="155"/>
      <c r="FX17" s="155"/>
      <c r="FY17" s="155"/>
      <c r="FZ17" s="155"/>
      <c r="GA17" s="155"/>
      <c r="GB17" s="155"/>
      <c r="GC17" s="155"/>
      <c r="GD17" s="155"/>
      <c r="GE17" s="155"/>
      <c r="GF17" s="155"/>
      <c r="GG17" s="155"/>
      <c r="GH17" s="155"/>
      <c r="GI17" s="155"/>
      <c r="GJ17" s="155"/>
      <c r="GK17" s="155"/>
      <c r="GL17" s="155"/>
      <c r="GM17" s="155"/>
      <c r="GN17" s="155"/>
      <c r="GO17" s="155"/>
      <c r="GP17" s="155"/>
      <c r="GQ17" s="155"/>
      <c r="GR17" s="155"/>
      <c r="GS17" s="155"/>
      <c r="GT17" s="155"/>
      <c r="GU17" s="155"/>
      <c r="GV17" s="155"/>
      <c r="GW17" s="155"/>
      <c r="GX17" s="155"/>
      <c r="GY17" s="155"/>
      <c r="GZ17" s="155"/>
      <c r="HA17" s="155"/>
      <c r="HB17" s="155"/>
      <c r="HC17" s="155"/>
      <c r="HD17" s="155"/>
      <c r="HE17" s="155"/>
      <c r="HF17" s="155"/>
      <c r="HG17" s="155"/>
      <c r="HH17" s="155"/>
      <c r="HI17" s="155"/>
      <c r="HJ17" s="155"/>
      <c r="HK17" s="155"/>
      <c r="HL17" s="155"/>
      <c r="HM17" s="155"/>
      <c r="HN17" s="155"/>
      <c r="HO17" s="155"/>
      <c r="HP17" s="155"/>
      <c r="HQ17" s="155"/>
      <c r="HR17" s="155"/>
      <c r="HS17" s="155"/>
      <c r="HT17" s="155"/>
      <c r="HU17" s="155"/>
      <c r="HV17" s="155"/>
      <c r="HW17" s="155"/>
      <c r="HX17" s="155"/>
      <c r="HY17" s="155"/>
      <c r="HZ17" s="155"/>
      <c r="IA17" s="155"/>
      <c r="IB17" s="155"/>
      <c r="IC17" s="155"/>
      <c r="ID17" s="155"/>
      <c r="IE17" s="155"/>
      <c r="IF17" s="155"/>
      <c r="IG17" s="155"/>
      <c r="IH17" s="155"/>
      <c r="II17" s="155"/>
      <c r="IJ17" s="155"/>
      <c r="IK17" s="155"/>
      <c r="IL17" s="155"/>
      <c r="IM17" s="155"/>
      <c r="IN17" s="155"/>
      <c r="IO17" s="155"/>
      <c r="IP17" s="155"/>
      <c r="IQ17" s="155"/>
      <c r="IR17" s="155"/>
      <c r="IS17" s="155"/>
      <c r="IT17" s="155"/>
      <c r="IU17" s="155"/>
      <c r="IV17" s="155"/>
    </row>
    <row r="18" s="156" customFormat="true" ht="25.5" hidden="false" customHeight="true" outlineLevel="0" collapsed="false">
      <c r="A18" s="157" t="n">
        <f aca="false">IF(Eingabe!A22="","",Eingabe!A22)</f>
        <v>15</v>
      </c>
      <c r="B18" s="157"/>
      <c r="C18" s="157"/>
      <c r="D18" s="157"/>
      <c r="E18" s="158" t="str">
        <f aca="false">IF(Eingabe!B22="","",Eingabe!B22)</f>
        <v/>
      </c>
      <c r="F18" s="158"/>
      <c r="G18" s="158"/>
      <c r="H18" s="158"/>
      <c r="I18" s="159" t="str">
        <f aca="false">IF(Eingabe!C22="","",Eingabe!C22)</f>
        <v/>
      </c>
      <c r="J18" s="159"/>
      <c r="K18" s="159"/>
      <c r="L18" s="159"/>
      <c r="M18" s="160" t="str">
        <f aca="false">IF(Eingabe!D22&amp;""&amp;Eingabe!E22="","",Eingabe!D22&amp;" 
"&amp;Eingabe!E22)</f>
        <v/>
      </c>
      <c r="N18" s="160"/>
      <c r="O18" s="160"/>
      <c r="P18" s="160"/>
      <c r="Q18" s="160"/>
      <c r="R18" s="160"/>
      <c r="S18" s="160"/>
      <c r="T18" s="160"/>
      <c r="U18" s="160"/>
      <c r="V18" s="160"/>
      <c r="W18" s="160"/>
      <c r="X18" s="160"/>
      <c r="Y18" s="160"/>
      <c r="Z18" s="160"/>
      <c r="AA18" s="160"/>
      <c r="AB18" s="160"/>
      <c r="AC18" s="160"/>
      <c r="AD18" s="160"/>
      <c r="AE18" s="160"/>
      <c r="AF18" s="160"/>
      <c r="AG18" s="159" t="str">
        <f aca="false">IF(Eingabe!F22&amp;""&amp;Eingabe!G22="","",Eingabe!F22&amp;" 
"&amp;Eingabe!G22)</f>
        <v/>
      </c>
      <c r="AH18" s="159"/>
      <c r="AI18" s="159"/>
      <c r="AJ18" s="159"/>
      <c r="AK18" s="159"/>
      <c r="AL18" s="159"/>
      <c r="AM18" s="159"/>
      <c r="AN18" s="159"/>
      <c r="AO18" s="159"/>
      <c r="AP18" s="159"/>
      <c r="AQ18" s="159"/>
      <c r="AR18" s="159"/>
      <c r="AS18" s="159"/>
      <c r="AT18" s="159"/>
      <c r="AU18" s="159"/>
      <c r="AV18" s="159"/>
      <c r="AW18" s="159"/>
      <c r="AX18" s="159" t="str">
        <f aca="false">IF(Eingabe!H22="","",Eingabe!H22)</f>
        <v/>
      </c>
      <c r="AY18" s="159"/>
      <c r="AZ18" s="159"/>
      <c r="BA18" s="159"/>
      <c r="BB18" s="161" t="str">
        <f aca="false">IF(Eingabe!K22="","",Eingabe!K22)</f>
        <v/>
      </c>
      <c r="BC18" s="161"/>
      <c r="BD18" s="161"/>
      <c r="BE18" s="161"/>
      <c r="BF18" s="161"/>
      <c r="BG18" s="161"/>
      <c r="BH18" s="161"/>
      <c r="BI18" s="161"/>
      <c r="BJ18" s="161"/>
      <c r="BK18" s="161"/>
      <c r="BL18" s="161"/>
      <c r="BM18" s="161"/>
      <c r="BN18" s="161"/>
      <c r="BO18" s="155"/>
      <c r="BP18" s="155"/>
      <c r="BQ18" s="155"/>
      <c r="BR18" s="155"/>
      <c r="BS18" s="155"/>
      <c r="BT18" s="155"/>
      <c r="BU18" s="155"/>
      <c r="BV18" s="155"/>
      <c r="BW18" s="155"/>
      <c r="BX18" s="155"/>
      <c r="BY18" s="155"/>
      <c r="BZ18" s="155"/>
      <c r="CA18" s="155"/>
      <c r="CB18" s="155"/>
      <c r="CC18" s="155"/>
      <c r="CD18" s="155"/>
      <c r="CE18" s="155"/>
      <c r="CF18" s="155"/>
      <c r="CG18" s="155"/>
      <c r="CH18" s="155"/>
      <c r="CI18" s="155"/>
      <c r="CJ18" s="155"/>
      <c r="CK18" s="155"/>
      <c r="CL18" s="155"/>
      <c r="CM18" s="155"/>
      <c r="CN18" s="155"/>
      <c r="CO18" s="155"/>
      <c r="CP18" s="155"/>
      <c r="CQ18" s="155"/>
      <c r="CR18" s="155"/>
      <c r="CS18" s="155"/>
      <c r="CT18" s="155"/>
      <c r="CU18" s="155"/>
      <c r="CV18" s="155"/>
      <c r="CW18" s="155"/>
      <c r="CX18" s="155"/>
      <c r="CY18" s="155"/>
      <c r="CZ18" s="155"/>
      <c r="DA18" s="155"/>
      <c r="DB18" s="155"/>
      <c r="DC18" s="155"/>
      <c r="DD18" s="155"/>
      <c r="DE18" s="155"/>
      <c r="DF18" s="155"/>
      <c r="DG18" s="155"/>
      <c r="DH18" s="155"/>
      <c r="DI18" s="155"/>
      <c r="DJ18" s="155"/>
      <c r="DK18" s="155"/>
      <c r="DL18" s="155"/>
      <c r="DM18" s="155"/>
      <c r="DN18" s="155"/>
      <c r="DO18" s="155"/>
      <c r="DP18" s="155"/>
      <c r="DQ18" s="155"/>
      <c r="DR18" s="155"/>
      <c r="DS18" s="155"/>
      <c r="DT18" s="155"/>
      <c r="DU18" s="155"/>
      <c r="DV18" s="155"/>
      <c r="DW18" s="155"/>
      <c r="DX18" s="155"/>
      <c r="DY18" s="155"/>
      <c r="DZ18" s="155"/>
      <c r="EA18" s="155"/>
      <c r="EB18" s="155"/>
      <c r="EC18" s="155"/>
      <c r="ED18" s="155"/>
      <c r="EE18" s="155"/>
      <c r="EF18" s="155"/>
      <c r="EG18" s="155"/>
      <c r="EH18" s="155"/>
      <c r="EI18" s="155"/>
      <c r="EJ18" s="155"/>
      <c r="EK18" s="155"/>
      <c r="EL18" s="155"/>
      <c r="EM18" s="155"/>
      <c r="EN18" s="155"/>
      <c r="EO18" s="155"/>
      <c r="EP18" s="155"/>
      <c r="EQ18" s="155"/>
      <c r="ER18" s="155"/>
      <c r="ES18" s="155"/>
      <c r="ET18" s="155"/>
      <c r="EU18" s="155"/>
      <c r="EV18" s="155"/>
      <c r="EW18" s="155"/>
      <c r="EX18" s="155"/>
      <c r="EY18" s="155"/>
      <c r="EZ18" s="155"/>
      <c r="FA18" s="155"/>
      <c r="FB18" s="155"/>
      <c r="FC18" s="155"/>
      <c r="FD18" s="155"/>
      <c r="FE18" s="155"/>
      <c r="FF18" s="155"/>
      <c r="FG18" s="155"/>
      <c r="FH18" s="155"/>
      <c r="FI18" s="155"/>
      <c r="FJ18" s="155"/>
      <c r="FK18" s="155"/>
      <c r="FL18" s="155"/>
      <c r="FM18" s="155"/>
      <c r="FN18" s="155"/>
      <c r="FO18" s="155"/>
      <c r="FP18" s="155"/>
      <c r="FQ18" s="155"/>
      <c r="FR18" s="155"/>
      <c r="FS18" s="155"/>
      <c r="FT18" s="155"/>
      <c r="FU18" s="155"/>
      <c r="FV18" s="155"/>
      <c r="FW18" s="155"/>
      <c r="FX18" s="155"/>
      <c r="FY18" s="155"/>
      <c r="FZ18" s="155"/>
      <c r="GA18" s="155"/>
      <c r="GB18" s="155"/>
      <c r="GC18" s="155"/>
      <c r="GD18" s="155"/>
      <c r="GE18" s="155"/>
      <c r="GF18" s="155"/>
      <c r="GG18" s="155"/>
      <c r="GH18" s="155"/>
      <c r="GI18" s="155"/>
      <c r="GJ18" s="155"/>
      <c r="GK18" s="155"/>
      <c r="GL18" s="155"/>
      <c r="GM18" s="155"/>
      <c r="GN18" s="155"/>
      <c r="GO18" s="155"/>
      <c r="GP18" s="155"/>
      <c r="GQ18" s="155"/>
      <c r="GR18" s="155"/>
      <c r="GS18" s="155"/>
      <c r="GT18" s="155"/>
      <c r="GU18" s="155"/>
      <c r="GV18" s="155"/>
      <c r="GW18" s="155"/>
      <c r="GX18" s="155"/>
      <c r="GY18" s="155"/>
      <c r="GZ18" s="155"/>
      <c r="HA18" s="155"/>
      <c r="HB18" s="155"/>
      <c r="HC18" s="155"/>
      <c r="HD18" s="155"/>
      <c r="HE18" s="155"/>
      <c r="HF18" s="155"/>
      <c r="HG18" s="155"/>
      <c r="HH18" s="155"/>
      <c r="HI18" s="155"/>
      <c r="HJ18" s="155"/>
      <c r="HK18" s="155"/>
      <c r="HL18" s="155"/>
      <c r="HM18" s="155"/>
      <c r="HN18" s="155"/>
      <c r="HO18" s="155"/>
      <c r="HP18" s="155"/>
      <c r="HQ18" s="155"/>
      <c r="HR18" s="155"/>
      <c r="HS18" s="155"/>
      <c r="HT18" s="155"/>
      <c r="HU18" s="155"/>
      <c r="HV18" s="155"/>
      <c r="HW18" s="155"/>
      <c r="HX18" s="155"/>
      <c r="HY18" s="155"/>
      <c r="HZ18" s="155"/>
      <c r="IA18" s="155"/>
      <c r="IB18" s="155"/>
      <c r="IC18" s="155"/>
      <c r="ID18" s="155"/>
      <c r="IE18" s="155"/>
      <c r="IF18" s="155"/>
      <c r="IG18" s="155"/>
      <c r="IH18" s="155"/>
      <c r="II18" s="155"/>
      <c r="IJ18" s="155"/>
      <c r="IK18" s="155"/>
      <c r="IL18" s="155"/>
      <c r="IM18" s="155"/>
      <c r="IN18" s="155"/>
      <c r="IO18" s="155"/>
      <c r="IP18" s="155"/>
      <c r="IQ18" s="155"/>
      <c r="IR18" s="155"/>
      <c r="IS18" s="155"/>
      <c r="IT18" s="155"/>
      <c r="IU18" s="155"/>
      <c r="IV18" s="155"/>
    </row>
    <row r="19" s="156" customFormat="true" ht="25.5" hidden="false" customHeight="true" outlineLevel="0" collapsed="false">
      <c r="A19" s="157" t="n">
        <f aca="false">IF(Eingabe!A23="","",Eingabe!A23)</f>
        <v>16</v>
      </c>
      <c r="B19" s="157"/>
      <c r="C19" s="157"/>
      <c r="D19" s="157"/>
      <c r="E19" s="158" t="str">
        <f aca="false">IF(Eingabe!B23="","",Eingabe!B23)</f>
        <v/>
      </c>
      <c r="F19" s="158"/>
      <c r="G19" s="158"/>
      <c r="H19" s="158"/>
      <c r="I19" s="159" t="str">
        <f aca="false">IF(Eingabe!C23="","",Eingabe!C23)</f>
        <v/>
      </c>
      <c r="J19" s="159"/>
      <c r="K19" s="159"/>
      <c r="L19" s="159"/>
      <c r="M19" s="160" t="str">
        <f aca="false">IF(Eingabe!D23&amp;""&amp;Eingabe!E23="","",Eingabe!D23&amp;" 
"&amp;Eingabe!E23)</f>
        <v/>
      </c>
      <c r="N19" s="160"/>
      <c r="O19" s="160"/>
      <c r="P19" s="160"/>
      <c r="Q19" s="160"/>
      <c r="R19" s="160"/>
      <c r="S19" s="160"/>
      <c r="T19" s="160"/>
      <c r="U19" s="160"/>
      <c r="V19" s="160"/>
      <c r="W19" s="160"/>
      <c r="X19" s="160"/>
      <c r="Y19" s="160"/>
      <c r="Z19" s="160"/>
      <c r="AA19" s="160"/>
      <c r="AB19" s="160"/>
      <c r="AC19" s="160"/>
      <c r="AD19" s="160"/>
      <c r="AE19" s="160"/>
      <c r="AF19" s="160"/>
      <c r="AG19" s="159" t="str">
        <f aca="false">IF(Eingabe!F23&amp;""&amp;Eingabe!G23="","",Eingabe!F23&amp;" 
"&amp;Eingabe!G23)</f>
        <v/>
      </c>
      <c r="AH19" s="159"/>
      <c r="AI19" s="159"/>
      <c r="AJ19" s="159"/>
      <c r="AK19" s="159"/>
      <c r="AL19" s="159"/>
      <c r="AM19" s="159"/>
      <c r="AN19" s="159"/>
      <c r="AO19" s="159"/>
      <c r="AP19" s="159"/>
      <c r="AQ19" s="159"/>
      <c r="AR19" s="159"/>
      <c r="AS19" s="159"/>
      <c r="AT19" s="159"/>
      <c r="AU19" s="159"/>
      <c r="AV19" s="159"/>
      <c r="AW19" s="159"/>
      <c r="AX19" s="159" t="str">
        <f aca="false">IF(Eingabe!H23="","",Eingabe!H23)</f>
        <v/>
      </c>
      <c r="AY19" s="159"/>
      <c r="AZ19" s="159"/>
      <c r="BA19" s="159"/>
      <c r="BB19" s="161" t="str">
        <f aca="false">IF(Eingabe!K23="","",Eingabe!K23)</f>
        <v/>
      </c>
      <c r="BC19" s="161"/>
      <c r="BD19" s="161"/>
      <c r="BE19" s="161"/>
      <c r="BF19" s="161"/>
      <c r="BG19" s="161"/>
      <c r="BH19" s="161"/>
      <c r="BI19" s="161"/>
      <c r="BJ19" s="161"/>
      <c r="BK19" s="161"/>
      <c r="BL19" s="161"/>
      <c r="BM19" s="161"/>
      <c r="BN19" s="161"/>
      <c r="BO19" s="155"/>
      <c r="BP19" s="155"/>
      <c r="BQ19" s="155"/>
      <c r="BR19" s="155"/>
      <c r="BS19" s="155"/>
      <c r="BT19" s="155"/>
      <c r="BU19" s="155"/>
      <c r="BV19" s="155"/>
      <c r="BW19" s="155"/>
      <c r="BX19" s="155"/>
      <c r="BY19" s="155"/>
      <c r="BZ19" s="155"/>
      <c r="CA19" s="155"/>
      <c r="CB19" s="155"/>
      <c r="CC19" s="155"/>
      <c r="CD19" s="155"/>
      <c r="CE19" s="155"/>
      <c r="CF19" s="155"/>
      <c r="CG19" s="155"/>
      <c r="CH19" s="155"/>
      <c r="CI19" s="155"/>
      <c r="CJ19" s="155"/>
      <c r="CK19" s="155"/>
      <c r="CL19" s="155"/>
      <c r="CM19" s="155"/>
      <c r="CN19" s="155"/>
      <c r="CO19" s="155"/>
      <c r="CP19" s="155"/>
      <c r="CQ19" s="155"/>
      <c r="CR19" s="155"/>
      <c r="CS19" s="155"/>
      <c r="CT19" s="155"/>
      <c r="CU19" s="155"/>
      <c r="CV19" s="155"/>
      <c r="CW19" s="155"/>
      <c r="CX19" s="155"/>
      <c r="CY19" s="155"/>
      <c r="CZ19" s="155"/>
      <c r="DA19" s="155"/>
      <c r="DB19" s="155"/>
      <c r="DC19" s="155"/>
      <c r="DD19" s="155"/>
      <c r="DE19" s="155"/>
      <c r="DF19" s="155"/>
      <c r="DG19" s="155"/>
      <c r="DH19" s="155"/>
      <c r="DI19" s="155"/>
      <c r="DJ19" s="155"/>
      <c r="DK19" s="155"/>
      <c r="DL19" s="155"/>
      <c r="DM19" s="155"/>
      <c r="DN19" s="155"/>
      <c r="DO19" s="155"/>
      <c r="DP19" s="155"/>
      <c r="DQ19" s="155"/>
      <c r="DR19" s="155"/>
      <c r="DS19" s="155"/>
      <c r="DT19" s="155"/>
      <c r="DU19" s="155"/>
      <c r="DV19" s="155"/>
      <c r="DW19" s="155"/>
      <c r="DX19" s="155"/>
      <c r="DY19" s="155"/>
      <c r="DZ19" s="155"/>
      <c r="EA19" s="155"/>
      <c r="EB19" s="155"/>
      <c r="EC19" s="155"/>
      <c r="ED19" s="155"/>
      <c r="EE19" s="155"/>
      <c r="EF19" s="155"/>
      <c r="EG19" s="155"/>
      <c r="EH19" s="155"/>
      <c r="EI19" s="155"/>
      <c r="EJ19" s="155"/>
      <c r="EK19" s="155"/>
      <c r="EL19" s="155"/>
      <c r="EM19" s="155"/>
      <c r="EN19" s="155"/>
      <c r="EO19" s="155"/>
      <c r="EP19" s="155"/>
      <c r="EQ19" s="155"/>
      <c r="ER19" s="155"/>
      <c r="ES19" s="155"/>
      <c r="ET19" s="155"/>
      <c r="EU19" s="155"/>
      <c r="EV19" s="155"/>
      <c r="EW19" s="155"/>
      <c r="EX19" s="155"/>
      <c r="EY19" s="155"/>
      <c r="EZ19" s="155"/>
      <c r="FA19" s="155"/>
      <c r="FB19" s="155"/>
      <c r="FC19" s="155"/>
      <c r="FD19" s="155"/>
      <c r="FE19" s="155"/>
      <c r="FF19" s="155"/>
      <c r="FG19" s="155"/>
      <c r="FH19" s="155"/>
      <c r="FI19" s="155"/>
      <c r="FJ19" s="155"/>
      <c r="FK19" s="155"/>
      <c r="FL19" s="155"/>
      <c r="FM19" s="155"/>
      <c r="FN19" s="155"/>
      <c r="FO19" s="155"/>
      <c r="FP19" s="155"/>
      <c r="FQ19" s="155"/>
      <c r="FR19" s="155"/>
      <c r="FS19" s="155"/>
      <c r="FT19" s="155"/>
      <c r="FU19" s="155"/>
      <c r="FV19" s="155"/>
      <c r="FW19" s="155"/>
      <c r="FX19" s="155"/>
      <c r="FY19" s="155"/>
      <c r="FZ19" s="155"/>
      <c r="GA19" s="155"/>
      <c r="GB19" s="155"/>
      <c r="GC19" s="155"/>
      <c r="GD19" s="155"/>
      <c r="GE19" s="155"/>
      <c r="GF19" s="155"/>
      <c r="GG19" s="155"/>
      <c r="GH19" s="155"/>
      <c r="GI19" s="155"/>
      <c r="GJ19" s="155"/>
      <c r="GK19" s="155"/>
      <c r="GL19" s="155"/>
      <c r="GM19" s="155"/>
      <c r="GN19" s="155"/>
      <c r="GO19" s="155"/>
      <c r="GP19" s="155"/>
      <c r="GQ19" s="155"/>
      <c r="GR19" s="155"/>
      <c r="GS19" s="155"/>
      <c r="GT19" s="155"/>
      <c r="GU19" s="155"/>
      <c r="GV19" s="155"/>
      <c r="GW19" s="155"/>
      <c r="GX19" s="155"/>
      <c r="GY19" s="155"/>
      <c r="GZ19" s="155"/>
      <c r="HA19" s="155"/>
      <c r="HB19" s="155"/>
      <c r="HC19" s="155"/>
      <c r="HD19" s="155"/>
      <c r="HE19" s="155"/>
      <c r="HF19" s="155"/>
      <c r="HG19" s="155"/>
      <c r="HH19" s="155"/>
      <c r="HI19" s="155"/>
      <c r="HJ19" s="155"/>
      <c r="HK19" s="155"/>
      <c r="HL19" s="155"/>
      <c r="HM19" s="155"/>
      <c r="HN19" s="155"/>
      <c r="HO19" s="155"/>
      <c r="HP19" s="155"/>
      <c r="HQ19" s="155"/>
      <c r="HR19" s="155"/>
      <c r="HS19" s="155"/>
      <c r="HT19" s="155"/>
      <c r="HU19" s="155"/>
      <c r="HV19" s="155"/>
      <c r="HW19" s="155"/>
      <c r="HX19" s="155"/>
      <c r="HY19" s="155"/>
      <c r="HZ19" s="155"/>
      <c r="IA19" s="155"/>
      <c r="IB19" s="155"/>
      <c r="IC19" s="155"/>
      <c r="ID19" s="155"/>
      <c r="IE19" s="155"/>
      <c r="IF19" s="155"/>
      <c r="IG19" s="155"/>
      <c r="IH19" s="155"/>
      <c r="II19" s="155"/>
      <c r="IJ19" s="155"/>
      <c r="IK19" s="155"/>
      <c r="IL19" s="155"/>
      <c r="IM19" s="155"/>
      <c r="IN19" s="155"/>
      <c r="IO19" s="155"/>
      <c r="IP19" s="155"/>
      <c r="IQ19" s="155"/>
      <c r="IR19" s="155"/>
      <c r="IS19" s="155"/>
      <c r="IT19" s="155"/>
      <c r="IU19" s="155"/>
      <c r="IV19" s="155"/>
    </row>
    <row r="20" s="156" customFormat="true" ht="25.5" hidden="false" customHeight="true" outlineLevel="0" collapsed="false">
      <c r="A20" s="157" t="n">
        <f aca="false">IF(Eingabe!A24="","",Eingabe!A24)</f>
        <v>17</v>
      </c>
      <c r="B20" s="157"/>
      <c r="C20" s="157"/>
      <c r="D20" s="157"/>
      <c r="E20" s="158" t="str">
        <f aca="false">IF(Eingabe!B24="","",Eingabe!B24)</f>
        <v/>
      </c>
      <c r="F20" s="158"/>
      <c r="G20" s="158"/>
      <c r="H20" s="158"/>
      <c r="I20" s="159" t="str">
        <f aca="false">IF(Eingabe!C24="","",Eingabe!C24)</f>
        <v/>
      </c>
      <c r="J20" s="159"/>
      <c r="K20" s="159"/>
      <c r="L20" s="159"/>
      <c r="M20" s="160" t="str">
        <f aca="false">IF(Eingabe!D24&amp;""&amp;Eingabe!E24="","",Eingabe!D24&amp;" 
"&amp;Eingabe!E24)</f>
        <v/>
      </c>
      <c r="N20" s="160"/>
      <c r="O20" s="160"/>
      <c r="P20" s="160"/>
      <c r="Q20" s="160"/>
      <c r="R20" s="160"/>
      <c r="S20" s="160"/>
      <c r="T20" s="160"/>
      <c r="U20" s="160"/>
      <c r="V20" s="160"/>
      <c r="W20" s="160"/>
      <c r="X20" s="160"/>
      <c r="Y20" s="160"/>
      <c r="Z20" s="160"/>
      <c r="AA20" s="160"/>
      <c r="AB20" s="160"/>
      <c r="AC20" s="160"/>
      <c r="AD20" s="160"/>
      <c r="AE20" s="160"/>
      <c r="AF20" s="160"/>
      <c r="AG20" s="159" t="str">
        <f aca="false">IF(Eingabe!F24&amp;""&amp;Eingabe!G24="","",Eingabe!F24&amp;" 
"&amp;Eingabe!G24)</f>
        <v/>
      </c>
      <c r="AH20" s="159"/>
      <c r="AI20" s="159"/>
      <c r="AJ20" s="159"/>
      <c r="AK20" s="159"/>
      <c r="AL20" s="159"/>
      <c r="AM20" s="159"/>
      <c r="AN20" s="159"/>
      <c r="AO20" s="159"/>
      <c r="AP20" s="159"/>
      <c r="AQ20" s="159"/>
      <c r="AR20" s="159"/>
      <c r="AS20" s="159"/>
      <c r="AT20" s="159"/>
      <c r="AU20" s="159"/>
      <c r="AV20" s="159"/>
      <c r="AW20" s="159"/>
      <c r="AX20" s="159" t="str">
        <f aca="false">IF(Eingabe!H24="","",Eingabe!H24)</f>
        <v/>
      </c>
      <c r="AY20" s="159"/>
      <c r="AZ20" s="159"/>
      <c r="BA20" s="159"/>
      <c r="BB20" s="161" t="str">
        <f aca="false">IF(Eingabe!K24="","",Eingabe!K24)</f>
        <v/>
      </c>
      <c r="BC20" s="161"/>
      <c r="BD20" s="161"/>
      <c r="BE20" s="161"/>
      <c r="BF20" s="161"/>
      <c r="BG20" s="161"/>
      <c r="BH20" s="161"/>
      <c r="BI20" s="161"/>
      <c r="BJ20" s="161"/>
      <c r="BK20" s="161"/>
      <c r="BL20" s="161"/>
      <c r="BM20" s="161"/>
      <c r="BN20" s="161"/>
      <c r="BO20" s="155"/>
      <c r="BP20" s="155"/>
      <c r="BQ20" s="155"/>
      <c r="BR20" s="155"/>
      <c r="BS20" s="155"/>
      <c r="BT20" s="155"/>
      <c r="BU20" s="155"/>
      <c r="BV20" s="155"/>
      <c r="BW20" s="155"/>
      <c r="BX20" s="155"/>
      <c r="BY20" s="155"/>
      <c r="BZ20" s="155"/>
      <c r="CA20" s="155"/>
      <c r="CB20" s="155"/>
      <c r="CC20" s="155"/>
      <c r="CD20" s="155"/>
      <c r="CE20" s="155"/>
      <c r="CF20" s="155"/>
      <c r="CG20" s="155"/>
      <c r="CH20" s="155"/>
      <c r="CI20" s="155"/>
      <c r="CJ20" s="155"/>
      <c r="CK20" s="155"/>
      <c r="CL20" s="155"/>
      <c r="CM20" s="155"/>
      <c r="CN20" s="155"/>
      <c r="CO20" s="155"/>
      <c r="CP20" s="155"/>
      <c r="CQ20" s="155"/>
      <c r="CR20" s="155"/>
      <c r="CS20" s="155"/>
      <c r="CT20" s="155"/>
      <c r="CU20" s="155"/>
      <c r="CV20" s="155"/>
      <c r="CW20" s="155"/>
      <c r="CX20" s="155"/>
      <c r="CY20" s="155"/>
      <c r="CZ20" s="155"/>
      <c r="DA20" s="155"/>
      <c r="DB20" s="155"/>
      <c r="DC20" s="155"/>
      <c r="DD20" s="155"/>
      <c r="DE20" s="155"/>
      <c r="DF20" s="155"/>
      <c r="DG20" s="155"/>
      <c r="DH20" s="155"/>
      <c r="DI20" s="155"/>
      <c r="DJ20" s="155"/>
      <c r="DK20" s="155"/>
      <c r="DL20" s="155"/>
      <c r="DM20" s="155"/>
      <c r="DN20" s="155"/>
      <c r="DO20" s="155"/>
      <c r="DP20" s="155"/>
      <c r="DQ20" s="155"/>
      <c r="DR20" s="155"/>
      <c r="DS20" s="155"/>
      <c r="DT20" s="155"/>
      <c r="DU20" s="155"/>
      <c r="DV20" s="155"/>
      <c r="DW20" s="155"/>
      <c r="DX20" s="155"/>
      <c r="DY20" s="155"/>
      <c r="DZ20" s="155"/>
      <c r="EA20" s="155"/>
      <c r="EB20" s="155"/>
      <c r="EC20" s="155"/>
      <c r="ED20" s="155"/>
      <c r="EE20" s="155"/>
      <c r="EF20" s="155"/>
      <c r="EG20" s="155"/>
      <c r="EH20" s="155"/>
      <c r="EI20" s="155"/>
      <c r="EJ20" s="155"/>
      <c r="EK20" s="155"/>
      <c r="EL20" s="155"/>
      <c r="EM20" s="155"/>
      <c r="EN20" s="155"/>
      <c r="EO20" s="155"/>
      <c r="EP20" s="155"/>
      <c r="EQ20" s="155"/>
      <c r="ER20" s="155"/>
      <c r="ES20" s="155"/>
      <c r="ET20" s="155"/>
      <c r="EU20" s="155"/>
      <c r="EV20" s="155"/>
      <c r="EW20" s="155"/>
      <c r="EX20" s="155"/>
      <c r="EY20" s="155"/>
      <c r="EZ20" s="155"/>
      <c r="FA20" s="155"/>
      <c r="FB20" s="155"/>
      <c r="FC20" s="155"/>
      <c r="FD20" s="155"/>
      <c r="FE20" s="155"/>
      <c r="FF20" s="155"/>
      <c r="FG20" s="155"/>
      <c r="FH20" s="155"/>
      <c r="FI20" s="155"/>
      <c r="FJ20" s="155"/>
      <c r="FK20" s="155"/>
      <c r="FL20" s="155"/>
      <c r="FM20" s="155"/>
      <c r="FN20" s="155"/>
      <c r="FO20" s="155"/>
      <c r="FP20" s="155"/>
      <c r="FQ20" s="155"/>
      <c r="FR20" s="155"/>
      <c r="FS20" s="155"/>
      <c r="FT20" s="155"/>
      <c r="FU20" s="155"/>
      <c r="FV20" s="155"/>
      <c r="FW20" s="155"/>
      <c r="FX20" s="155"/>
      <c r="FY20" s="155"/>
      <c r="FZ20" s="155"/>
      <c r="GA20" s="155"/>
      <c r="GB20" s="155"/>
      <c r="GC20" s="155"/>
      <c r="GD20" s="155"/>
      <c r="GE20" s="155"/>
      <c r="GF20" s="155"/>
      <c r="GG20" s="155"/>
      <c r="GH20" s="155"/>
      <c r="GI20" s="155"/>
      <c r="GJ20" s="155"/>
      <c r="GK20" s="155"/>
      <c r="GL20" s="155"/>
      <c r="GM20" s="155"/>
      <c r="GN20" s="155"/>
      <c r="GO20" s="155"/>
      <c r="GP20" s="155"/>
      <c r="GQ20" s="155"/>
      <c r="GR20" s="155"/>
      <c r="GS20" s="155"/>
      <c r="GT20" s="155"/>
      <c r="GU20" s="155"/>
      <c r="GV20" s="155"/>
      <c r="GW20" s="155"/>
      <c r="GX20" s="155"/>
      <c r="GY20" s="155"/>
      <c r="GZ20" s="155"/>
      <c r="HA20" s="155"/>
      <c r="HB20" s="155"/>
      <c r="HC20" s="155"/>
      <c r="HD20" s="155"/>
      <c r="HE20" s="155"/>
      <c r="HF20" s="155"/>
      <c r="HG20" s="155"/>
      <c r="HH20" s="155"/>
      <c r="HI20" s="155"/>
      <c r="HJ20" s="155"/>
      <c r="HK20" s="155"/>
      <c r="HL20" s="155"/>
      <c r="HM20" s="155"/>
      <c r="HN20" s="155"/>
      <c r="HO20" s="155"/>
      <c r="HP20" s="155"/>
      <c r="HQ20" s="155"/>
      <c r="HR20" s="155"/>
      <c r="HS20" s="155"/>
      <c r="HT20" s="155"/>
      <c r="HU20" s="155"/>
      <c r="HV20" s="155"/>
      <c r="HW20" s="155"/>
      <c r="HX20" s="155"/>
      <c r="HY20" s="155"/>
      <c r="HZ20" s="155"/>
      <c r="IA20" s="155"/>
      <c r="IB20" s="155"/>
      <c r="IC20" s="155"/>
      <c r="ID20" s="155"/>
      <c r="IE20" s="155"/>
      <c r="IF20" s="155"/>
      <c r="IG20" s="155"/>
      <c r="IH20" s="155"/>
      <c r="II20" s="155"/>
      <c r="IJ20" s="155"/>
      <c r="IK20" s="155"/>
      <c r="IL20" s="155"/>
      <c r="IM20" s="155"/>
      <c r="IN20" s="155"/>
      <c r="IO20" s="155"/>
      <c r="IP20" s="155"/>
      <c r="IQ20" s="155"/>
      <c r="IR20" s="155"/>
      <c r="IS20" s="155"/>
      <c r="IT20" s="155"/>
      <c r="IU20" s="155"/>
      <c r="IV20" s="155"/>
    </row>
    <row r="21" s="156" customFormat="true" ht="25.5" hidden="false" customHeight="true" outlineLevel="0" collapsed="false">
      <c r="A21" s="157" t="n">
        <f aca="false">IF(Eingabe!A25="","",Eingabe!A25)</f>
        <v>18</v>
      </c>
      <c r="B21" s="157"/>
      <c r="C21" s="157"/>
      <c r="D21" s="157"/>
      <c r="E21" s="158" t="str">
        <f aca="false">IF(Eingabe!B25="","",Eingabe!B25)</f>
        <v/>
      </c>
      <c r="F21" s="158"/>
      <c r="G21" s="158"/>
      <c r="H21" s="158"/>
      <c r="I21" s="159" t="str">
        <f aca="false">IF(Eingabe!C25="","",Eingabe!C25)</f>
        <v/>
      </c>
      <c r="J21" s="159"/>
      <c r="K21" s="159"/>
      <c r="L21" s="159"/>
      <c r="M21" s="160" t="str">
        <f aca="false">IF(Eingabe!D25&amp;""&amp;Eingabe!E25="","",Eingabe!D25&amp;" 
"&amp;Eingabe!E25)</f>
        <v/>
      </c>
      <c r="N21" s="160"/>
      <c r="O21" s="160"/>
      <c r="P21" s="160"/>
      <c r="Q21" s="160"/>
      <c r="R21" s="160"/>
      <c r="S21" s="160"/>
      <c r="T21" s="160"/>
      <c r="U21" s="160"/>
      <c r="V21" s="160"/>
      <c r="W21" s="160"/>
      <c r="X21" s="160"/>
      <c r="Y21" s="160"/>
      <c r="Z21" s="160"/>
      <c r="AA21" s="160"/>
      <c r="AB21" s="160"/>
      <c r="AC21" s="160"/>
      <c r="AD21" s="160"/>
      <c r="AE21" s="160"/>
      <c r="AF21" s="160"/>
      <c r="AG21" s="159" t="str">
        <f aca="false">IF(Eingabe!F25&amp;""&amp;Eingabe!G25="","",Eingabe!F25&amp;" 
"&amp;Eingabe!G25)</f>
        <v/>
      </c>
      <c r="AH21" s="159"/>
      <c r="AI21" s="159"/>
      <c r="AJ21" s="159"/>
      <c r="AK21" s="159"/>
      <c r="AL21" s="159"/>
      <c r="AM21" s="159"/>
      <c r="AN21" s="159"/>
      <c r="AO21" s="159"/>
      <c r="AP21" s="159"/>
      <c r="AQ21" s="159"/>
      <c r="AR21" s="159"/>
      <c r="AS21" s="159"/>
      <c r="AT21" s="159"/>
      <c r="AU21" s="159"/>
      <c r="AV21" s="159"/>
      <c r="AW21" s="159"/>
      <c r="AX21" s="159" t="str">
        <f aca="false">IF(Eingabe!H25="","",Eingabe!H25)</f>
        <v/>
      </c>
      <c r="AY21" s="159"/>
      <c r="AZ21" s="159"/>
      <c r="BA21" s="159"/>
      <c r="BB21" s="161" t="str">
        <f aca="false">IF(Eingabe!K25="","",Eingabe!K25)</f>
        <v/>
      </c>
      <c r="BC21" s="161"/>
      <c r="BD21" s="161"/>
      <c r="BE21" s="161"/>
      <c r="BF21" s="161"/>
      <c r="BG21" s="161"/>
      <c r="BH21" s="161"/>
      <c r="BI21" s="161"/>
      <c r="BJ21" s="161"/>
      <c r="BK21" s="161"/>
      <c r="BL21" s="161"/>
      <c r="BM21" s="161"/>
      <c r="BN21" s="161"/>
      <c r="BO21" s="155"/>
      <c r="BP21" s="155"/>
      <c r="BQ21" s="155"/>
      <c r="BR21" s="155"/>
      <c r="BS21" s="155"/>
      <c r="BT21" s="155"/>
      <c r="BU21" s="155"/>
      <c r="BV21" s="155"/>
      <c r="BW21" s="155"/>
      <c r="BX21" s="155"/>
      <c r="BY21" s="155"/>
      <c r="BZ21" s="155"/>
      <c r="CA21" s="155"/>
      <c r="CB21" s="155"/>
      <c r="CC21" s="155"/>
      <c r="CD21" s="155"/>
      <c r="CE21" s="155"/>
      <c r="CF21" s="155"/>
      <c r="CG21" s="155"/>
      <c r="CH21" s="155"/>
      <c r="CI21" s="155"/>
      <c r="CJ21" s="155"/>
      <c r="CK21" s="155"/>
      <c r="CL21" s="155"/>
      <c r="CM21" s="155"/>
      <c r="CN21" s="155"/>
      <c r="CO21" s="155"/>
      <c r="CP21" s="155"/>
      <c r="CQ21" s="155"/>
      <c r="CR21" s="155"/>
      <c r="CS21" s="155"/>
      <c r="CT21" s="155"/>
      <c r="CU21" s="155"/>
      <c r="CV21" s="155"/>
      <c r="CW21" s="155"/>
      <c r="CX21" s="155"/>
      <c r="CY21" s="155"/>
      <c r="CZ21" s="155"/>
      <c r="DA21" s="155"/>
      <c r="DB21" s="155"/>
      <c r="DC21" s="155"/>
      <c r="DD21" s="155"/>
      <c r="DE21" s="155"/>
      <c r="DF21" s="155"/>
      <c r="DG21" s="155"/>
      <c r="DH21" s="155"/>
      <c r="DI21" s="155"/>
      <c r="DJ21" s="155"/>
      <c r="DK21" s="155"/>
      <c r="DL21" s="155"/>
      <c r="DM21" s="155"/>
      <c r="DN21" s="155"/>
      <c r="DO21" s="155"/>
      <c r="DP21" s="155"/>
      <c r="DQ21" s="155"/>
      <c r="DR21" s="155"/>
      <c r="DS21" s="155"/>
      <c r="DT21" s="155"/>
      <c r="DU21" s="155"/>
      <c r="DV21" s="155"/>
      <c r="DW21" s="155"/>
      <c r="DX21" s="155"/>
      <c r="DY21" s="155"/>
      <c r="DZ21" s="155"/>
      <c r="EA21" s="155"/>
      <c r="EB21" s="155"/>
      <c r="EC21" s="155"/>
      <c r="ED21" s="155"/>
      <c r="EE21" s="155"/>
      <c r="EF21" s="155"/>
      <c r="EG21" s="155"/>
      <c r="EH21" s="155"/>
      <c r="EI21" s="155"/>
      <c r="EJ21" s="155"/>
      <c r="EK21" s="155"/>
      <c r="EL21" s="155"/>
      <c r="EM21" s="155"/>
      <c r="EN21" s="155"/>
      <c r="EO21" s="155"/>
      <c r="EP21" s="155"/>
      <c r="EQ21" s="155"/>
      <c r="ER21" s="155"/>
      <c r="ES21" s="155"/>
      <c r="ET21" s="155"/>
      <c r="EU21" s="155"/>
      <c r="EV21" s="155"/>
      <c r="EW21" s="155"/>
      <c r="EX21" s="155"/>
      <c r="EY21" s="155"/>
      <c r="EZ21" s="155"/>
      <c r="FA21" s="155"/>
      <c r="FB21" s="155"/>
      <c r="FC21" s="155"/>
      <c r="FD21" s="155"/>
      <c r="FE21" s="155"/>
      <c r="FF21" s="155"/>
      <c r="FG21" s="155"/>
      <c r="FH21" s="155"/>
      <c r="FI21" s="155"/>
      <c r="FJ21" s="155"/>
      <c r="FK21" s="155"/>
      <c r="FL21" s="155"/>
      <c r="FM21" s="155"/>
      <c r="FN21" s="155"/>
      <c r="FO21" s="155"/>
      <c r="FP21" s="155"/>
      <c r="FQ21" s="155"/>
      <c r="FR21" s="155"/>
      <c r="FS21" s="155"/>
      <c r="FT21" s="155"/>
      <c r="FU21" s="155"/>
      <c r="FV21" s="155"/>
      <c r="FW21" s="155"/>
      <c r="FX21" s="155"/>
      <c r="FY21" s="155"/>
      <c r="FZ21" s="155"/>
      <c r="GA21" s="155"/>
      <c r="GB21" s="155"/>
      <c r="GC21" s="155"/>
      <c r="GD21" s="155"/>
      <c r="GE21" s="155"/>
      <c r="GF21" s="155"/>
      <c r="GG21" s="155"/>
      <c r="GH21" s="155"/>
      <c r="GI21" s="155"/>
      <c r="GJ21" s="155"/>
      <c r="GK21" s="155"/>
      <c r="GL21" s="155"/>
      <c r="GM21" s="155"/>
      <c r="GN21" s="155"/>
      <c r="GO21" s="155"/>
      <c r="GP21" s="155"/>
      <c r="GQ21" s="155"/>
      <c r="GR21" s="155"/>
      <c r="GS21" s="155"/>
      <c r="GT21" s="155"/>
      <c r="GU21" s="155"/>
      <c r="GV21" s="155"/>
      <c r="GW21" s="155"/>
      <c r="GX21" s="155"/>
      <c r="GY21" s="155"/>
      <c r="GZ21" s="155"/>
      <c r="HA21" s="155"/>
      <c r="HB21" s="155"/>
      <c r="HC21" s="155"/>
      <c r="HD21" s="155"/>
      <c r="HE21" s="155"/>
      <c r="HF21" s="155"/>
      <c r="HG21" s="155"/>
      <c r="HH21" s="155"/>
      <c r="HI21" s="155"/>
      <c r="HJ21" s="155"/>
      <c r="HK21" s="155"/>
      <c r="HL21" s="155"/>
      <c r="HM21" s="155"/>
      <c r="HN21" s="155"/>
      <c r="HO21" s="155"/>
      <c r="HP21" s="155"/>
      <c r="HQ21" s="155"/>
      <c r="HR21" s="155"/>
      <c r="HS21" s="155"/>
      <c r="HT21" s="155"/>
      <c r="HU21" s="155"/>
      <c r="HV21" s="155"/>
      <c r="HW21" s="155"/>
      <c r="HX21" s="155"/>
      <c r="HY21" s="155"/>
      <c r="HZ21" s="155"/>
      <c r="IA21" s="155"/>
      <c r="IB21" s="155"/>
      <c r="IC21" s="155"/>
      <c r="ID21" s="155"/>
      <c r="IE21" s="155"/>
      <c r="IF21" s="155"/>
      <c r="IG21" s="155"/>
      <c r="IH21" s="155"/>
      <c r="II21" s="155"/>
      <c r="IJ21" s="155"/>
      <c r="IK21" s="155"/>
      <c r="IL21" s="155"/>
      <c r="IM21" s="155"/>
      <c r="IN21" s="155"/>
      <c r="IO21" s="155"/>
      <c r="IP21" s="155"/>
      <c r="IQ21" s="155"/>
      <c r="IR21" s="155"/>
      <c r="IS21" s="155"/>
      <c r="IT21" s="155"/>
      <c r="IU21" s="155"/>
      <c r="IV21" s="155"/>
    </row>
    <row r="22" s="156" customFormat="true" ht="25.5" hidden="false" customHeight="true" outlineLevel="0" collapsed="false">
      <c r="A22" s="157" t="n">
        <f aca="false">IF(Eingabe!A26="","",Eingabe!A26)</f>
        <v>19</v>
      </c>
      <c r="B22" s="157"/>
      <c r="C22" s="157"/>
      <c r="D22" s="157"/>
      <c r="E22" s="158" t="str">
        <f aca="false">IF(Eingabe!B26="","",Eingabe!B26)</f>
        <v/>
      </c>
      <c r="F22" s="158"/>
      <c r="G22" s="158"/>
      <c r="H22" s="158"/>
      <c r="I22" s="159" t="str">
        <f aca="false">IF(Eingabe!C26="","",Eingabe!C26)</f>
        <v/>
      </c>
      <c r="J22" s="159"/>
      <c r="K22" s="159"/>
      <c r="L22" s="159"/>
      <c r="M22" s="160" t="str">
        <f aca="false">IF(Eingabe!D26&amp;""&amp;Eingabe!E26="","",Eingabe!D26&amp;" 
"&amp;Eingabe!E26)</f>
        <v/>
      </c>
      <c r="N22" s="160"/>
      <c r="O22" s="160"/>
      <c r="P22" s="160"/>
      <c r="Q22" s="160"/>
      <c r="R22" s="160"/>
      <c r="S22" s="160"/>
      <c r="T22" s="160"/>
      <c r="U22" s="160"/>
      <c r="V22" s="160"/>
      <c r="W22" s="160"/>
      <c r="X22" s="160"/>
      <c r="Y22" s="160"/>
      <c r="Z22" s="160"/>
      <c r="AA22" s="160"/>
      <c r="AB22" s="160"/>
      <c r="AC22" s="160"/>
      <c r="AD22" s="160"/>
      <c r="AE22" s="160"/>
      <c r="AF22" s="160"/>
      <c r="AG22" s="159" t="str">
        <f aca="false">IF(Eingabe!F26&amp;""&amp;Eingabe!G26="","",Eingabe!F26&amp;" 
"&amp;Eingabe!G26)</f>
        <v/>
      </c>
      <c r="AH22" s="159"/>
      <c r="AI22" s="159"/>
      <c r="AJ22" s="159"/>
      <c r="AK22" s="159"/>
      <c r="AL22" s="159"/>
      <c r="AM22" s="159"/>
      <c r="AN22" s="159"/>
      <c r="AO22" s="159"/>
      <c r="AP22" s="159"/>
      <c r="AQ22" s="159"/>
      <c r="AR22" s="159"/>
      <c r="AS22" s="159"/>
      <c r="AT22" s="159"/>
      <c r="AU22" s="159"/>
      <c r="AV22" s="159"/>
      <c r="AW22" s="159"/>
      <c r="AX22" s="159" t="str">
        <f aca="false">IF(Eingabe!H26="","",Eingabe!H26)</f>
        <v/>
      </c>
      <c r="AY22" s="159"/>
      <c r="AZ22" s="159"/>
      <c r="BA22" s="159"/>
      <c r="BB22" s="161" t="str">
        <f aca="false">IF(Eingabe!K26="","",Eingabe!K26)</f>
        <v/>
      </c>
      <c r="BC22" s="161"/>
      <c r="BD22" s="161"/>
      <c r="BE22" s="161"/>
      <c r="BF22" s="161"/>
      <c r="BG22" s="161"/>
      <c r="BH22" s="161"/>
      <c r="BI22" s="161"/>
      <c r="BJ22" s="161"/>
      <c r="BK22" s="161"/>
      <c r="BL22" s="161"/>
      <c r="BM22" s="161"/>
      <c r="BN22" s="161"/>
      <c r="BO22" s="155"/>
      <c r="BP22" s="155"/>
      <c r="BQ22" s="155"/>
      <c r="BR22" s="155"/>
      <c r="BS22" s="155"/>
      <c r="BT22" s="155"/>
      <c r="BU22" s="155"/>
      <c r="BV22" s="155"/>
      <c r="BW22" s="155"/>
      <c r="BX22" s="155"/>
      <c r="BY22" s="155"/>
      <c r="BZ22" s="155"/>
      <c r="CA22" s="155"/>
      <c r="CB22" s="155"/>
      <c r="CC22" s="155"/>
      <c r="CD22" s="155"/>
      <c r="CE22" s="155"/>
      <c r="CF22" s="155"/>
      <c r="CG22" s="155"/>
      <c r="CH22" s="155"/>
      <c r="CI22" s="155"/>
      <c r="CJ22" s="155"/>
      <c r="CK22" s="155"/>
      <c r="CL22" s="155"/>
      <c r="CM22" s="155"/>
      <c r="CN22" s="155"/>
      <c r="CO22" s="155"/>
      <c r="CP22" s="155"/>
      <c r="CQ22" s="155"/>
      <c r="CR22" s="155"/>
      <c r="CS22" s="155"/>
      <c r="CT22" s="155"/>
      <c r="CU22" s="155"/>
      <c r="CV22" s="155"/>
      <c r="CW22" s="155"/>
      <c r="CX22" s="155"/>
      <c r="CY22" s="155"/>
      <c r="CZ22" s="155"/>
      <c r="DA22" s="155"/>
      <c r="DB22" s="155"/>
      <c r="DC22" s="155"/>
      <c r="DD22" s="155"/>
      <c r="DE22" s="155"/>
      <c r="DF22" s="155"/>
      <c r="DG22" s="155"/>
      <c r="DH22" s="155"/>
      <c r="DI22" s="155"/>
      <c r="DJ22" s="155"/>
      <c r="DK22" s="155"/>
      <c r="DL22" s="155"/>
      <c r="DM22" s="155"/>
      <c r="DN22" s="155"/>
      <c r="DO22" s="155"/>
      <c r="DP22" s="155"/>
      <c r="DQ22" s="155"/>
      <c r="DR22" s="155"/>
      <c r="DS22" s="155"/>
      <c r="DT22" s="155"/>
      <c r="DU22" s="155"/>
      <c r="DV22" s="155"/>
      <c r="DW22" s="155"/>
      <c r="DX22" s="155"/>
      <c r="DY22" s="155"/>
      <c r="DZ22" s="155"/>
      <c r="EA22" s="155"/>
      <c r="EB22" s="155"/>
      <c r="EC22" s="155"/>
      <c r="ED22" s="155"/>
      <c r="EE22" s="155"/>
      <c r="EF22" s="155"/>
      <c r="EG22" s="155"/>
      <c r="EH22" s="155"/>
      <c r="EI22" s="155"/>
      <c r="EJ22" s="155"/>
      <c r="EK22" s="155"/>
      <c r="EL22" s="155"/>
      <c r="EM22" s="155"/>
      <c r="EN22" s="155"/>
      <c r="EO22" s="155"/>
      <c r="EP22" s="155"/>
      <c r="EQ22" s="155"/>
      <c r="ER22" s="155"/>
      <c r="ES22" s="155"/>
      <c r="ET22" s="155"/>
      <c r="EU22" s="155"/>
      <c r="EV22" s="155"/>
      <c r="EW22" s="155"/>
      <c r="EX22" s="155"/>
      <c r="EY22" s="155"/>
      <c r="EZ22" s="155"/>
      <c r="FA22" s="155"/>
      <c r="FB22" s="155"/>
      <c r="FC22" s="155"/>
      <c r="FD22" s="155"/>
      <c r="FE22" s="155"/>
      <c r="FF22" s="155"/>
      <c r="FG22" s="155"/>
      <c r="FH22" s="155"/>
      <c r="FI22" s="155"/>
      <c r="FJ22" s="155"/>
      <c r="FK22" s="155"/>
      <c r="FL22" s="155"/>
      <c r="FM22" s="155"/>
      <c r="FN22" s="155"/>
      <c r="FO22" s="155"/>
      <c r="FP22" s="155"/>
      <c r="FQ22" s="155"/>
      <c r="FR22" s="155"/>
      <c r="FS22" s="155"/>
      <c r="FT22" s="155"/>
      <c r="FU22" s="155"/>
      <c r="FV22" s="155"/>
      <c r="FW22" s="155"/>
      <c r="FX22" s="155"/>
      <c r="FY22" s="155"/>
      <c r="FZ22" s="155"/>
      <c r="GA22" s="155"/>
      <c r="GB22" s="155"/>
      <c r="GC22" s="155"/>
      <c r="GD22" s="155"/>
      <c r="GE22" s="155"/>
      <c r="GF22" s="155"/>
      <c r="GG22" s="155"/>
      <c r="GH22" s="155"/>
      <c r="GI22" s="155"/>
      <c r="GJ22" s="155"/>
      <c r="GK22" s="155"/>
      <c r="GL22" s="155"/>
      <c r="GM22" s="155"/>
      <c r="GN22" s="155"/>
      <c r="GO22" s="155"/>
      <c r="GP22" s="155"/>
      <c r="GQ22" s="155"/>
      <c r="GR22" s="155"/>
      <c r="GS22" s="155"/>
      <c r="GT22" s="155"/>
      <c r="GU22" s="155"/>
      <c r="GV22" s="155"/>
      <c r="GW22" s="155"/>
      <c r="GX22" s="155"/>
      <c r="GY22" s="155"/>
      <c r="GZ22" s="155"/>
      <c r="HA22" s="155"/>
      <c r="HB22" s="155"/>
      <c r="HC22" s="155"/>
      <c r="HD22" s="155"/>
      <c r="HE22" s="155"/>
      <c r="HF22" s="155"/>
      <c r="HG22" s="155"/>
      <c r="HH22" s="155"/>
      <c r="HI22" s="155"/>
      <c r="HJ22" s="155"/>
      <c r="HK22" s="155"/>
      <c r="HL22" s="155"/>
      <c r="HM22" s="155"/>
      <c r="HN22" s="155"/>
      <c r="HO22" s="155"/>
      <c r="HP22" s="155"/>
      <c r="HQ22" s="155"/>
      <c r="HR22" s="155"/>
      <c r="HS22" s="155"/>
      <c r="HT22" s="155"/>
      <c r="HU22" s="155"/>
      <c r="HV22" s="155"/>
      <c r="HW22" s="155"/>
      <c r="HX22" s="155"/>
      <c r="HY22" s="155"/>
      <c r="HZ22" s="155"/>
      <c r="IA22" s="155"/>
      <c r="IB22" s="155"/>
      <c r="IC22" s="155"/>
      <c r="ID22" s="155"/>
      <c r="IE22" s="155"/>
      <c r="IF22" s="155"/>
      <c r="IG22" s="155"/>
      <c r="IH22" s="155"/>
      <c r="II22" s="155"/>
      <c r="IJ22" s="155"/>
      <c r="IK22" s="155"/>
      <c r="IL22" s="155"/>
      <c r="IM22" s="155"/>
      <c r="IN22" s="155"/>
      <c r="IO22" s="155"/>
      <c r="IP22" s="155"/>
      <c r="IQ22" s="155"/>
      <c r="IR22" s="155"/>
      <c r="IS22" s="155"/>
      <c r="IT22" s="155"/>
      <c r="IU22" s="155"/>
      <c r="IV22" s="155"/>
    </row>
    <row r="23" s="156" customFormat="true" ht="25.5" hidden="false" customHeight="true" outlineLevel="0" collapsed="false">
      <c r="A23" s="157" t="n">
        <f aca="false">IF(Eingabe!A27="","",Eingabe!A27)</f>
        <v>20</v>
      </c>
      <c r="B23" s="157"/>
      <c r="C23" s="157"/>
      <c r="D23" s="157"/>
      <c r="E23" s="158" t="str">
        <f aca="false">IF(Eingabe!B27="","",Eingabe!B27)</f>
        <v/>
      </c>
      <c r="F23" s="158"/>
      <c r="G23" s="158"/>
      <c r="H23" s="158"/>
      <c r="I23" s="159" t="str">
        <f aca="false">IF(Eingabe!C27="","",Eingabe!C27)</f>
        <v/>
      </c>
      <c r="J23" s="159"/>
      <c r="K23" s="159"/>
      <c r="L23" s="159"/>
      <c r="M23" s="160" t="str">
        <f aca="false">IF(Eingabe!D27&amp;""&amp;Eingabe!E27="","",Eingabe!D27&amp;" 
"&amp;Eingabe!E27)</f>
        <v/>
      </c>
      <c r="N23" s="160"/>
      <c r="O23" s="160"/>
      <c r="P23" s="160"/>
      <c r="Q23" s="160"/>
      <c r="R23" s="160"/>
      <c r="S23" s="160"/>
      <c r="T23" s="160"/>
      <c r="U23" s="160"/>
      <c r="V23" s="160"/>
      <c r="W23" s="160"/>
      <c r="X23" s="160"/>
      <c r="Y23" s="160"/>
      <c r="Z23" s="160"/>
      <c r="AA23" s="160"/>
      <c r="AB23" s="160"/>
      <c r="AC23" s="160"/>
      <c r="AD23" s="160"/>
      <c r="AE23" s="160"/>
      <c r="AF23" s="160"/>
      <c r="AG23" s="159" t="str">
        <f aca="false">IF(Eingabe!F27&amp;""&amp;Eingabe!G27="","",Eingabe!F27&amp;" 
"&amp;Eingabe!G27)</f>
        <v/>
      </c>
      <c r="AH23" s="159"/>
      <c r="AI23" s="159"/>
      <c r="AJ23" s="159"/>
      <c r="AK23" s="159"/>
      <c r="AL23" s="159"/>
      <c r="AM23" s="159"/>
      <c r="AN23" s="159"/>
      <c r="AO23" s="159"/>
      <c r="AP23" s="159"/>
      <c r="AQ23" s="159"/>
      <c r="AR23" s="159"/>
      <c r="AS23" s="159"/>
      <c r="AT23" s="159"/>
      <c r="AU23" s="159"/>
      <c r="AV23" s="159"/>
      <c r="AW23" s="159"/>
      <c r="AX23" s="159" t="str">
        <f aca="false">IF(Eingabe!H27="","",Eingabe!H27)</f>
        <v/>
      </c>
      <c r="AY23" s="159"/>
      <c r="AZ23" s="159"/>
      <c r="BA23" s="159"/>
      <c r="BB23" s="161" t="str">
        <f aca="false">IF(Eingabe!K27="","",Eingabe!K27)</f>
        <v/>
      </c>
      <c r="BC23" s="161"/>
      <c r="BD23" s="161"/>
      <c r="BE23" s="161"/>
      <c r="BF23" s="161"/>
      <c r="BG23" s="161"/>
      <c r="BH23" s="161"/>
      <c r="BI23" s="161"/>
      <c r="BJ23" s="161"/>
      <c r="BK23" s="161"/>
      <c r="BL23" s="161"/>
      <c r="BM23" s="161"/>
      <c r="BN23" s="161"/>
      <c r="BO23" s="155"/>
      <c r="BP23" s="155"/>
      <c r="BQ23" s="155"/>
      <c r="BR23" s="155"/>
      <c r="BS23" s="155"/>
      <c r="BT23" s="155"/>
      <c r="BU23" s="155"/>
      <c r="BV23" s="155"/>
      <c r="BW23" s="155"/>
      <c r="BX23" s="155"/>
      <c r="BY23" s="155"/>
      <c r="BZ23" s="155"/>
      <c r="CA23" s="155"/>
      <c r="CB23" s="155"/>
      <c r="CC23" s="155"/>
      <c r="CD23" s="155"/>
      <c r="CE23" s="155"/>
      <c r="CF23" s="155"/>
      <c r="CG23" s="155"/>
      <c r="CH23" s="155"/>
      <c r="CI23" s="155"/>
      <c r="CJ23" s="155"/>
      <c r="CK23" s="155"/>
      <c r="CL23" s="155"/>
      <c r="CM23" s="155"/>
      <c r="CN23" s="155"/>
      <c r="CO23" s="155"/>
      <c r="CP23" s="155"/>
      <c r="CQ23" s="155"/>
      <c r="CR23" s="155"/>
      <c r="CS23" s="155"/>
      <c r="CT23" s="155"/>
      <c r="CU23" s="155"/>
      <c r="CV23" s="155"/>
      <c r="CW23" s="155"/>
      <c r="CX23" s="155"/>
      <c r="CY23" s="155"/>
      <c r="CZ23" s="155"/>
      <c r="DA23" s="155"/>
      <c r="DB23" s="155"/>
      <c r="DC23" s="155"/>
      <c r="DD23" s="155"/>
      <c r="DE23" s="155"/>
      <c r="DF23" s="155"/>
      <c r="DG23" s="155"/>
      <c r="DH23" s="155"/>
      <c r="DI23" s="155"/>
      <c r="DJ23" s="155"/>
      <c r="DK23" s="155"/>
      <c r="DL23" s="155"/>
      <c r="DM23" s="155"/>
      <c r="DN23" s="155"/>
      <c r="DO23" s="155"/>
      <c r="DP23" s="155"/>
      <c r="DQ23" s="155"/>
      <c r="DR23" s="155"/>
      <c r="DS23" s="155"/>
      <c r="DT23" s="155"/>
      <c r="DU23" s="155"/>
      <c r="DV23" s="155"/>
      <c r="DW23" s="155"/>
      <c r="DX23" s="155"/>
      <c r="DY23" s="155"/>
      <c r="DZ23" s="155"/>
      <c r="EA23" s="155"/>
      <c r="EB23" s="155"/>
      <c r="EC23" s="155"/>
      <c r="ED23" s="155"/>
      <c r="EE23" s="155"/>
      <c r="EF23" s="155"/>
      <c r="EG23" s="155"/>
      <c r="EH23" s="155"/>
      <c r="EI23" s="155"/>
      <c r="EJ23" s="155"/>
      <c r="EK23" s="155"/>
      <c r="EL23" s="155"/>
      <c r="EM23" s="155"/>
      <c r="EN23" s="155"/>
      <c r="EO23" s="155"/>
      <c r="EP23" s="155"/>
      <c r="EQ23" s="155"/>
      <c r="ER23" s="155"/>
      <c r="ES23" s="155"/>
      <c r="ET23" s="155"/>
      <c r="EU23" s="155"/>
      <c r="EV23" s="155"/>
      <c r="EW23" s="155"/>
      <c r="EX23" s="155"/>
      <c r="EY23" s="155"/>
      <c r="EZ23" s="155"/>
      <c r="FA23" s="155"/>
      <c r="FB23" s="155"/>
      <c r="FC23" s="155"/>
      <c r="FD23" s="155"/>
      <c r="FE23" s="155"/>
      <c r="FF23" s="155"/>
      <c r="FG23" s="155"/>
      <c r="FH23" s="155"/>
      <c r="FI23" s="155"/>
      <c r="FJ23" s="155"/>
      <c r="FK23" s="155"/>
      <c r="FL23" s="155"/>
      <c r="FM23" s="155"/>
      <c r="FN23" s="155"/>
      <c r="FO23" s="155"/>
      <c r="FP23" s="155"/>
      <c r="FQ23" s="155"/>
      <c r="FR23" s="155"/>
      <c r="FS23" s="155"/>
      <c r="FT23" s="155"/>
      <c r="FU23" s="155"/>
      <c r="FV23" s="155"/>
      <c r="FW23" s="155"/>
      <c r="FX23" s="155"/>
      <c r="FY23" s="155"/>
      <c r="FZ23" s="155"/>
      <c r="GA23" s="155"/>
      <c r="GB23" s="155"/>
      <c r="GC23" s="155"/>
      <c r="GD23" s="155"/>
      <c r="GE23" s="155"/>
      <c r="GF23" s="155"/>
      <c r="GG23" s="155"/>
      <c r="GH23" s="155"/>
      <c r="GI23" s="155"/>
      <c r="GJ23" s="155"/>
      <c r="GK23" s="155"/>
      <c r="GL23" s="155"/>
      <c r="GM23" s="155"/>
      <c r="GN23" s="155"/>
      <c r="GO23" s="155"/>
      <c r="GP23" s="155"/>
      <c r="GQ23" s="155"/>
      <c r="GR23" s="155"/>
      <c r="GS23" s="155"/>
      <c r="GT23" s="155"/>
      <c r="GU23" s="155"/>
      <c r="GV23" s="155"/>
      <c r="GW23" s="155"/>
      <c r="GX23" s="155"/>
      <c r="GY23" s="155"/>
      <c r="GZ23" s="155"/>
      <c r="HA23" s="155"/>
      <c r="HB23" s="155"/>
      <c r="HC23" s="155"/>
      <c r="HD23" s="155"/>
      <c r="HE23" s="155"/>
      <c r="HF23" s="155"/>
      <c r="HG23" s="155"/>
      <c r="HH23" s="155"/>
      <c r="HI23" s="155"/>
      <c r="HJ23" s="155"/>
      <c r="HK23" s="155"/>
      <c r="HL23" s="155"/>
      <c r="HM23" s="155"/>
      <c r="HN23" s="155"/>
      <c r="HO23" s="155"/>
      <c r="HP23" s="155"/>
      <c r="HQ23" s="155"/>
      <c r="HR23" s="155"/>
      <c r="HS23" s="155"/>
      <c r="HT23" s="155"/>
      <c r="HU23" s="155"/>
      <c r="HV23" s="155"/>
      <c r="HW23" s="155"/>
      <c r="HX23" s="155"/>
      <c r="HY23" s="155"/>
      <c r="HZ23" s="155"/>
      <c r="IA23" s="155"/>
      <c r="IB23" s="155"/>
      <c r="IC23" s="155"/>
      <c r="ID23" s="155"/>
      <c r="IE23" s="155"/>
      <c r="IF23" s="155"/>
      <c r="IG23" s="155"/>
      <c r="IH23" s="155"/>
      <c r="II23" s="155"/>
      <c r="IJ23" s="155"/>
      <c r="IK23" s="155"/>
      <c r="IL23" s="155"/>
      <c r="IM23" s="155"/>
      <c r="IN23" s="155"/>
      <c r="IO23" s="155"/>
      <c r="IP23" s="155"/>
      <c r="IQ23" s="155"/>
      <c r="IR23" s="155"/>
      <c r="IS23" s="155"/>
      <c r="IT23" s="155"/>
      <c r="IU23" s="155"/>
      <c r="IV23" s="155"/>
    </row>
    <row r="24" s="156" customFormat="true" ht="25.5" hidden="false" customHeight="true" outlineLevel="0" collapsed="false">
      <c r="A24" s="157" t="n">
        <f aca="false">IF(Eingabe!A28="","",Eingabe!A28)</f>
        <v>21</v>
      </c>
      <c r="B24" s="157"/>
      <c r="C24" s="157"/>
      <c r="D24" s="157"/>
      <c r="E24" s="158" t="str">
        <f aca="false">IF(Eingabe!B28="","",Eingabe!B28)</f>
        <v/>
      </c>
      <c r="F24" s="158"/>
      <c r="G24" s="158"/>
      <c r="H24" s="158"/>
      <c r="I24" s="159" t="str">
        <f aca="false">IF(Eingabe!C28="","",Eingabe!C28)</f>
        <v/>
      </c>
      <c r="J24" s="159"/>
      <c r="K24" s="159"/>
      <c r="L24" s="159"/>
      <c r="M24" s="160" t="str">
        <f aca="false">IF(Eingabe!D28&amp;""&amp;Eingabe!E28="","",Eingabe!D28&amp;" 
"&amp;Eingabe!E28)</f>
        <v/>
      </c>
      <c r="N24" s="160"/>
      <c r="O24" s="160"/>
      <c r="P24" s="160"/>
      <c r="Q24" s="160"/>
      <c r="R24" s="160"/>
      <c r="S24" s="160"/>
      <c r="T24" s="160"/>
      <c r="U24" s="160"/>
      <c r="V24" s="160"/>
      <c r="W24" s="160"/>
      <c r="X24" s="160"/>
      <c r="Y24" s="160"/>
      <c r="Z24" s="160"/>
      <c r="AA24" s="160"/>
      <c r="AB24" s="160"/>
      <c r="AC24" s="160"/>
      <c r="AD24" s="160"/>
      <c r="AE24" s="160"/>
      <c r="AF24" s="160"/>
      <c r="AG24" s="159" t="str">
        <f aca="false">IF(Eingabe!F28&amp;""&amp;Eingabe!G28="","",Eingabe!F28&amp;" 
"&amp;Eingabe!G28)</f>
        <v/>
      </c>
      <c r="AH24" s="159"/>
      <c r="AI24" s="159"/>
      <c r="AJ24" s="159"/>
      <c r="AK24" s="159"/>
      <c r="AL24" s="159"/>
      <c r="AM24" s="159"/>
      <c r="AN24" s="159"/>
      <c r="AO24" s="159"/>
      <c r="AP24" s="159"/>
      <c r="AQ24" s="159"/>
      <c r="AR24" s="159"/>
      <c r="AS24" s="159"/>
      <c r="AT24" s="159"/>
      <c r="AU24" s="159"/>
      <c r="AV24" s="159"/>
      <c r="AW24" s="159"/>
      <c r="AX24" s="159" t="str">
        <f aca="false">IF(Eingabe!H28="","",Eingabe!H28)</f>
        <v/>
      </c>
      <c r="AY24" s="159"/>
      <c r="AZ24" s="159"/>
      <c r="BA24" s="159"/>
      <c r="BB24" s="161" t="str">
        <f aca="false">IF(Eingabe!K28="","",Eingabe!K28)</f>
        <v/>
      </c>
      <c r="BC24" s="161"/>
      <c r="BD24" s="161"/>
      <c r="BE24" s="161"/>
      <c r="BF24" s="161"/>
      <c r="BG24" s="161"/>
      <c r="BH24" s="161"/>
      <c r="BI24" s="161"/>
      <c r="BJ24" s="161"/>
      <c r="BK24" s="161"/>
      <c r="BL24" s="161"/>
      <c r="BM24" s="161"/>
      <c r="BN24" s="161"/>
      <c r="BO24" s="155"/>
      <c r="BP24" s="155"/>
      <c r="BQ24" s="155"/>
      <c r="BR24" s="155"/>
      <c r="BS24" s="155"/>
      <c r="BT24" s="155"/>
      <c r="BU24" s="155"/>
      <c r="BV24" s="155"/>
      <c r="BW24" s="155"/>
      <c r="BX24" s="155"/>
      <c r="BY24" s="155"/>
      <c r="BZ24" s="155"/>
      <c r="CA24" s="155"/>
      <c r="CB24" s="155"/>
      <c r="CC24" s="155"/>
      <c r="CD24" s="155"/>
      <c r="CE24" s="155"/>
      <c r="CF24" s="155"/>
      <c r="CG24" s="155"/>
      <c r="CH24" s="155"/>
      <c r="CI24" s="155"/>
      <c r="CJ24" s="155"/>
      <c r="CK24" s="155"/>
      <c r="CL24" s="155"/>
      <c r="CM24" s="155"/>
      <c r="CN24" s="155"/>
      <c r="CO24" s="155"/>
      <c r="CP24" s="155"/>
      <c r="CQ24" s="155"/>
      <c r="CR24" s="155"/>
      <c r="CS24" s="155"/>
      <c r="CT24" s="155"/>
      <c r="CU24" s="155"/>
      <c r="CV24" s="155"/>
      <c r="CW24" s="155"/>
      <c r="CX24" s="155"/>
      <c r="CY24" s="155"/>
      <c r="CZ24" s="155"/>
      <c r="DA24" s="155"/>
      <c r="DB24" s="155"/>
      <c r="DC24" s="155"/>
      <c r="DD24" s="155"/>
      <c r="DE24" s="155"/>
      <c r="DF24" s="155"/>
      <c r="DG24" s="155"/>
      <c r="DH24" s="155"/>
      <c r="DI24" s="155"/>
      <c r="DJ24" s="155"/>
      <c r="DK24" s="155"/>
      <c r="DL24" s="155"/>
      <c r="DM24" s="155"/>
      <c r="DN24" s="155"/>
      <c r="DO24" s="155"/>
      <c r="DP24" s="155"/>
      <c r="DQ24" s="155"/>
      <c r="DR24" s="155"/>
      <c r="DS24" s="155"/>
      <c r="DT24" s="155"/>
      <c r="DU24" s="155"/>
      <c r="DV24" s="155"/>
      <c r="DW24" s="155"/>
      <c r="DX24" s="155"/>
      <c r="DY24" s="155"/>
      <c r="DZ24" s="155"/>
      <c r="EA24" s="155"/>
      <c r="EB24" s="155"/>
      <c r="EC24" s="155"/>
      <c r="ED24" s="155"/>
      <c r="EE24" s="155"/>
      <c r="EF24" s="155"/>
      <c r="EG24" s="155"/>
      <c r="EH24" s="155"/>
      <c r="EI24" s="155"/>
      <c r="EJ24" s="155"/>
      <c r="EK24" s="155"/>
      <c r="EL24" s="155"/>
      <c r="EM24" s="155"/>
      <c r="EN24" s="155"/>
      <c r="EO24" s="155"/>
      <c r="EP24" s="155"/>
      <c r="EQ24" s="155"/>
      <c r="ER24" s="155"/>
      <c r="ES24" s="155"/>
      <c r="ET24" s="155"/>
      <c r="EU24" s="155"/>
      <c r="EV24" s="155"/>
      <c r="EW24" s="155"/>
      <c r="EX24" s="155"/>
      <c r="EY24" s="155"/>
      <c r="EZ24" s="155"/>
      <c r="FA24" s="155"/>
      <c r="FB24" s="155"/>
      <c r="FC24" s="155"/>
      <c r="FD24" s="155"/>
      <c r="FE24" s="155"/>
      <c r="FF24" s="155"/>
      <c r="FG24" s="155"/>
      <c r="FH24" s="155"/>
      <c r="FI24" s="155"/>
      <c r="FJ24" s="155"/>
      <c r="FK24" s="155"/>
      <c r="FL24" s="155"/>
      <c r="FM24" s="155"/>
      <c r="FN24" s="155"/>
      <c r="FO24" s="155"/>
      <c r="FP24" s="155"/>
      <c r="FQ24" s="155"/>
      <c r="FR24" s="155"/>
      <c r="FS24" s="155"/>
      <c r="FT24" s="155"/>
      <c r="FU24" s="155"/>
      <c r="FV24" s="155"/>
      <c r="FW24" s="155"/>
      <c r="FX24" s="155"/>
      <c r="FY24" s="155"/>
      <c r="FZ24" s="155"/>
      <c r="GA24" s="155"/>
      <c r="GB24" s="155"/>
      <c r="GC24" s="155"/>
      <c r="GD24" s="155"/>
      <c r="GE24" s="155"/>
      <c r="GF24" s="155"/>
      <c r="GG24" s="155"/>
      <c r="GH24" s="155"/>
      <c r="GI24" s="155"/>
      <c r="GJ24" s="155"/>
      <c r="GK24" s="155"/>
      <c r="GL24" s="155"/>
      <c r="GM24" s="155"/>
      <c r="GN24" s="155"/>
      <c r="GO24" s="155"/>
      <c r="GP24" s="155"/>
      <c r="GQ24" s="155"/>
      <c r="GR24" s="155"/>
      <c r="GS24" s="155"/>
      <c r="GT24" s="155"/>
      <c r="GU24" s="155"/>
      <c r="GV24" s="155"/>
      <c r="GW24" s="155"/>
      <c r="GX24" s="155"/>
      <c r="GY24" s="155"/>
      <c r="GZ24" s="155"/>
      <c r="HA24" s="155"/>
      <c r="HB24" s="155"/>
      <c r="HC24" s="155"/>
      <c r="HD24" s="155"/>
      <c r="HE24" s="155"/>
      <c r="HF24" s="155"/>
      <c r="HG24" s="155"/>
      <c r="HH24" s="155"/>
      <c r="HI24" s="155"/>
      <c r="HJ24" s="155"/>
      <c r="HK24" s="155"/>
      <c r="HL24" s="155"/>
      <c r="HM24" s="155"/>
      <c r="HN24" s="155"/>
      <c r="HO24" s="155"/>
      <c r="HP24" s="155"/>
      <c r="HQ24" s="155"/>
      <c r="HR24" s="155"/>
      <c r="HS24" s="155"/>
      <c r="HT24" s="155"/>
      <c r="HU24" s="155"/>
      <c r="HV24" s="155"/>
      <c r="HW24" s="155"/>
      <c r="HX24" s="155"/>
      <c r="HY24" s="155"/>
      <c r="HZ24" s="155"/>
      <c r="IA24" s="155"/>
      <c r="IB24" s="155"/>
      <c r="IC24" s="155"/>
      <c r="ID24" s="155"/>
      <c r="IE24" s="155"/>
      <c r="IF24" s="155"/>
      <c r="IG24" s="155"/>
      <c r="IH24" s="155"/>
      <c r="II24" s="155"/>
      <c r="IJ24" s="155"/>
      <c r="IK24" s="155"/>
      <c r="IL24" s="155"/>
      <c r="IM24" s="155"/>
      <c r="IN24" s="155"/>
      <c r="IO24" s="155"/>
      <c r="IP24" s="155"/>
      <c r="IQ24" s="155"/>
      <c r="IR24" s="155"/>
      <c r="IS24" s="155"/>
      <c r="IT24" s="155"/>
      <c r="IU24" s="155"/>
      <c r="IV24" s="155"/>
    </row>
    <row r="25" s="156" customFormat="true" ht="25.5" hidden="false" customHeight="true" outlineLevel="0" collapsed="false">
      <c r="A25" s="157" t="n">
        <f aca="false">IF(Eingabe!A29="","",Eingabe!A29)</f>
        <v>22</v>
      </c>
      <c r="B25" s="157"/>
      <c r="C25" s="157"/>
      <c r="D25" s="157"/>
      <c r="E25" s="158" t="str">
        <f aca="false">IF(Eingabe!B29="","",Eingabe!B29)</f>
        <v/>
      </c>
      <c r="F25" s="158"/>
      <c r="G25" s="158"/>
      <c r="H25" s="158"/>
      <c r="I25" s="159" t="str">
        <f aca="false">IF(Eingabe!C29="","",Eingabe!C29)</f>
        <v/>
      </c>
      <c r="J25" s="159"/>
      <c r="K25" s="159"/>
      <c r="L25" s="159"/>
      <c r="M25" s="160" t="str">
        <f aca="false">IF(Eingabe!D29&amp;""&amp;Eingabe!E29="","",Eingabe!D29&amp;" 
"&amp;Eingabe!E29)</f>
        <v/>
      </c>
      <c r="N25" s="160"/>
      <c r="O25" s="160"/>
      <c r="P25" s="160"/>
      <c r="Q25" s="160"/>
      <c r="R25" s="160"/>
      <c r="S25" s="160"/>
      <c r="T25" s="160"/>
      <c r="U25" s="160"/>
      <c r="V25" s="160"/>
      <c r="W25" s="160"/>
      <c r="X25" s="160"/>
      <c r="Y25" s="160"/>
      <c r="Z25" s="160"/>
      <c r="AA25" s="160"/>
      <c r="AB25" s="160"/>
      <c r="AC25" s="160"/>
      <c r="AD25" s="160"/>
      <c r="AE25" s="160"/>
      <c r="AF25" s="160"/>
      <c r="AG25" s="159" t="str">
        <f aca="false">IF(Eingabe!F29&amp;""&amp;Eingabe!G29="","",Eingabe!F29&amp;" 
"&amp;Eingabe!G29)</f>
        <v/>
      </c>
      <c r="AH25" s="159"/>
      <c r="AI25" s="159"/>
      <c r="AJ25" s="159"/>
      <c r="AK25" s="159"/>
      <c r="AL25" s="159"/>
      <c r="AM25" s="159"/>
      <c r="AN25" s="159"/>
      <c r="AO25" s="159"/>
      <c r="AP25" s="159"/>
      <c r="AQ25" s="159"/>
      <c r="AR25" s="159"/>
      <c r="AS25" s="159"/>
      <c r="AT25" s="159"/>
      <c r="AU25" s="159"/>
      <c r="AV25" s="159"/>
      <c r="AW25" s="159"/>
      <c r="AX25" s="159" t="str">
        <f aca="false">IF(Eingabe!H29="","",Eingabe!H29)</f>
        <v/>
      </c>
      <c r="AY25" s="159"/>
      <c r="AZ25" s="159"/>
      <c r="BA25" s="159"/>
      <c r="BB25" s="161" t="str">
        <f aca="false">IF(Eingabe!K29="","",Eingabe!K29)</f>
        <v/>
      </c>
      <c r="BC25" s="161"/>
      <c r="BD25" s="161"/>
      <c r="BE25" s="161"/>
      <c r="BF25" s="161"/>
      <c r="BG25" s="161"/>
      <c r="BH25" s="161"/>
      <c r="BI25" s="161"/>
      <c r="BJ25" s="161"/>
      <c r="BK25" s="161"/>
      <c r="BL25" s="161"/>
      <c r="BM25" s="161"/>
      <c r="BN25" s="161"/>
      <c r="BO25" s="155"/>
      <c r="BP25" s="155"/>
      <c r="BQ25" s="155"/>
      <c r="BR25" s="155"/>
      <c r="BS25" s="155"/>
      <c r="BT25" s="155"/>
      <c r="BU25" s="155"/>
      <c r="BV25" s="155"/>
      <c r="BW25" s="155"/>
      <c r="BX25" s="155"/>
      <c r="BY25" s="155"/>
      <c r="BZ25" s="155"/>
      <c r="CA25" s="155"/>
      <c r="CB25" s="155"/>
      <c r="CC25" s="155"/>
      <c r="CD25" s="155"/>
      <c r="CE25" s="155"/>
      <c r="CF25" s="155"/>
      <c r="CG25" s="155"/>
      <c r="CH25" s="155"/>
      <c r="CI25" s="155"/>
      <c r="CJ25" s="155"/>
      <c r="CK25" s="155"/>
      <c r="CL25" s="155"/>
      <c r="CM25" s="155"/>
      <c r="CN25" s="155"/>
      <c r="CO25" s="155"/>
      <c r="CP25" s="155"/>
      <c r="CQ25" s="155"/>
      <c r="CR25" s="155"/>
      <c r="CS25" s="155"/>
      <c r="CT25" s="155"/>
      <c r="CU25" s="155"/>
      <c r="CV25" s="155"/>
      <c r="CW25" s="155"/>
      <c r="CX25" s="155"/>
      <c r="CY25" s="155"/>
      <c r="CZ25" s="155"/>
      <c r="DA25" s="155"/>
      <c r="DB25" s="155"/>
      <c r="DC25" s="155"/>
      <c r="DD25" s="155"/>
      <c r="DE25" s="155"/>
      <c r="DF25" s="155"/>
      <c r="DG25" s="155"/>
      <c r="DH25" s="155"/>
      <c r="DI25" s="155"/>
      <c r="DJ25" s="155"/>
      <c r="DK25" s="155"/>
      <c r="DL25" s="155"/>
      <c r="DM25" s="155"/>
      <c r="DN25" s="155"/>
      <c r="DO25" s="155"/>
      <c r="DP25" s="155"/>
      <c r="DQ25" s="155"/>
      <c r="DR25" s="155"/>
      <c r="DS25" s="155"/>
      <c r="DT25" s="155"/>
      <c r="DU25" s="155"/>
      <c r="DV25" s="155"/>
      <c r="DW25" s="155"/>
      <c r="DX25" s="155"/>
      <c r="DY25" s="155"/>
      <c r="DZ25" s="155"/>
      <c r="EA25" s="155"/>
      <c r="EB25" s="155"/>
      <c r="EC25" s="155"/>
      <c r="ED25" s="155"/>
      <c r="EE25" s="155"/>
      <c r="EF25" s="155"/>
      <c r="EG25" s="155"/>
      <c r="EH25" s="155"/>
      <c r="EI25" s="155"/>
      <c r="EJ25" s="155"/>
      <c r="EK25" s="155"/>
      <c r="EL25" s="155"/>
      <c r="EM25" s="155"/>
      <c r="EN25" s="155"/>
      <c r="EO25" s="155"/>
      <c r="EP25" s="155"/>
      <c r="EQ25" s="155"/>
      <c r="ER25" s="155"/>
      <c r="ES25" s="155"/>
      <c r="ET25" s="155"/>
      <c r="EU25" s="155"/>
      <c r="EV25" s="155"/>
      <c r="EW25" s="155"/>
      <c r="EX25" s="155"/>
      <c r="EY25" s="155"/>
      <c r="EZ25" s="155"/>
      <c r="FA25" s="155"/>
      <c r="FB25" s="155"/>
      <c r="FC25" s="155"/>
      <c r="FD25" s="155"/>
      <c r="FE25" s="155"/>
      <c r="FF25" s="155"/>
      <c r="FG25" s="155"/>
      <c r="FH25" s="155"/>
      <c r="FI25" s="155"/>
      <c r="FJ25" s="155"/>
      <c r="FK25" s="155"/>
      <c r="FL25" s="155"/>
      <c r="FM25" s="155"/>
      <c r="FN25" s="155"/>
      <c r="FO25" s="155"/>
      <c r="FP25" s="155"/>
      <c r="FQ25" s="155"/>
      <c r="FR25" s="155"/>
      <c r="FS25" s="155"/>
      <c r="FT25" s="155"/>
      <c r="FU25" s="155"/>
      <c r="FV25" s="155"/>
      <c r="FW25" s="155"/>
      <c r="FX25" s="155"/>
      <c r="FY25" s="155"/>
      <c r="FZ25" s="155"/>
      <c r="GA25" s="155"/>
      <c r="GB25" s="155"/>
      <c r="GC25" s="155"/>
      <c r="GD25" s="155"/>
      <c r="GE25" s="155"/>
      <c r="GF25" s="155"/>
      <c r="GG25" s="155"/>
      <c r="GH25" s="155"/>
      <c r="GI25" s="155"/>
      <c r="GJ25" s="155"/>
      <c r="GK25" s="155"/>
      <c r="GL25" s="155"/>
      <c r="GM25" s="155"/>
      <c r="GN25" s="155"/>
      <c r="GO25" s="155"/>
      <c r="GP25" s="155"/>
      <c r="GQ25" s="155"/>
      <c r="GR25" s="155"/>
      <c r="GS25" s="155"/>
      <c r="GT25" s="155"/>
      <c r="GU25" s="155"/>
      <c r="GV25" s="155"/>
      <c r="GW25" s="155"/>
      <c r="GX25" s="155"/>
      <c r="GY25" s="155"/>
      <c r="GZ25" s="155"/>
      <c r="HA25" s="155"/>
      <c r="HB25" s="155"/>
      <c r="HC25" s="155"/>
      <c r="HD25" s="155"/>
      <c r="HE25" s="155"/>
      <c r="HF25" s="155"/>
      <c r="HG25" s="155"/>
      <c r="HH25" s="155"/>
      <c r="HI25" s="155"/>
      <c r="HJ25" s="155"/>
      <c r="HK25" s="155"/>
      <c r="HL25" s="155"/>
      <c r="HM25" s="155"/>
      <c r="HN25" s="155"/>
      <c r="HO25" s="155"/>
      <c r="HP25" s="155"/>
      <c r="HQ25" s="155"/>
      <c r="HR25" s="155"/>
      <c r="HS25" s="155"/>
      <c r="HT25" s="155"/>
      <c r="HU25" s="155"/>
      <c r="HV25" s="155"/>
      <c r="HW25" s="155"/>
      <c r="HX25" s="155"/>
      <c r="HY25" s="155"/>
      <c r="HZ25" s="155"/>
      <c r="IA25" s="155"/>
      <c r="IB25" s="155"/>
      <c r="IC25" s="155"/>
      <c r="ID25" s="155"/>
      <c r="IE25" s="155"/>
      <c r="IF25" s="155"/>
      <c r="IG25" s="155"/>
      <c r="IH25" s="155"/>
      <c r="II25" s="155"/>
      <c r="IJ25" s="155"/>
      <c r="IK25" s="155"/>
      <c r="IL25" s="155"/>
      <c r="IM25" s="155"/>
      <c r="IN25" s="155"/>
      <c r="IO25" s="155"/>
      <c r="IP25" s="155"/>
      <c r="IQ25" s="155"/>
      <c r="IR25" s="155"/>
      <c r="IS25" s="155"/>
      <c r="IT25" s="155"/>
      <c r="IU25" s="155"/>
      <c r="IV25" s="155"/>
    </row>
    <row r="26" s="156" customFormat="true" ht="25.5" hidden="false" customHeight="true" outlineLevel="0" collapsed="false">
      <c r="A26" s="157" t="n">
        <f aca="false">IF(Eingabe!A30="","",Eingabe!A30)</f>
        <v>23</v>
      </c>
      <c r="B26" s="157"/>
      <c r="C26" s="157"/>
      <c r="D26" s="157"/>
      <c r="E26" s="158" t="str">
        <f aca="false">IF(Eingabe!B30="","",Eingabe!B30)</f>
        <v/>
      </c>
      <c r="F26" s="158"/>
      <c r="G26" s="158"/>
      <c r="H26" s="158"/>
      <c r="I26" s="159" t="str">
        <f aca="false">IF(Eingabe!C30="","",Eingabe!C30)</f>
        <v/>
      </c>
      <c r="J26" s="159"/>
      <c r="K26" s="159"/>
      <c r="L26" s="159"/>
      <c r="M26" s="160" t="str">
        <f aca="false">IF(Eingabe!D30&amp;""&amp;Eingabe!E30="","",Eingabe!D30&amp;" 
"&amp;Eingabe!E30)</f>
        <v/>
      </c>
      <c r="N26" s="160"/>
      <c r="O26" s="160"/>
      <c r="P26" s="160"/>
      <c r="Q26" s="160"/>
      <c r="R26" s="160"/>
      <c r="S26" s="160"/>
      <c r="T26" s="160"/>
      <c r="U26" s="160"/>
      <c r="V26" s="160"/>
      <c r="W26" s="160"/>
      <c r="X26" s="160"/>
      <c r="Y26" s="160"/>
      <c r="Z26" s="160"/>
      <c r="AA26" s="160"/>
      <c r="AB26" s="160"/>
      <c r="AC26" s="160"/>
      <c r="AD26" s="160"/>
      <c r="AE26" s="160"/>
      <c r="AF26" s="160"/>
      <c r="AG26" s="159" t="str">
        <f aca="false">IF(Eingabe!F30&amp;""&amp;Eingabe!G30="","",Eingabe!F30&amp;" 
"&amp;Eingabe!G30)</f>
        <v/>
      </c>
      <c r="AH26" s="159"/>
      <c r="AI26" s="159"/>
      <c r="AJ26" s="159"/>
      <c r="AK26" s="159"/>
      <c r="AL26" s="159"/>
      <c r="AM26" s="159"/>
      <c r="AN26" s="159"/>
      <c r="AO26" s="159"/>
      <c r="AP26" s="159"/>
      <c r="AQ26" s="159"/>
      <c r="AR26" s="159"/>
      <c r="AS26" s="159"/>
      <c r="AT26" s="159"/>
      <c r="AU26" s="159"/>
      <c r="AV26" s="159"/>
      <c r="AW26" s="159"/>
      <c r="AX26" s="159" t="str">
        <f aca="false">IF(Eingabe!H30="","",Eingabe!H30)</f>
        <v/>
      </c>
      <c r="AY26" s="159"/>
      <c r="AZ26" s="159"/>
      <c r="BA26" s="159"/>
      <c r="BB26" s="161" t="str">
        <f aca="false">IF(Eingabe!K30="","",Eingabe!K30)</f>
        <v/>
      </c>
      <c r="BC26" s="161"/>
      <c r="BD26" s="161"/>
      <c r="BE26" s="161"/>
      <c r="BF26" s="161"/>
      <c r="BG26" s="161"/>
      <c r="BH26" s="161"/>
      <c r="BI26" s="161"/>
      <c r="BJ26" s="161"/>
      <c r="BK26" s="161"/>
      <c r="BL26" s="161"/>
      <c r="BM26" s="161"/>
      <c r="BN26" s="161"/>
      <c r="BO26" s="155"/>
      <c r="BP26" s="155"/>
      <c r="BQ26" s="155"/>
      <c r="BR26" s="155"/>
      <c r="BS26" s="155"/>
      <c r="BT26" s="155"/>
      <c r="BU26" s="155"/>
      <c r="BV26" s="155"/>
      <c r="BW26" s="155"/>
      <c r="BX26" s="155"/>
      <c r="BY26" s="155"/>
      <c r="BZ26" s="155"/>
      <c r="CA26" s="155"/>
      <c r="CB26" s="155"/>
      <c r="CC26" s="155"/>
      <c r="CD26" s="155"/>
      <c r="CE26" s="155"/>
      <c r="CF26" s="155"/>
      <c r="CG26" s="155"/>
      <c r="CH26" s="155"/>
      <c r="CI26" s="155"/>
      <c r="CJ26" s="155"/>
      <c r="CK26" s="155"/>
      <c r="CL26" s="155"/>
      <c r="CM26" s="155"/>
      <c r="CN26" s="155"/>
      <c r="CO26" s="155"/>
      <c r="CP26" s="155"/>
      <c r="CQ26" s="155"/>
      <c r="CR26" s="155"/>
      <c r="CS26" s="155"/>
      <c r="CT26" s="155"/>
      <c r="CU26" s="155"/>
      <c r="CV26" s="155"/>
      <c r="CW26" s="155"/>
      <c r="CX26" s="155"/>
      <c r="CY26" s="155"/>
      <c r="CZ26" s="155"/>
      <c r="DA26" s="155"/>
      <c r="DB26" s="155"/>
      <c r="DC26" s="155"/>
      <c r="DD26" s="155"/>
      <c r="DE26" s="155"/>
      <c r="DF26" s="155"/>
      <c r="DG26" s="155"/>
      <c r="DH26" s="155"/>
      <c r="DI26" s="155"/>
      <c r="DJ26" s="155"/>
      <c r="DK26" s="155"/>
      <c r="DL26" s="155"/>
      <c r="DM26" s="155"/>
      <c r="DN26" s="155"/>
      <c r="DO26" s="155"/>
      <c r="DP26" s="155"/>
      <c r="DQ26" s="155"/>
      <c r="DR26" s="155"/>
      <c r="DS26" s="155"/>
      <c r="DT26" s="155"/>
      <c r="DU26" s="155"/>
      <c r="DV26" s="155"/>
      <c r="DW26" s="155"/>
      <c r="DX26" s="155"/>
      <c r="DY26" s="155"/>
      <c r="DZ26" s="155"/>
      <c r="EA26" s="155"/>
      <c r="EB26" s="155"/>
      <c r="EC26" s="155"/>
      <c r="ED26" s="155"/>
      <c r="EE26" s="155"/>
      <c r="EF26" s="155"/>
      <c r="EG26" s="155"/>
      <c r="EH26" s="155"/>
      <c r="EI26" s="155"/>
      <c r="EJ26" s="155"/>
      <c r="EK26" s="155"/>
      <c r="EL26" s="155"/>
      <c r="EM26" s="155"/>
      <c r="EN26" s="155"/>
      <c r="EO26" s="155"/>
      <c r="EP26" s="155"/>
      <c r="EQ26" s="155"/>
      <c r="ER26" s="155"/>
      <c r="ES26" s="155"/>
      <c r="ET26" s="155"/>
      <c r="EU26" s="155"/>
      <c r="EV26" s="155"/>
      <c r="EW26" s="155"/>
      <c r="EX26" s="155"/>
      <c r="EY26" s="155"/>
      <c r="EZ26" s="155"/>
      <c r="FA26" s="155"/>
      <c r="FB26" s="155"/>
      <c r="FC26" s="155"/>
      <c r="FD26" s="155"/>
      <c r="FE26" s="155"/>
      <c r="FF26" s="155"/>
      <c r="FG26" s="155"/>
      <c r="FH26" s="155"/>
      <c r="FI26" s="155"/>
      <c r="FJ26" s="155"/>
      <c r="FK26" s="155"/>
      <c r="FL26" s="155"/>
      <c r="FM26" s="155"/>
      <c r="FN26" s="155"/>
      <c r="FO26" s="155"/>
      <c r="FP26" s="155"/>
      <c r="FQ26" s="155"/>
      <c r="FR26" s="155"/>
      <c r="FS26" s="155"/>
      <c r="FT26" s="155"/>
      <c r="FU26" s="155"/>
      <c r="FV26" s="155"/>
      <c r="FW26" s="155"/>
      <c r="FX26" s="155"/>
      <c r="FY26" s="155"/>
      <c r="FZ26" s="155"/>
      <c r="GA26" s="155"/>
      <c r="GB26" s="155"/>
      <c r="GC26" s="155"/>
      <c r="GD26" s="155"/>
      <c r="GE26" s="155"/>
      <c r="GF26" s="155"/>
      <c r="GG26" s="155"/>
      <c r="GH26" s="155"/>
      <c r="GI26" s="155"/>
      <c r="GJ26" s="155"/>
      <c r="GK26" s="155"/>
      <c r="GL26" s="155"/>
      <c r="GM26" s="155"/>
      <c r="GN26" s="155"/>
      <c r="GO26" s="155"/>
      <c r="GP26" s="155"/>
      <c r="GQ26" s="155"/>
      <c r="GR26" s="155"/>
      <c r="GS26" s="155"/>
      <c r="GT26" s="155"/>
      <c r="GU26" s="155"/>
      <c r="GV26" s="155"/>
      <c r="GW26" s="155"/>
      <c r="GX26" s="155"/>
      <c r="GY26" s="155"/>
      <c r="GZ26" s="155"/>
      <c r="HA26" s="155"/>
      <c r="HB26" s="155"/>
      <c r="HC26" s="155"/>
      <c r="HD26" s="155"/>
      <c r="HE26" s="155"/>
      <c r="HF26" s="155"/>
      <c r="HG26" s="155"/>
      <c r="HH26" s="155"/>
      <c r="HI26" s="155"/>
      <c r="HJ26" s="155"/>
      <c r="HK26" s="155"/>
      <c r="HL26" s="155"/>
      <c r="HM26" s="155"/>
      <c r="HN26" s="155"/>
      <c r="HO26" s="155"/>
      <c r="HP26" s="155"/>
      <c r="HQ26" s="155"/>
      <c r="HR26" s="155"/>
      <c r="HS26" s="155"/>
      <c r="HT26" s="155"/>
      <c r="HU26" s="155"/>
      <c r="HV26" s="155"/>
      <c r="HW26" s="155"/>
      <c r="HX26" s="155"/>
      <c r="HY26" s="155"/>
      <c r="HZ26" s="155"/>
      <c r="IA26" s="155"/>
      <c r="IB26" s="155"/>
      <c r="IC26" s="155"/>
      <c r="ID26" s="155"/>
      <c r="IE26" s="155"/>
      <c r="IF26" s="155"/>
      <c r="IG26" s="155"/>
      <c r="IH26" s="155"/>
      <c r="II26" s="155"/>
      <c r="IJ26" s="155"/>
      <c r="IK26" s="155"/>
      <c r="IL26" s="155"/>
      <c r="IM26" s="155"/>
      <c r="IN26" s="155"/>
      <c r="IO26" s="155"/>
      <c r="IP26" s="155"/>
      <c r="IQ26" s="155"/>
      <c r="IR26" s="155"/>
      <c r="IS26" s="155"/>
      <c r="IT26" s="155"/>
      <c r="IU26" s="155"/>
      <c r="IV26" s="155"/>
    </row>
    <row r="27" s="156" customFormat="true" ht="25.5" hidden="false" customHeight="true" outlineLevel="0" collapsed="false">
      <c r="A27" s="157" t="n">
        <f aca="false">IF(Eingabe!A31="","",Eingabe!A31)</f>
        <v>24</v>
      </c>
      <c r="B27" s="157"/>
      <c r="C27" s="157"/>
      <c r="D27" s="157"/>
      <c r="E27" s="158" t="str">
        <f aca="false">IF(Eingabe!B31="","",Eingabe!B31)</f>
        <v/>
      </c>
      <c r="F27" s="158"/>
      <c r="G27" s="158"/>
      <c r="H27" s="158"/>
      <c r="I27" s="159" t="str">
        <f aca="false">IF(Eingabe!C31="","",Eingabe!C31)</f>
        <v/>
      </c>
      <c r="J27" s="159"/>
      <c r="K27" s="159"/>
      <c r="L27" s="159"/>
      <c r="M27" s="160" t="str">
        <f aca="false">IF(Eingabe!D31&amp;""&amp;Eingabe!E31="","",Eingabe!D31&amp;" 
"&amp;Eingabe!E31)</f>
        <v/>
      </c>
      <c r="N27" s="160"/>
      <c r="O27" s="160"/>
      <c r="P27" s="160"/>
      <c r="Q27" s="160"/>
      <c r="R27" s="160"/>
      <c r="S27" s="160"/>
      <c r="T27" s="160"/>
      <c r="U27" s="160"/>
      <c r="V27" s="160"/>
      <c r="W27" s="160"/>
      <c r="X27" s="160"/>
      <c r="Y27" s="160"/>
      <c r="Z27" s="160"/>
      <c r="AA27" s="160"/>
      <c r="AB27" s="160"/>
      <c r="AC27" s="160"/>
      <c r="AD27" s="160"/>
      <c r="AE27" s="160"/>
      <c r="AF27" s="160"/>
      <c r="AG27" s="159" t="str">
        <f aca="false">IF(Eingabe!F31&amp;""&amp;Eingabe!G31="","",Eingabe!F31&amp;" 
"&amp;Eingabe!G31)</f>
        <v/>
      </c>
      <c r="AH27" s="159"/>
      <c r="AI27" s="159"/>
      <c r="AJ27" s="159"/>
      <c r="AK27" s="159"/>
      <c r="AL27" s="159"/>
      <c r="AM27" s="159"/>
      <c r="AN27" s="159"/>
      <c r="AO27" s="159"/>
      <c r="AP27" s="159"/>
      <c r="AQ27" s="159"/>
      <c r="AR27" s="159"/>
      <c r="AS27" s="159"/>
      <c r="AT27" s="159"/>
      <c r="AU27" s="159"/>
      <c r="AV27" s="159"/>
      <c r="AW27" s="159"/>
      <c r="AX27" s="159" t="str">
        <f aca="false">IF(Eingabe!H31="","",Eingabe!H31)</f>
        <v/>
      </c>
      <c r="AY27" s="159"/>
      <c r="AZ27" s="159"/>
      <c r="BA27" s="159"/>
      <c r="BB27" s="161" t="str">
        <f aca="false">IF(Eingabe!K31="","",Eingabe!K31)</f>
        <v/>
      </c>
      <c r="BC27" s="161"/>
      <c r="BD27" s="161"/>
      <c r="BE27" s="161"/>
      <c r="BF27" s="161"/>
      <c r="BG27" s="161"/>
      <c r="BH27" s="161"/>
      <c r="BI27" s="161"/>
      <c r="BJ27" s="161"/>
      <c r="BK27" s="161"/>
      <c r="BL27" s="161"/>
      <c r="BM27" s="161"/>
      <c r="BN27" s="161"/>
      <c r="BO27" s="155"/>
      <c r="BP27" s="155"/>
      <c r="BQ27" s="155"/>
      <c r="BR27" s="155"/>
      <c r="BS27" s="155"/>
      <c r="BT27" s="155"/>
      <c r="BU27" s="155"/>
      <c r="BV27" s="155"/>
      <c r="BW27" s="155"/>
      <c r="BX27" s="155"/>
      <c r="BY27" s="155"/>
      <c r="BZ27" s="155"/>
      <c r="CA27" s="155"/>
      <c r="CB27" s="155"/>
      <c r="CC27" s="155"/>
      <c r="CD27" s="155"/>
      <c r="CE27" s="155"/>
      <c r="CF27" s="155"/>
      <c r="CG27" s="155"/>
      <c r="CH27" s="155"/>
      <c r="CI27" s="155"/>
      <c r="CJ27" s="155"/>
      <c r="CK27" s="155"/>
      <c r="CL27" s="155"/>
      <c r="CM27" s="155"/>
      <c r="CN27" s="155"/>
      <c r="CO27" s="155"/>
      <c r="CP27" s="155"/>
      <c r="CQ27" s="155"/>
      <c r="CR27" s="155"/>
      <c r="CS27" s="155"/>
      <c r="CT27" s="155"/>
      <c r="CU27" s="155"/>
      <c r="CV27" s="155"/>
      <c r="CW27" s="155"/>
      <c r="CX27" s="155"/>
      <c r="CY27" s="155"/>
      <c r="CZ27" s="155"/>
      <c r="DA27" s="155"/>
      <c r="DB27" s="155"/>
      <c r="DC27" s="155"/>
      <c r="DD27" s="155"/>
      <c r="DE27" s="155"/>
      <c r="DF27" s="155"/>
      <c r="DG27" s="155"/>
      <c r="DH27" s="155"/>
      <c r="DI27" s="155"/>
      <c r="DJ27" s="155"/>
      <c r="DK27" s="155"/>
      <c r="DL27" s="155"/>
      <c r="DM27" s="155"/>
      <c r="DN27" s="155"/>
      <c r="DO27" s="155"/>
      <c r="DP27" s="155"/>
      <c r="DQ27" s="155"/>
      <c r="DR27" s="155"/>
      <c r="DS27" s="155"/>
      <c r="DT27" s="155"/>
      <c r="DU27" s="155"/>
      <c r="DV27" s="155"/>
      <c r="DW27" s="155"/>
      <c r="DX27" s="155"/>
      <c r="DY27" s="155"/>
      <c r="DZ27" s="155"/>
      <c r="EA27" s="155"/>
      <c r="EB27" s="155"/>
      <c r="EC27" s="155"/>
      <c r="ED27" s="155"/>
      <c r="EE27" s="155"/>
      <c r="EF27" s="155"/>
      <c r="EG27" s="155"/>
      <c r="EH27" s="155"/>
      <c r="EI27" s="155"/>
      <c r="EJ27" s="155"/>
      <c r="EK27" s="155"/>
      <c r="EL27" s="155"/>
      <c r="EM27" s="155"/>
      <c r="EN27" s="155"/>
      <c r="EO27" s="155"/>
      <c r="EP27" s="155"/>
      <c r="EQ27" s="155"/>
      <c r="ER27" s="155"/>
      <c r="ES27" s="155"/>
      <c r="ET27" s="155"/>
      <c r="EU27" s="155"/>
      <c r="EV27" s="155"/>
      <c r="EW27" s="155"/>
      <c r="EX27" s="155"/>
      <c r="EY27" s="155"/>
      <c r="EZ27" s="155"/>
      <c r="FA27" s="155"/>
      <c r="FB27" s="155"/>
      <c r="FC27" s="155"/>
      <c r="FD27" s="155"/>
      <c r="FE27" s="155"/>
      <c r="FF27" s="155"/>
      <c r="FG27" s="155"/>
      <c r="FH27" s="155"/>
      <c r="FI27" s="155"/>
      <c r="FJ27" s="155"/>
      <c r="FK27" s="155"/>
      <c r="FL27" s="155"/>
      <c r="FM27" s="155"/>
      <c r="FN27" s="155"/>
      <c r="FO27" s="155"/>
      <c r="FP27" s="155"/>
      <c r="FQ27" s="155"/>
      <c r="FR27" s="155"/>
      <c r="FS27" s="155"/>
      <c r="FT27" s="155"/>
      <c r="FU27" s="155"/>
      <c r="FV27" s="155"/>
      <c r="FW27" s="155"/>
      <c r="FX27" s="155"/>
      <c r="FY27" s="155"/>
      <c r="FZ27" s="155"/>
      <c r="GA27" s="155"/>
      <c r="GB27" s="155"/>
      <c r="GC27" s="155"/>
      <c r="GD27" s="155"/>
      <c r="GE27" s="155"/>
      <c r="GF27" s="155"/>
      <c r="GG27" s="155"/>
      <c r="GH27" s="155"/>
      <c r="GI27" s="155"/>
      <c r="GJ27" s="155"/>
      <c r="GK27" s="155"/>
      <c r="GL27" s="155"/>
      <c r="GM27" s="155"/>
      <c r="GN27" s="155"/>
      <c r="GO27" s="155"/>
      <c r="GP27" s="155"/>
      <c r="GQ27" s="155"/>
      <c r="GR27" s="155"/>
      <c r="GS27" s="155"/>
      <c r="GT27" s="155"/>
      <c r="GU27" s="155"/>
      <c r="GV27" s="155"/>
      <c r="GW27" s="155"/>
      <c r="GX27" s="155"/>
      <c r="GY27" s="155"/>
      <c r="GZ27" s="155"/>
      <c r="HA27" s="155"/>
      <c r="HB27" s="155"/>
      <c r="HC27" s="155"/>
      <c r="HD27" s="155"/>
      <c r="HE27" s="155"/>
      <c r="HF27" s="155"/>
      <c r="HG27" s="155"/>
      <c r="HH27" s="155"/>
      <c r="HI27" s="155"/>
      <c r="HJ27" s="155"/>
      <c r="HK27" s="155"/>
      <c r="HL27" s="155"/>
      <c r="HM27" s="155"/>
      <c r="HN27" s="155"/>
      <c r="HO27" s="155"/>
      <c r="HP27" s="155"/>
      <c r="HQ27" s="155"/>
      <c r="HR27" s="155"/>
      <c r="HS27" s="155"/>
      <c r="HT27" s="155"/>
      <c r="HU27" s="155"/>
      <c r="HV27" s="155"/>
      <c r="HW27" s="155"/>
      <c r="HX27" s="155"/>
      <c r="HY27" s="155"/>
      <c r="HZ27" s="155"/>
      <c r="IA27" s="155"/>
      <c r="IB27" s="155"/>
      <c r="IC27" s="155"/>
      <c r="ID27" s="155"/>
      <c r="IE27" s="155"/>
      <c r="IF27" s="155"/>
      <c r="IG27" s="155"/>
      <c r="IH27" s="155"/>
      <c r="II27" s="155"/>
      <c r="IJ27" s="155"/>
      <c r="IK27" s="155"/>
      <c r="IL27" s="155"/>
      <c r="IM27" s="155"/>
      <c r="IN27" s="155"/>
      <c r="IO27" s="155"/>
      <c r="IP27" s="155"/>
      <c r="IQ27" s="155"/>
      <c r="IR27" s="155"/>
      <c r="IS27" s="155"/>
      <c r="IT27" s="155"/>
      <c r="IU27" s="155"/>
      <c r="IV27" s="155"/>
    </row>
    <row r="28" customFormat="false" ht="25.5" hidden="false" customHeight="true" outlineLevel="0" collapsed="false">
      <c r="A28" s="162" t="n">
        <f aca="false">IF(Eingabe!A32="","",Eingabe!A32)</f>
        <v>25</v>
      </c>
      <c r="B28" s="162"/>
      <c r="C28" s="162"/>
      <c r="D28" s="162"/>
      <c r="E28" s="163" t="str">
        <f aca="false">IF(Eingabe!B32="","",Eingabe!B32)</f>
        <v/>
      </c>
      <c r="F28" s="163"/>
      <c r="G28" s="163"/>
      <c r="H28" s="163"/>
      <c r="I28" s="164" t="str">
        <f aca="false">IF(Eingabe!C32="","",Eingabe!C32)</f>
        <v/>
      </c>
      <c r="J28" s="164"/>
      <c r="K28" s="164"/>
      <c r="L28" s="164"/>
      <c r="M28" s="160" t="str">
        <f aca="false">IF(Eingabe!D32&amp;""&amp;Eingabe!E32="","",Eingabe!D32&amp;" 
"&amp;Eingabe!E32)</f>
        <v/>
      </c>
      <c r="N28" s="160"/>
      <c r="O28" s="160"/>
      <c r="P28" s="160"/>
      <c r="Q28" s="160"/>
      <c r="R28" s="160"/>
      <c r="S28" s="160"/>
      <c r="T28" s="160"/>
      <c r="U28" s="160"/>
      <c r="V28" s="160"/>
      <c r="W28" s="160"/>
      <c r="X28" s="160"/>
      <c r="Y28" s="160"/>
      <c r="Z28" s="160"/>
      <c r="AA28" s="160"/>
      <c r="AB28" s="160"/>
      <c r="AC28" s="160"/>
      <c r="AD28" s="160"/>
      <c r="AE28" s="160"/>
      <c r="AF28" s="160"/>
      <c r="AG28" s="159" t="str">
        <f aca="false">IF(Eingabe!F32&amp;""&amp;Eingabe!G32="","",Eingabe!F32&amp;" 
"&amp;Eingabe!G32)</f>
        <v/>
      </c>
      <c r="AH28" s="159"/>
      <c r="AI28" s="159"/>
      <c r="AJ28" s="159"/>
      <c r="AK28" s="159"/>
      <c r="AL28" s="159"/>
      <c r="AM28" s="159"/>
      <c r="AN28" s="159"/>
      <c r="AO28" s="159"/>
      <c r="AP28" s="159"/>
      <c r="AQ28" s="159"/>
      <c r="AR28" s="159"/>
      <c r="AS28" s="159"/>
      <c r="AT28" s="159"/>
      <c r="AU28" s="159"/>
      <c r="AV28" s="159"/>
      <c r="AW28" s="159"/>
      <c r="AX28" s="164" t="str">
        <f aca="false">IF(Eingabe!H32="","",Eingabe!H32)</f>
        <v/>
      </c>
      <c r="AY28" s="164"/>
      <c r="AZ28" s="164"/>
      <c r="BA28" s="164"/>
      <c r="BB28" s="165" t="str">
        <f aca="false">IF(Eingabe!K32="","",Eingabe!K32)</f>
        <v/>
      </c>
      <c r="BC28" s="165"/>
      <c r="BD28" s="165"/>
      <c r="BE28" s="165"/>
      <c r="BF28" s="165"/>
      <c r="BG28" s="165"/>
      <c r="BH28" s="165"/>
      <c r="BI28" s="165"/>
      <c r="BJ28" s="165"/>
      <c r="BK28" s="165"/>
      <c r="BL28" s="165"/>
      <c r="BM28" s="165"/>
      <c r="BN28" s="165"/>
      <c r="BO28" s="155"/>
      <c r="BP28" s="155"/>
      <c r="BQ28" s="155"/>
      <c r="BR28" s="155"/>
      <c r="BS28" s="155"/>
      <c r="BT28" s="155"/>
      <c r="BU28" s="155"/>
      <c r="BV28" s="155"/>
      <c r="BW28" s="155"/>
      <c r="BX28" s="155"/>
      <c r="BY28" s="155"/>
      <c r="BZ28" s="155"/>
      <c r="CA28" s="155"/>
      <c r="CB28" s="155"/>
      <c r="CC28" s="155"/>
      <c r="CD28" s="155"/>
      <c r="CE28" s="155"/>
      <c r="CF28" s="155"/>
      <c r="CG28" s="155"/>
      <c r="CH28" s="155"/>
      <c r="CI28" s="155"/>
      <c r="CJ28" s="155"/>
      <c r="CK28" s="155"/>
      <c r="CL28" s="155"/>
      <c r="CM28" s="155"/>
      <c r="CN28" s="155"/>
      <c r="CO28" s="155"/>
      <c r="CP28" s="155"/>
      <c r="CQ28" s="155"/>
      <c r="CR28" s="155"/>
      <c r="CS28" s="155"/>
      <c r="CT28" s="155"/>
      <c r="CU28" s="155"/>
      <c r="CV28" s="155"/>
      <c r="CW28" s="155"/>
      <c r="CX28" s="155"/>
      <c r="CY28" s="155"/>
      <c r="CZ28" s="155"/>
      <c r="DA28" s="155"/>
      <c r="DB28" s="155"/>
      <c r="DC28" s="155"/>
      <c r="DD28" s="155"/>
      <c r="DE28" s="155"/>
      <c r="DF28" s="155"/>
      <c r="DG28" s="155"/>
      <c r="DH28" s="155"/>
      <c r="DI28" s="155"/>
      <c r="DJ28" s="155"/>
      <c r="DK28" s="155"/>
      <c r="DL28" s="155"/>
      <c r="DM28" s="155"/>
      <c r="DN28" s="155"/>
      <c r="DO28" s="155"/>
      <c r="DP28" s="155"/>
      <c r="DQ28" s="155"/>
      <c r="DR28" s="155"/>
      <c r="DS28" s="155"/>
      <c r="DT28" s="155"/>
      <c r="DU28" s="155"/>
      <c r="DV28" s="155"/>
      <c r="DW28" s="155"/>
      <c r="DX28" s="155"/>
      <c r="DY28" s="155"/>
      <c r="DZ28" s="155"/>
      <c r="EA28" s="155"/>
      <c r="EB28" s="155"/>
      <c r="EC28" s="155"/>
      <c r="ED28" s="155"/>
      <c r="EE28" s="155"/>
      <c r="EF28" s="155"/>
      <c r="EG28" s="155"/>
      <c r="EH28" s="155"/>
      <c r="EI28" s="155"/>
      <c r="EJ28" s="155"/>
      <c r="EK28" s="155"/>
      <c r="EL28" s="155"/>
      <c r="EM28" s="155"/>
      <c r="EN28" s="155"/>
      <c r="EO28" s="155"/>
      <c r="EP28" s="155"/>
      <c r="EQ28" s="155"/>
      <c r="ER28" s="155"/>
      <c r="ES28" s="155"/>
      <c r="ET28" s="155"/>
      <c r="EU28" s="155"/>
      <c r="EV28" s="155"/>
      <c r="EW28" s="155"/>
      <c r="EX28" s="155"/>
      <c r="EY28" s="155"/>
      <c r="EZ28" s="155"/>
      <c r="FA28" s="155"/>
      <c r="FB28" s="155"/>
      <c r="FC28" s="155"/>
      <c r="FD28" s="155"/>
      <c r="FE28" s="155"/>
      <c r="FF28" s="155"/>
      <c r="FG28" s="155"/>
      <c r="FH28" s="155"/>
      <c r="FI28" s="155"/>
      <c r="FJ28" s="155"/>
      <c r="FK28" s="155"/>
      <c r="FL28" s="155"/>
      <c r="FM28" s="155"/>
      <c r="FN28" s="155"/>
      <c r="FO28" s="155"/>
      <c r="FP28" s="155"/>
      <c r="FQ28" s="155"/>
      <c r="FR28" s="155"/>
      <c r="FS28" s="155"/>
      <c r="FT28" s="155"/>
      <c r="FU28" s="155"/>
      <c r="FV28" s="155"/>
      <c r="FW28" s="155"/>
      <c r="FX28" s="155"/>
      <c r="FY28" s="155"/>
      <c r="FZ28" s="155"/>
      <c r="GA28" s="155"/>
      <c r="GB28" s="155"/>
      <c r="GC28" s="155"/>
      <c r="GD28" s="155"/>
      <c r="GE28" s="155"/>
      <c r="GF28" s="155"/>
      <c r="GG28" s="155"/>
      <c r="GH28" s="155"/>
      <c r="GI28" s="155"/>
      <c r="GJ28" s="155"/>
      <c r="GK28" s="155"/>
      <c r="GL28" s="155"/>
      <c r="GM28" s="155"/>
      <c r="GN28" s="155"/>
      <c r="GO28" s="155"/>
      <c r="GP28" s="155"/>
      <c r="GQ28" s="155"/>
      <c r="GR28" s="155"/>
      <c r="GS28" s="155"/>
      <c r="GT28" s="155"/>
      <c r="GU28" s="155"/>
      <c r="GV28" s="155"/>
      <c r="GW28" s="155"/>
      <c r="GX28" s="155"/>
      <c r="GY28" s="155"/>
      <c r="GZ28" s="155"/>
      <c r="HA28" s="155"/>
      <c r="HB28" s="155"/>
      <c r="HC28" s="155"/>
      <c r="HD28" s="155"/>
      <c r="HE28" s="155"/>
      <c r="HF28" s="155"/>
      <c r="HG28" s="155"/>
      <c r="HH28" s="155"/>
      <c r="HI28" s="155"/>
      <c r="HJ28" s="155"/>
      <c r="HK28" s="155"/>
      <c r="HL28" s="155"/>
      <c r="HM28" s="155"/>
      <c r="HN28" s="155"/>
      <c r="HO28" s="155"/>
      <c r="HP28" s="155"/>
      <c r="HQ28" s="155"/>
      <c r="HR28" s="155"/>
      <c r="HS28" s="155"/>
      <c r="HT28" s="155"/>
      <c r="HU28" s="155"/>
      <c r="HV28" s="155"/>
      <c r="HW28" s="155"/>
      <c r="HX28" s="155"/>
      <c r="HY28" s="155"/>
      <c r="HZ28" s="155"/>
      <c r="IA28" s="155"/>
      <c r="IB28" s="155"/>
      <c r="IC28" s="155"/>
      <c r="ID28" s="155"/>
      <c r="IE28" s="155"/>
      <c r="IF28" s="155"/>
      <c r="IG28" s="155"/>
      <c r="IH28" s="155"/>
      <c r="II28" s="155"/>
      <c r="IJ28" s="155"/>
      <c r="IK28" s="155"/>
      <c r="IL28" s="155"/>
      <c r="IM28" s="155"/>
      <c r="IN28" s="155"/>
      <c r="IO28" s="155"/>
      <c r="IP28" s="155"/>
      <c r="IQ28" s="155"/>
      <c r="IR28" s="155"/>
      <c r="IS28" s="155"/>
      <c r="IT28" s="155"/>
      <c r="IU28" s="155"/>
      <c r="IV28" s="155"/>
    </row>
    <row r="29" customFormat="false" ht="10.5" hidden="false" customHeight="true" outlineLevel="0" collapsed="false">
      <c r="A29" s="166" t="s">
        <v>84</v>
      </c>
      <c r="B29" s="166"/>
      <c r="C29" s="166"/>
      <c r="D29" s="166"/>
      <c r="E29" s="166"/>
      <c r="F29" s="166"/>
      <c r="G29" s="166"/>
      <c r="H29" s="166"/>
      <c r="I29" s="166"/>
      <c r="J29" s="166"/>
      <c r="K29" s="166"/>
      <c r="L29" s="166"/>
      <c r="M29" s="166"/>
      <c r="N29" s="166"/>
      <c r="O29" s="166"/>
      <c r="P29" s="166"/>
      <c r="Q29" s="166"/>
      <c r="R29" s="166"/>
      <c r="S29" s="166"/>
      <c r="T29" s="166"/>
      <c r="U29" s="166"/>
      <c r="V29" s="166"/>
      <c r="W29" s="166" t="s">
        <v>85</v>
      </c>
      <c r="X29" s="166"/>
      <c r="Y29" s="166"/>
      <c r="Z29" s="166"/>
      <c r="AA29" s="166"/>
      <c r="AB29" s="166"/>
      <c r="AC29" s="166"/>
      <c r="AD29" s="166"/>
      <c r="AE29" s="166"/>
      <c r="AF29" s="166"/>
      <c r="AG29" s="166"/>
      <c r="AH29" s="166"/>
      <c r="AI29" s="166"/>
      <c r="AJ29" s="166"/>
      <c r="AK29" s="166"/>
      <c r="AL29" s="166"/>
      <c r="AM29" s="166"/>
      <c r="AN29" s="166"/>
      <c r="AO29" s="166"/>
      <c r="AP29" s="166"/>
      <c r="AQ29" s="166"/>
      <c r="AR29" s="166"/>
      <c r="AS29" s="166" t="s">
        <v>86</v>
      </c>
      <c r="AT29" s="166"/>
      <c r="AU29" s="166"/>
      <c r="AV29" s="166"/>
      <c r="AW29" s="166"/>
      <c r="AX29" s="166"/>
      <c r="AY29" s="166"/>
      <c r="AZ29" s="166"/>
      <c r="BA29" s="166"/>
      <c r="BB29" s="166" t="s">
        <v>87</v>
      </c>
      <c r="BC29" s="166"/>
      <c r="BD29" s="166"/>
      <c r="BE29" s="166"/>
      <c r="BF29" s="166"/>
      <c r="BG29" s="166"/>
      <c r="BH29" s="166"/>
      <c r="BI29" s="166"/>
      <c r="BJ29" s="166"/>
      <c r="BK29" s="166"/>
      <c r="BL29" s="166"/>
      <c r="BM29" s="166"/>
      <c r="BN29" s="166"/>
    </row>
    <row r="30" customFormat="false" ht="10.5" hidden="false" customHeight="true" outlineLevel="0" collapsed="false">
      <c r="A30" s="167" t="str">
        <f aca="false">IF(Eingabe!O2="","",Eingabe!O2)</f>
        <v/>
      </c>
      <c r="B30" s="167"/>
      <c r="C30" s="167"/>
      <c r="D30" s="167"/>
      <c r="E30" s="167"/>
      <c r="F30" s="167"/>
      <c r="G30" s="167"/>
      <c r="H30" s="167"/>
      <c r="I30" s="167"/>
      <c r="J30" s="167"/>
      <c r="K30" s="167"/>
      <c r="L30" s="167"/>
      <c r="M30" s="167"/>
      <c r="N30" s="167"/>
      <c r="O30" s="167"/>
      <c r="P30" s="167"/>
      <c r="Q30" s="167"/>
      <c r="R30" s="167"/>
      <c r="S30" s="167"/>
      <c r="T30" s="167"/>
      <c r="U30" s="167"/>
      <c r="V30" s="167"/>
      <c r="W30" s="168" t="str">
        <f aca="false">IF(Eingabe!E3="","",Eingabe!E3)</f>
        <v>Simon Grundner</v>
      </c>
      <c r="X30" s="168"/>
      <c r="Y30" s="168"/>
      <c r="Z30" s="168"/>
      <c r="AA30" s="168"/>
      <c r="AB30" s="168"/>
      <c r="AC30" s="168"/>
      <c r="AD30" s="168"/>
      <c r="AE30" s="168"/>
      <c r="AF30" s="168"/>
      <c r="AG30" s="168"/>
      <c r="AH30" s="168"/>
      <c r="AI30" s="168"/>
      <c r="AJ30" s="168"/>
      <c r="AK30" s="168"/>
      <c r="AL30" s="168"/>
      <c r="AM30" s="168"/>
      <c r="AN30" s="168"/>
      <c r="AO30" s="168"/>
      <c r="AP30" s="168"/>
      <c r="AQ30" s="168"/>
      <c r="AR30" s="168"/>
      <c r="AS30" s="169" t="str">
        <f aca="false">IF(Eingabe!I1="","",Eingabe!I1)</f>
        <v/>
      </c>
      <c r="AT30" s="169"/>
      <c r="AU30" s="169"/>
      <c r="AV30" s="169"/>
      <c r="AW30" s="169"/>
      <c r="AX30" s="169"/>
      <c r="AY30" s="169"/>
      <c r="AZ30" s="169"/>
      <c r="BA30" s="169"/>
      <c r="BB30" s="170" t="str">
        <f aca="false">IF(Eingabe!I2="","",Eingabe!I2)</f>
        <v>FR4</v>
      </c>
      <c r="BC30" s="170"/>
      <c r="BD30" s="170"/>
      <c r="BE30" s="170"/>
      <c r="BF30" s="170"/>
      <c r="BG30" s="170"/>
      <c r="BH30" s="170"/>
      <c r="BI30" s="170"/>
      <c r="BJ30" s="170"/>
      <c r="BK30" s="170"/>
      <c r="BL30" s="170"/>
      <c r="BM30" s="170"/>
      <c r="BN30" s="170"/>
    </row>
    <row r="31" customFormat="false" ht="10.5" hidden="false" customHeight="true" outlineLevel="0" collapsed="false">
      <c r="A31" s="167"/>
      <c r="B31" s="167"/>
      <c r="C31" s="167"/>
      <c r="D31" s="167"/>
      <c r="E31" s="167"/>
      <c r="F31" s="167"/>
      <c r="G31" s="167"/>
      <c r="H31" s="167"/>
      <c r="I31" s="167"/>
      <c r="J31" s="167"/>
      <c r="K31" s="167"/>
      <c r="L31" s="167"/>
      <c r="M31" s="167"/>
      <c r="N31" s="167"/>
      <c r="O31" s="167"/>
      <c r="P31" s="167"/>
      <c r="Q31" s="167"/>
      <c r="R31" s="167"/>
      <c r="S31" s="167"/>
      <c r="T31" s="167"/>
      <c r="U31" s="167"/>
      <c r="V31" s="167"/>
      <c r="W31" s="168"/>
      <c r="X31" s="168"/>
      <c r="Y31" s="168"/>
      <c r="Z31" s="168"/>
      <c r="AA31" s="168"/>
      <c r="AB31" s="168"/>
      <c r="AC31" s="168"/>
      <c r="AD31" s="168"/>
      <c r="AE31" s="168"/>
      <c r="AF31" s="168"/>
      <c r="AG31" s="168"/>
      <c r="AH31" s="168"/>
      <c r="AI31" s="168"/>
      <c r="AJ31" s="168"/>
      <c r="AK31" s="168"/>
      <c r="AL31" s="168"/>
      <c r="AM31" s="168"/>
      <c r="AN31" s="168"/>
      <c r="AO31" s="168"/>
      <c r="AP31" s="168"/>
      <c r="AQ31" s="168"/>
      <c r="AR31" s="168"/>
      <c r="AS31" s="169"/>
      <c r="AT31" s="169"/>
      <c r="AU31" s="169"/>
      <c r="AV31" s="169"/>
      <c r="AW31" s="169"/>
      <c r="AX31" s="169"/>
      <c r="AY31" s="169"/>
      <c r="AZ31" s="169"/>
      <c r="BA31" s="169"/>
      <c r="BB31" s="170"/>
      <c r="BC31" s="170"/>
      <c r="BD31" s="170"/>
      <c r="BE31" s="170"/>
      <c r="BF31" s="170"/>
      <c r="BG31" s="170"/>
      <c r="BH31" s="170"/>
      <c r="BI31" s="170"/>
      <c r="BJ31" s="170"/>
      <c r="BK31" s="170"/>
      <c r="BL31" s="170"/>
      <c r="BM31" s="170"/>
      <c r="BN31" s="170"/>
    </row>
    <row r="32" customFormat="false" ht="10.5" hidden="false" customHeight="true" outlineLevel="0" collapsed="false">
      <c r="A32" s="171"/>
      <c r="B32" s="171"/>
      <c r="C32" s="171"/>
      <c r="D32" s="171"/>
      <c r="E32" s="171"/>
      <c r="F32" s="171"/>
      <c r="G32" s="171"/>
      <c r="H32" s="171"/>
      <c r="I32" s="171"/>
      <c r="J32" s="171"/>
      <c r="K32" s="171"/>
      <c r="L32" s="171"/>
      <c r="M32" s="171"/>
      <c r="N32" s="171"/>
      <c r="O32" s="171"/>
      <c r="P32" s="171"/>
      <c r="Q32" s="171"/>
      <c r="R32" s="171"/>
      <c r="S32" s="171"/>
      <c r="T32" s="171"/>
      <c r="U32" s="171"/>
      <c r="V32" s="171"/>
      <c r="W32" s="166" t="s">
        <v>88</v>
      </c>
      <c r="X32" s="166"/>
      <c r="Y32" s="166"/>
      <c r="Z32" s="166"/>
      <c r="AA32" s="166"/>
      <c r="AB32" s="166"/>
      <c r="AC32" s="166"/>
      <c r="AD32" s="166"/>
      <c r="AE32" s="166"/>
      <c r="AF32" s="166"/>
      <c r="AG32" s="166" t="s">
        <v>89</v>
      </c>
      <c r="AH32" s="166"/>
      <c r="AI32" s="166"/>
      <c r="AJ32" s="166"/>
      <c r="AK32" s="166" t="s">
        <v>90</v>
      </c>
      <c r="AL32" s="166"/>
      <c r="AM32" s="166"/>
      <c r="AN32" s="166"/>
      <c r="AO32" s="166" t="s">
        <v>91</v>
      </c>
      <c r="AP32" s="166"/>
      <c r="AQ32" s="166"/>
      <c r="AR32" s="166"/>
      <c r="AS32" s="172" t="s">
        <v>92</v>
      </c>
      <c r="AT32" s="172"/>
      <c r="AU32" s="172"/>
      <c r="AV32" s="172"/>
      <c r="AW32" s="172"/>
      <c r="AX32" s="172"/>
      <c r="AY32" s="172"/>
      <c r="AZ32" s="172"/>
      <c r="BA32" s="172"/>
      <c r="BB32" s="172"/>
      <c r="BC32" s="172"/>
      <c r="BD32" s="172"/>
      <c r="BE32" s="172"/>
      <c r="BF32" s="172"/>
      <c r="BG32" s="172"/>
      <c r="BH32" s="172"/>
      <c r="BI32" s="166" t="s">
        <v>93</v>
      </c>
      <c r="BJ32" s="166"/>
      <c r="BK32" s="166"/>
      <c r="BL32" s="166"/>
      <c r="BM32" s="166"/>
      <c r="BN32" s="166"/>
    </row>
    <row r="33" customFormat="false" ht="10.5" hidden="false" customHeight="true" outlineLevel="0" collapsed="false">
      <c r="A33" s="171"/>
      <c r="B33" s="171"/>
      <c r="C33" s="171"/>
      <c r="D33" s="171"/>
      <c r="E33" s="171"/>
      <c r="F33" s="171"/>
      <c r="G33" s="171"/>
      <c r="H33" s="171"/>
      <c r="I33" s="171"/>
      <c r="J33" s="171"/>
      <c r="K33" s="171"/>
      <c r="L33" s="171"/>
      <c r="M33" s="171"/>
      <c r="N33" s="171"/>
      <c r="O33" s="171"/>
      <c r="P33" s="171"/>
      <c r="Q33" s="171"/>
      <c r="R33" s="171"/>
      <c r="S33" s="171"/>
      <c r="T33" s="171"/>
      <c r="U33" s="171"/>
      <c r="V33" s="171"/>
      <c r="W33" s="167" t="str">
        <f aca="false">IF(CONCATENATE(Eingabe!E1," ", Eingabe!E2)="","",CONCATENATE(Eingabe!E1," ", Eingabe!E2))</f>
        <v> </v>
      </c>
      <c r="X33" s="167"/>
      <c r="Y33" s="167"/>
      <c r="Z33" s="167"/>
      <c r="AA33" s="167"/>
      <c r="AB33" s="167"/>
      <c r="AC33" s="167"/>
      <c r="AD33" s="167"/>
      <c r="AE33" s="167"/>
      <c r="AF33" s="167"/>
      <c r="AG33" s="167" t="str">
        <f aca="false">IF(Eingabe!E4="","",Eingabe!E4)</f>
        <v>GruS</v>
      </c>
      <c r="AH33" s="167"/>
      <c r="AI33" s="167"/>
      <c r="AJ33" s="167"/>
      <c r="AK33" s="173" t="str">
        <f aca="false">IF(Eingabe!I3="","",Eingabe!I3)</f>
        <v/>
      </c>
      <c r="AL33" s="173"/>
      <c r="AM33" s="173"/>
      <c r="AN33" s="173"/>
      <c r="AO33" s="173" t="str">
        <f aca="false">IF(Eingabe!I4="","",Eingabe!I4)</f>
        <v/>
      </c>
      <c r="AP33" s="173"/>
      <c r="AQ33" s="173"/>
      <c r="AR33" s="173"/>
      <c r="AS33" s="174" t="str">
        <f aca="false">IF(Eingabe!L1="","",Eingabe!L1)</f>
        <v>Stückliste</v>
      </c>
      <c r="AT33" s="174"/>
      <c r="AU33" s="174"/>
      <c r="AV33" s="174"/>
      <c r="AW33" s="174"/>
      <c r="AX33" s="174"/>
      <c r="AY33" s="174"/>
      <c r="AZ33" s="174"/>
      <c r="BA33" s="174"/>
      <c r="BB33" s="174"/>
      <c r="BC33" s="174"/>
      <c r="BD33" s="174"/>
      <c r="BE33" s="174"/>
      <c r="BF33" s="174"/>
      <c r="BG33" s="174"/>
      <c r="BH33" s="174"/>
      <c r="BI33" s="167" t="str">
        <f aca="false">IF(Eingabe!I5="","",Eingabe!I5)</f>
        <v/>
      </c>
      <c r="BJ33" s="167"/>
      <c r="BK33" s="167"/>
      <c r="BL33" s="167"/>
      <c r="BM33" s="167"/>
      <c r="BN33" s="167"/>
    </row>
    <row r="34" customFormat="false" ht="10.5" hidden="false" customHeight="true" outlineLevel="0" collapsed="false">
      <c r="A34" s="171"/>
      <c r="B34" s="171"/>
      <c r="C34" s="171"/>
      <c r="D34" s="171"/>
      <c r="E34" s="171"/>
      <c r="F34" s="171"/>
      <c r="G34" s="171"/>
      <c r="H34" s="171"/>
      <c r="I34" s="171"/>
      <c r="J34" s="171"/>
      <c r="K34" s="171"/>
      <c r="L34" s="171"/>
      <c r="M34" s="171"/>
      <c r="N34" s="171"/>
      <c r="O34" s="171"/>
      <c r="P34" s="171"/>
      <c r="Q34" s="171"/>
      <c r="R34" s="171"/>
      <c r="S34" s="171"/>
      <c r="T34" s="171"/>
      <c r="U34" s="171"/>
      <c r="V34" s="171"/>
      <c r="W34" s="167"/>
      <c r="X34" s="167"/>
      <c r="Y34" s="167"/>
      <c r="Z34" s="167"/>
      <c r="AA34" s="167"/>
      <c r="AB34" s="167"/>
      <c r="AC34" s="167"/>
      <c r="AD34" s="167"/>
      <c r="AE34" s="167"/>
      <c r="AF34" s="167"/>
      <c r="AG34" s="167"/>
      <c r="AH34" s="167"/>
      <c r="AI34" s="167"/>
      <c r="AJ34" s="167"/>
      <c r="AK34" s="173"/>
      <c r="AL34" s="173"/>
      <c r="AM34" s="173"/>
      <c r="AN34" s="173"/>
      <c r="AO34" s="173"/>
      <c r="AP34" s="173"/>
      <c r="AQ34" s="173"/>
      <c r="AR34" s="173"/>
      <c r="AS34" s="174"/>
      <c r="AT34" s="174"/>
      <c r="AU34" s="174"/>
      <c r="AV34" s="174"/>
      <c r="AW34" s="174"/>
      <c r="AX34" s="174"/>
      <c r="AY34" s="174"/>
      <c r="AZ34" s="174"/>
      <c r="BA34" s="174"/>
      <c r="BB34" s="174"/>
      <c r="BC34" s="174"/>
      <c r="BD34" s="174"/>
      <c r="BE34" s="174"/>
      <c r="BF34" s="174"/>
      <c r="BG34" s="174"/>
      <c r="BH34" s="174"/>
      <c r="BI34" s="167"/>
      <c r="BJ34" s="167"/>
      <c r="BK34" s="167"/>
      <c r="BL34" s="167"/>
      <c r="BM34" s="167"/>
      <c r="BN34" s="167"/>
    </row>
    <row r="35" customFormat="false" ht="10.5" hidden="false" customHeight="true" outlineLevel="0" collapsed="false">
      <c r="A35" s="171"/>
      <c r="B35" s="171"/>
      <c r="C35" s="171"/>
      <c r="D35" s="171"/>
      <c r="E35" s="171"/>
      <c r="F35" s="171"/>
      <c r="G35" s="171"/>
      <c r="H35" s="171"/>
      <c r="I35" s="171"/>
      <c r="J35" s="171"/>
      <c r="K35" s="171"/>
      <c r="L35" s="171"/>
      <c r="M35" s="171"/>
      <c r="N35" s="171"/>
      <c r="O35" s="171"/>
      <c r="P35" s="171"/>
      <c r="Q35" s="171"/>
      <c r="R35" s="171"/>
      <c r="S35" s="171"/>
      <c r="T35" s="171"/>
      <c r="U35" s="171"/>
      <c r="V35" s="171"/>
      <c r="W35" s="166" t="s">
        <v>94</v>
      </c>
      <c r="X35" s="166"/>
      <c r="Y35" s="166"/>
      <c r="Z35" s="166"/>
      <c r="AA35" s="166"/>
      <c r="AB35" s="166"/>
      <c r="AC35" s="166"/>
      <c r="AD35" s="166"/>
      <c r="AE35" s="166"/>
      <c r="AF35" s="166"/>
      <c r="AG35" s="166"/>
      <c r="AH35" s="166"/>
      <c r="AI35" s="166"/>
      <c r="AJ35" s="166"/>
      <c r="AK35" s="166"/>
      <c r="AL35" s="166"/>
      <c r="AM35" s="166"/>
      <c r="AN35" s="166"/>
      <c r="AO35" s="166"/>
      <c r="AP35" s="166"/>
      <c r="AQ35" s="166"/>
      <c r="AR35" s="166"/>
      <c r="AS35" s="166" t="s">
        <v>95</v>
      </c>
      <c r="AT35" s="166"/>
      <c r="AU35" s="166"/>
      <c r="AV35" s="166"/>
      <c r="AW35" s="166"/>
      <c r="AX35" s="166"/>
      <c r="AY35" s="166"/>
      <c r="AZ35" s="166" t="s">
        <v>96</v>
      </c>
      <c r="BA35" s="166"/>
      <c r="BB35" s="166"/>
      <c r="BC35" s="166"/>
      <c r="BD35" s="166"/>
      <c r="BE35" s="166" t="s">
        <v>97</v>
      </c>
      <c r="BF35" s="166"/>
      <c r="BG35" s="166"/>
      <c r="BH35" s="166"/>
      <c r="BI35" s="166"/>
      <c r="BJ35" s="166"/>
      <c r="BK35" s="166"/>
      <c r="BL35" s="166"/>
      <c r="BM35" s="166"/>
      <c r="BN35" s="166"/>
    </row>
    <row r="36" customFormat="false" ht="10.5" hidden="false" customHeight="true" outlineLevel="0" collapsed="false">
      <c r="A36" s="171"/>
      <c r="B36" s="171"/>
      <c r="C36" s="171"/>
      <c r="D36" s="171"/>
      <c r="E36" s="171"/>
      <c r="F36" s="171"/>
      <c r="G36" s="171"/>
      <c r="H36" s="171"/>
      <c r="I36" s="171"/>
      <c r="J36" s="171"/>
      <c r="K36" s="171"/>
      <c r="L36" s="171"/>
      <c r="M36" s="171"/>
      <c r="N36" s="171"/>
      <c r="O36" s="171"/>
      <c r="P36" s="171"/>
      <c r="Q36" s="171"/>
      <c r="R36" s="171"/>
      <c r="S36" s="171"/>
      <c r="T36" s="171"/>
      <c r="U36" s="171"/>
      <c r="V36" s="171"/>
      <c r="W36" s="175" t="str">
        <f aca="false">IF(Eingabe!E5="","",Eingabe!E5)</f>
        <v>TOTEM - Bluetooth</v>
      </c>
      <c r="X36" s="175"/>
      <c r="Y36" s="175"/>
      <c r="Z36" s="175"/>
      <c r="AA36" s="175"/>
      <c r="AB36" s="175"/>
      <c r="AC36" s="175"/>
      <c r="AD36" s="175"/>
      <c r="AE36" s="175"/>
      <c r="AF36" s="175"/>
      <c r="AG36" s="175"/>
      <c r="AH36" s="175"/>
      <c r="AI36" s="175"/>
      <c r="AJ36" s="175"/>
      <c r="AK36" s="175"/>
      <c r="AL36" s="175"/>
      <c r="AM36" s="175"/>
      <c r="AN36" s="175"/>
      <c r="AO36" s="175"/>
      <c r="AP36" s="175"/>
      <c r="AQ36" s="175"/>
      <c r="AR36" s="175"/>
      <c r="AS36" s="170" t="str">
        <f aca="false">IF(Eingabe!L3="","",Eingabe!L3)</f>
        <v>1.0</v>
      </c>
      <c r="AT36" s="170"/>
      <c r="AU36" s="170"/>
      <c r="AV36" s="170"/>
      <c r="AW36" s="170"/>
      <c r="AX36" s="170"/>
      <c r="AY36" s="170"/>
      <c r="AZ36" s="170" t="str">
        <f aca="false">IF(Eingabe!L4="","",Eingabe!L4)</f>
        <v>1</v>
      </c>
      <c r="BA36" s="170"/>
      <c r="BB36" s="170"/>
      <c r="BC36" s="170"/>
      <c r="BD36" s="170"/>
      <c r="BE36" s="174" t="str">
        <f aca="false">IF(Eingabe!L5="","",Eingabe!L5)</f>
        <v>Fertigung</v>
      </c>
      <c r="BF36" s="174"/>
      <c r="BG36" s="174"/>
      <c r="BH36" s="174"/>
      <c r="BI36" s="174"/>
      <c r="BJ36" s="174"/>
      <c r="BK36" s="174"/>
      <c r="BL36" s="174"/>
      <c r="BM36" s="174"/>
      <c r="BN36" s="174"/>
    </row>
    <row r="37" customFormat="false" ht="10.5" hidden="false" customHeight="true" outlineLevel="0" collapsed="false">
      <c r="A37" s="176" t="s">
        <v>98</v>
      </c>
      <c r="B37" s="176"/>
      <c r="C37" s="176"/>
      <c r="D37" s="176"/>
      <c r="E37" s="176"/>
      <c r="F37" s="176"/>
      <c r="G37" s="176"/>
      <c r="H37" s="176"/>
      <c r="I37" s="176"/>
      <c r="J37" s="176"/>
      <c r="K37" s="176"/>
      <c r="L37" s="176"/>
      <c r="M37" s="176"/>
      <c r="N37" s="176"/>
      <c r="O37" s="176"/>
      <c r="P37" s="176"/>
      <c r="Q37" s="176"/>
      <c r="R37" s="176"/>
      <c r="S37" s="176"/>
      <c r="T37" s="176"/>
      <c r="U37" s="176"/>
      <c r="V37" s="176"/>
      <c r="W37" s="175"/>
      <c r="X37" s="175"/>
      <c r="Y37" s="175"/>
      <c r="Z37" s="175"/>
      <c r="AA37" s="175"/>
      <c r="AB37" s="175"/>
      <c r="AC37" s="175"/>
      <c r="AD37" s="175"/>
      <c r="AE37" s="175"/>
      <c r="AF37" s="175"/>
      <c r="AG37" s="175"/>
      <c r="AH37" s="175"/>
      <c r="AI37" s="175"/>
      <c r="AJ37" s="175"/>
      <c r="AK37" s="175"/>
      <c r="AL37" s="175"/>
      <c r="AM37" s="175"/>
      <c r="AN37" s="175"/>
      <c r="AO37" s="175"/>
      <c r="AP37" s="175"/>
      <c r="AQ37" s="175"/>
      <c r="AR37" s="175"/>
      <c r="AS37" s="170"/>
      <c r="AT37" s="170"/>
      <c r="AU37" s="170"/>
      <c r="AV37" s="170"/>
      <c r="AW37" s="170"/>
      <c r="AX37" s="170"/>
      <c r="AY37" s="170"/>
      <c r="AZ37" s="170"/>
      <c r="BA37" s="170"/>
      <c r="BB37" s="170"/>
      <c r="BC37" s="170"/>
      <c r="BD37" s="170"/>
      <c r="BE37" s="174"/>
      <c r="BF37" s="174"/>
      <c r="BG37" s="174"/>
      <c r="BH37" s="174"/>
      <c r="BI37" s="174"/>
      <c r="BJ37" s="174"/>
      <c r="BK37" s="174"/>
      <c r="BL37" s="174"/>
      <c r="BM37" s="174"/>
      <c r="BN37" s="174"/>
    </row>
    <row r="38" customFormat="false" ht="10.5" hidden="false" customHeight="true" outlineLevel="0" collapsed="false">
      <c r="A38" s="176"/>
      <c r="B38" s="176"/>
      <c r="C38" s="176"/>
      <c r="D38" s="176"/>
      <c r="E38" s="176"/>
      <c r="F38" s="176"/>
      <c r="G38" s="176"/>
      <c r="H38" s="176"/>
      <c r="I38" s="176"/>
      <c r="J38" s="176"/>
      <c r="K38" s="176"/>
      <c r="L38" s="176"/>
      <c r="M38" s="176"/>
      <c r="N38" s="176"/>
      <c r="O38" s="176"/>
      <c r="P38" s="176"/>
      <c r="Q38" s="176"/>
      <c r="R38" s="176"/>
      <c r="S38" s="176"/>
      <c r="T38" s="176"/>
      <c r="U38" s="176"/>
      <c r="V38" s="176"/>
      <c r="W38" s="175"/>
      <c r="X38" s="175"/>
      <c r="Y38" s="175"/>
      <c r="Z38" s="175"/>
      <c r="AA38" s="175"/>
      <c r="AB38" s="175"/>
      <c r="AC38" s="175"/>
      <c r="AD38" s="175"/>
      <c r="AE38" s="175"/>
      <c r="AF38" s="175"/>
      <c r="AG38" s="175"/>
      <c r="AH38" s="175"/>
      <c r="AI38" s="175"/>
      <c r="AJ38" s="175"/>
      <c r="AK38" s="175"/>
      <c r="AL38" s="175"/>
      <c r="AM38" s="175"/>
      <c r="AN38" s="175"/>
      <c r="AO38" s="175"/>
      <c r="AP38" s="175"/>
      <c r="AQ38" s="175"/>
      <c r="AR38" s="175"/>
      <c r="AS38" s="177" t="s">
        <v>99</v>
      </c>
      <c r="AT38" s="177"/>
      <c r="AU38" s="177"/>
      <c r="AV38" s="177"/>
      <c r="AW38" s="178" t="s">
        <v>100</v>
      </c>
      <c r="AX38" s="178"/>
      <c r="AY38" s="178"/>
      <c r="AZ38" s="166" t="s">
        <v>101</v>
      </c>
      <c r="BA38" s="166"/>
      <c r="BB38" s="166"/>
      <c r="BC38" s="166"/>
      <c r="BD38" s="166"/>
      <c r="BE38" s="166"/>
      <c r="BF38" s="166"/>
      <c r="BG38" s="166"/>
      <c r="BH38" s="166"/>
      <c r="BI38" s="166" t="s">
        <v>102</v>
      </c>
      <c r="BJ38" s="166"/>
      <c r="BK38" s="166"/>
      <c r="BL38" s="179" t="s">
        <v>103</v>
      </c>
      <c r="BM38" s="180"/>
      <c r="BN38" s="181"/>
    </row>
    <row r="39" customFormat="false" ht="10.5" hidden="false" customHeight="true" outlineLevel="0" collapsed="false">
      <c r="A39" s="182" t="str">
        <f aca="false">IF(Eingabe!M6="","",Eingabe!M6)</f>
        <v>Technische Informatik</v>
      </c>
      <c r="B39" s="182"/>
      <c r="C39" s="182"/>
      <c r="D39" s="182"/>
      <c r="E39" s="182"/>
      <c r="F39" s="182"/>
      <c r="G39" s="182"/>
      <c r="H39" s="182"/>
      <c r="I39" s="182"/>
      <c r="J39" s="182"/>
      <c r="K39" s="182"/>
      <c r="L39" s="182"/>
      <c r="M39" s="182"/>
      <c r="N39" s="182"/>
      <c r="O39" s="182"/>
      <c r="P39" s="182"/>
      <c r="Q39" s="182"/>
      <c r="R39" s="182"/>
      <c r="S39" s="182"/>
      <c r="T39" s="182"/>
      <c r="U39" s="182"/>
      <c r="V39" s="182"/>
      <c r="W39" s="174" t="str">
        <f aca="false">IF(Eingabe!E6="","",Eingabe!E6)</f>
        <v>40 Key Split Ergomech KB</v>
      </c>
      <c r="X39" s="174"/>
      <c r="Y39" s="174"/>
      <c r="Z39" s="174"/>
      <c r="AA39" s="174"/>
      <c r="AB39" s="174"/>
      <c r="AC39" s="174"/>
      <c r="AD39" s="174"/>
      <c r="AE39" s="174"/>
      <c r="AF39" s="174"/>
      <c r="AG39" s="174"/>
      <c r="AH39" s="174"/>
      <c r="AI39" s="174"/>
      <c r="AJ39" s="174"/>
      <c r="AK39" s="174"/>
      <c r="AL39" s="174"/>
      <c r="AM39" s="174"/>
      <c r="AN39" s="174"/>
      <c r="AO39" s="174"/>
      <c r="AP39" s="174"/>
      <c r="AQ39" s="174"/>
      <c r="AR39" s="174"/>
      <c r="AS39" s="173" t="str">
        <f aca="false">IF(Eingabe!L6="","",Eingabe!L6)</f>
        <v>ohne</v>
      </c>
      <c r="AT39" s="173"/>
      <c r="AU39" s="173"/>
      <c r="AV39" s="173"/>
      <c r="AW39" s="183" t="str">
        <f aca="false">IF(Eingabe!I6="","",Eingabe!I6)</f>
        <v>DE</v>
      </c>
      <c r="AX39" s="183"/>
      <c r="AY39" s="183"/>
      <c r="AZ39" s="184" t="n">
        <f aca="false">IF(Eingabe!L2="","",Eingabe!L2)</f>
        <v>45824</v>
      </c>
      <c r="BA39" s="184"/>
      <c r="BB39" s="184"/>
      <c r="BC39" s="184"/>
      <c r="BD39" s="184"/>
      <c r="BE39" s="184"/>
      <c r="BF39" s="184"/>
      <c r="BG39" s="184"/>
      <c r="BH39" s="184"/>
      <c r="BI39" s="173" t="n">
        <v>1</v>
      </c>
      <c r="BJ39" s="173"/>
      <c r="BK39" s="173"/>
      <c r="BL39" s="173" t="n">
        <f aca="false">(5-(IF(Eingabe!$C$33="","1","0"))-(IF(Eingabe!$C$58="","1","0"))-(IF(Eingabe!$C$83="","1","0"))-(IF(Eingabe!$C$108="","1","0")))</f>
        <v>1</v>
      </c>
      <c r="BM39" s="173"/>
      <c r="BN39" s="173"/>
    </row>
    <row r="40" customFormat="false" ht="10.5" hidden="false" customHeight="true" outlineLevel="0" collapsed="false">
      <c r="A40" s="182"/>
      <c r="B40" s="182"/>
      <c r="C40" s="182"/>
      <c r="D40" s="182"/>
      <c r="E40" s="182"/>
      <c r="F40" s="182"/>
      <c r="G40" s="182"/>
      <c r="H40" s="182"/>
      <c r="I40" s="182"/>
      <c r="J40" s="182"/>
      <c r="K40" s="182"/>
      <c r="L40" s="182"/>
      <c r="M40" s="182"/>
      <c r="N40" s="182"/>
      <c r="O40" s="182"/>
      <c r="P40" s="182"/>
      <c r="Q40" s="182"/>
      <c r="R40" s="182"/>
      <c r="S40" s="182"/>
      <c r="T40" s="182"/>
      <c r="U40" s="182"/>
      <c r="V40" s="182"/>
      <c r="W40" s="174"/>
      <c r="X40" s="174"/>
      <c r="Y40" s="174"/>
      <c r="Z40" s="174"/>
      <c r="AA40" s="174"/>
      <c r="AB40" s="174"/>
      <c r="AC40" s="174"/>
      <c r="AD40" s="174"/>
      <c r="AE40" s="174"/>
      <c r="AF40" s="174"/>
      <c r="AG40" s="174"/>
      <c r="AH40" s="174"/>
      <c r="AI40" s="174"/>
      <c r="AJ40" s="174"/>
      <c r="AK40" s="174"/>
      <c r="AL40" s="174"/>
      <c r="AM40" s="174"/>
      <c r="AN40" s="174"/>
      <c r="AO40" s="174"/>
      <c r="AP40" s="174"/>
      <c r="AQ40" s="174"/>
      <c r="AR40" s="174"/>
      <c r="AS40" s="173"/>
      <c r="AT40" s="173"/>
      <c r="AU40" s="173"/>
      <c r="AV40" s="173"/>
      <c r="AW40" s="183"/>
      <c r="AX40" s="183"/>
      <c r="AY40" s="183"/>
      <c r="AZ40" s="184"/>
      <c r="BA40" s="184"/>
      <c r="BB40" s="184"/>
      <c r="BC40" s="184"/>
      <c r="BD40" s="184"/>
      <c r="BE40" s="184"/>
      <c r="BF40" s="184"/>
      <c r="BG40" s="184"/>
      <c r="BH40" s="184"/>
      <c r="BI40" s="173"/>
      <c r="BJ40" s="173"/>
      <c r="BK40" s="173"/>
      <c r="BL40" s="173"/>
      <c r="BM40" s="173"/>
      <c r="BN40" s="173"/>
    </row>
    <row r="41" customFormat="false" ht="14.25" hidden="false" customHeight="false" outlineLevel="0" collapsed="false">
      <c r="A41" s="185"/>
      <c r="B41" s="185"/>
      <c r="C41" s="185"/>
      <c r="D41" s="185"/>
      <c r="E41" s="185"/>
      <c r="F41" s="185"/>
      <c r="G41" s="185"/>
      <c r="H41" s="185"/>
      <c r="I41" s="185"/>
      <c r="J41" s="185"/>
      <c r="K41" s="185"/>
      <c r="L41" s="185"/>
      <c r="M41" s="185"/>
      <c r="N41" s="185"/>
      <c r="O41" s="185"/>
      <c r="P41" s="185"/>
      <c r="Q41" s="185"/>
      <c r="R41" s="185"/>
      <c r="S41" s="185"/>
      <c r="T41" s="185"/>
      <c r="U41" s="185"/>
      <c r="V41" s="185"/>
      <c r="W41" s="185"/>
      <c r="X41" s="185"/>
      <c r="Y41" s="185"/>
      <c r="Z41" s="185"/>
      <c r="AA41" s="185"/>
      <c r="AB41" s="185"/>
      <c r="AC41" s="185"/>
      <c r="AD41" s="185"/>
      <c r="AE41" s="185"/>
      <c r="AF41" s="185"/>
      <c r="AG41" s="185"/>
      <c r="AH41" s="185"/>
      <c r="AI41" s="185"/>
      <c r="AJ41" s="185"/>
      <c r="AK41" s="185"/>
      <c r="AL41" s="185"/>
      <c r="AM41" s="185"/>
      <c r="AN41" s="185"/>
      <c r="AO41" s="185"/>
      <c r="AP41" s="185"/>
      <c r="AQ41" s="185"/>
      <c r="AR41" s="185"/>
      <c r="AS41" s="185"/>
      <c r="AT41" s="185"/>
      <c r="AU41" s="185"/>
      <c r="AV41" s="185"/>
      <c r="AW41" s="185"/>
      <c r="AX41" s="185"/>
      <c r="AY41" s="185"/>
      <c r="AZ41" s="185"/>
      <c r="BA41" s="185"/>
      <c r="BB41" s="185"/>
      <c r="BC41" s="185"/>
      <c r="BD41" s="185"/>
      <c r="BE41" s="185"/>
      <c r="BF41" s="185"/>
      <c r="BG41" s="185"/>
      <c r="BH41" s="185"/>
      <c r="BI41" s="185"/>
      <c r="BJ41" s="185"/>
      <c r="BK41" s="185"/>
      <c r="BL41" s="185"/>
      <c r="BM41" s="185"/>
      <c r="BN41" s="185"/>
    </row>
  </sheetData>
  <sheetProtection sheet="true" objects="true" scenarios="true" selectLockedCells="true"/>
  <mergeCells count="230">
    <mergeCell ref="A1:D1"/>
    <mergeCell ref="E1:H1"/>
    <mergeCell ref="I1:L1"/>
    <mergeCell ref="M1:AF1"/>
    <mergeCell ref="AG1:AW1"/>
    <mergeCell ref="AX1:BA1"/>
    <mergeCell ref="BB1:BN1"/>
    <mergeCell ref="A2:D3"/>
    <mergeCell ref="E2:H3"/>
    <mergeCell ref="I2:L3"/>
    <mergeCell ref="M2:AF3"/>
    <mergeCell ref="AG2:AW3"/>
    <mergeCell ref="AX2:BA3"/>
    <mergeCell ref="BB2:BN3"/>
    <mergeCell ref="A4:D4"/>
    <mergeCell ref="E4:H4"/>
    <mergeCell ref="I4:L4"/>
    <mergeCell ref="M4:AF4"/>
    <mergeCell ref="AG4:AW4"/>
    <mergeCell ref="AX4:BA4"/>
    <mergeCell ref="BB4:BN4"/>
    <mergeCell ref="A5:D5"/>
    <mergeCell ref="E5:H5"/>
    <mergeCell ref="I5:L5"/>
    <mergeCell ref="M5:AF5"/>
    <mergeCell ref="AG5:AW5"/>
    <mergeCell ref="AX5:BA5"/>
    <mergeCell ref="BB5:BN5"/>
    <mergeCell ref="A6:D6"/>
    <mergeCell ref="E6:H6"/>
    <mergeCell ref="I6:L6"/>
    <mergeCell ref="M6:AF6"/>
    <mergeCell ref="AG6:AW6"/>
    <mergeCell ref="AX6:BA6"/>
    <mergeCell ref="BB6:BN6"/>
    <mergeCell ref="A7:D7"/>
    <mergeCell ref="E7:H7"/>
    <mergeCell ref="I7:L7"/>
    <mergeCell ref="M7:AF7"/>
    <mergeCell ref="AG7:AW7"/>
    <mergeCell ref="AX7:BA7"/>
    <mergeCell ref="BB7:BN7"/>
    <mergeCell ref="A8:D8"/>
    <mergeCell ref="E8:H8"/>
    <mergeCell ref="I8:L8"/>
    <mergeCell ref="M8:AF8"/>
    <mergeCell ref="AG8:AW8"/>
    <mergeCell ref="AX8:BA8"/>
    <mergeCell ref="BB8:BN8"/>
    <mergeCell ref="A9:D9"/>
    <mergeCell ref="E9:H9"/>
    <mergeCell ref="I9:L9"/>
    <mergeCell ref="M9:AF9"/>
    <mergeCell ref="AG9:AW9"/>
    <mergeCell ref="AX9:BA9"/>
    <mergeCell ref="BB9:BN9"/>
    <mergeCell ref="A10:D10"/>
    <mergeCell ref="E10:H10"/>
    <mergeCell ref="I10:L10"/>
    <mergeCell ref="M10:AF10"/>
    <mergeCell ref="AG10:AW10"/>
    <mergeCell ref="AX10:BA10"/>
    <mergeCell ref="BB10:BN10"/>
    <mergeCell ref="A11:D11"/>
    <mergeCell ref="E11:H11"/>
    <mergeCell ref="I11:L11"/>
    <mergeCell ref="M11:AF11"/>
    <mergeCell ref="AG11:AW11"/>
    <mergeCell ref="AX11:BA11"/>
    <mergeCell ref="BB11:BN11"/>
    <mergeCell ref="A12:D12"/>
    <mergeCell ref="E12:H12"/>
    <mergeCell ref="I12:L12"/>
    <mergeCell ref="M12:AF12"/>
    <mergeCell ref="AG12:AW12"/>
    <mergeCell ref="AX12:BA12"/>
    <mergeCell ref="BB12:BN12"/>
    <mergeCell ref="A13:D13"/>
    <mergeCell ref="E13:H13"/>
    <mergeCell ref="I13:L13"/>
    <mergeCell ref="M13:AF13"/>
    <mergeCell ref="AG13:AW13"/>
    <mergeCell ref="AX13:BA13"/>
    <mergeCell ref="BB13:BN13"/>
    <mergeCell ref="A14:D14"/>
    <mergeCell ref="E14:H14"/>
    <mergeCell ref="I14:L14"/>
    <mergeCell ref="M14:AF14"/>
    <mergeCell ref="AG14:AW14"/>
    <mergeCell ref="AX14:BA14"/>
    <mergeCell ref="BB14:BN14"/>
    <mergeCell ref="A15:D15"/>
    <mergeCell ref="E15:H15"/>
    <mergeCell ref="I15:L15"/>
    <mergeCell ref="M15:AF15"/>
    <mergeCell ref="AG15:AW15"/>
    <mergeCell ref="AX15:BA15"/>
    <mergeCell ref="BB15:BN15"/>
    <mergeCell ref="A16:D16"/>
    <mergeCell ref="E16:H16"/>
    <mergeCell ref="I16:L16"/>
    <mergeCell ref="M16:AF16"/>
    <mergeCell ref="AG16:AW16"/>
    <mergeCell ref="AX16:BA16"/>
    <mergeCell ref="BB16:BN16"/>
    <mergeCell ref="A17:D17"/>
    <mergeCell ref="E17:H17"/>
    <mergeCell ref="I17:L17"/>
    <mergeCell ref="M17:AF17"/>
    <mergeCell ref="AG17:AW17"/>
    <mergeCell ref="AX17:BA17"/>
    <mergeCell ref="BB17:BN17"/>
    <mergeCell ref="A18:D18"/>
    <mergeCell ref="E18:H18"/>
    <mergeCell ref="I18:L18"/>
    <mergeCell ref="M18:AF18"/>
    <mergeCell ref="AG18:AW18"/>
    <mergeCell ref="AX18:BA18"/>
    <mergeCell ref="BB18:BN18"/>
    <mergeCell ref="A19:D19"/>
    <mergeCell ref="E19:H19"/>
    <mergeCell ref="I19:L19"/>
    <mergeCell ref="M19:AF19"/>
    <mergeCell ref="AG19:AW19"/>
    <mergeCell ref="AX19:BA19"/>
    <mergeCell ref="BB19:BN19"/>
    <mergeCell ref="A20:D20"/>
    <mergeCell ref="E20:H20"/>
    <mergeCell ref="I20:L20"/>
    <mergeCell ref="M20:AF20"/>
    <mergeCell ref="AG20:AW20"/>
    <mergeCell ref="AX20:BA20"/>
    <mergeCell ref="BB20:BN20"/>
    <mergeCell ref="A21:D21"/>
    <mergeCell ref="E21:H21"/>
    <mergeCell ref="I21:L21"/>
    <mergeCell ref="M21:AF21"/>
    <mergeCell ref="AG21:AW21"/>
    <mergeCell ref="AX21:BA21"/>
    <mergeCell ref="BB21:BN21"/>
    <mergeCell ref="A22:D22"/>
    <mergeCell ref="E22:H22"/>
    <mergeCell ref="I22:L22"/>
    <mergeCell ref="M22:AF22"/>
    <mergeCell ref="AG22:AW22"/>
    <mergeCell ref="AX22:BA22"/>
    <mergeCell ref="BB22:BN22"/>
    <mergeCell ref="A23:D23"/>
    <mergeCell ref="E23:H23"/>
    <mergeCell ref="I23:L23"/>
    <mergeCell ref="M23:AF23"/>
    <mergeCell ref="AG23:AW23"/>
    <mergeCell ref="AX23:BA23"/>
    <mergeCell ref="BB23:BN23"/>
    <mergeCell ref="A24:D24"/>
    <mergeCell ref="E24:H24"/>
    <mergeCell ref="I24:L24"/>
    <mergeCell ref="M24:AF24"/>
    <mergeCell ref="AG24:AW24"/>
    <mergeCell ref="AX24:BA24"/>
    <mergeCell ref="BB24:BN24"/>
    <mergeCell ref="A25:D25"/>
    <mergeCell ref="E25:H25"/>
    <mergeCell ref="I25:L25"/>
    <mergeCell ref="M25:AF25"/>
    <mergeCell ref="AG25:AW25"/>
    <mergeCell ref="AX25:BA25"/>
    <mergeCell ref="BB25:BN25"/>
    <mergeCell ref="A26:D26"/>
    <mergeCell ref="E26:H26"/>
    <mergeCell ref="I26:L26"/>
    <mergeCell ref="M26:AF26"/>
    <mergeCell ref="AG26:AW26"/>
    <mergeCell ref="AX26:BA26"/>
    <mergeCell ref="BB26:BN26"/>
    <mergeCell ref="A27:D27"/>
    <mergeCell ref="E27:H27"/>
    <mergeCell ref="I27:L27"/>
    <mergeCell ref="M27:AF27"/>
    <mergeCell ref="AG27:AW27"/>
    <mergeCell ref="AX27:BA27"/>
    <mergeCell ref="BB27:BN27"/>
    <mergeCell ref="A28:D28"/>
    <mergeCell ref="E28:H28"/>
    <mergeCell ref="I28:L28"/>
    <mergeCell ref="M28:AF28"/>
    <mergeCell ref="AG28:AW28"/>
    <mergeCell ref="AX28:BA28"/>
    <mergeCell ref="BB28:BN28"/>
    <mergeCell ref="A29:V29"/>
    <mergeCell ref="W29:AR29"/>
    <mergeCell ref="AS29:BA29"/>
    <mergeCell ref="BB29:BN29"/>
    <mergeCell ref="A30:V31"/>
    <mergeCell ref="W30:AR31"/>
    <mergeCell ref="AS30:BA31"/>
    <mergeCell ref="BB30:BN31"/>
    <mergeCell ref="A32:V36"/>
    <mergeCell ref="W32:AF32"/>
    <mergeCell ref="AG32:AJ32"/>
    <mergeCell ref="AK32:AN32"/>
    <mergeCell ref="AO32:AR32"/>
    <mergeCell ref="AS32:BH32"/>
    <mergeCell ref="BI32:BN32"/>
    <mergeCell ref="W33:AF34"/>
    <mergeCell ref="AG33:AJ34"/>
    <mergeCell ref="AK33:AN34"/>
    <mergeCell ref="AO33:AR34"/>
    <mergeCell ref="AS33:BH34"/>
    <mergeCell ref="BI33:BN34"/>
    <mergeCell ref="W35:AR35"/>
    <mergeCell ref="AS35:AY35"/>
    <mergeCell ref="AZ35:BD35"/>
    <mergeCell ref="BE35:BN35"/>
    <mergeCell ref="W36:AR38"/>
    <mergeCell ref="AS36:AY37"/>
    <mergeCell ref="AZ36:BD37"/>
    <mergeCell ref="BE36:BN37"/>
    <mergeCell ref="A37:V38"/>
    <mergeCell ref="AS38:AV38"/>
    <mergeCell ref="AW38:AY38"/>
    <mergeCell ref="AZ38:BH38"/>
    <mergeCell ref="BI38:BK38"/>
    <mergeCell ref="A39:V40"/>
    <mergeCell ref="W39:AR40"/>
    <mergeCell ref="AS39:AV40"/>
    <mergeCell ref="AW39:AY40"/>
    <mergeCell ref="AZ39:BH40"/>
    <mergeCell ref="BI39:BK40"/>
    <mergeCell ref="BL39:BN40"/>
  </mergeCells>
  <printOptions headings="false" gridLines="false" gridLinesSet="true" horizontalCentered="false" verticalCentered="false"/>
  <pageMargins left="0.7875" right="0.39375" top="0.39375" bottom="0.39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41"/>
  <sheetViews>
    <sheetView showFormulas="false" showGridLines="true" showRowColHeaders="true" showZeros="true" rightToLeft="false" tabSelected="false" showOutlineSymbols="true" defaultGridColor="true" view="pageBreakPreview" topLeftCell="A5" colorId="64" zoomScale="100" zoomScaleNormal="57" zoomScalePageLayoutView="100" workbookViewId="0">
      <selection pane="topLeft" activeCell="A4" activeCellId="0" sqref="A4"/>
    </sheetView>
  </sheetViews>
  <sheetFormatPr defaultColWidth="10.625" defaultRowHeight="14.25" customHeight="true" zeroHeight="false" outlineLevelRow="0" outlineLevelCol="0"/>
  <cols>
    <col collapsed="false" customWidth="true" hidden="false" outlineLevel="0" max="66" min="1" style="1" width="1.25"/>
    <col collapsed="false" customWidth="false" hidden="false" outlineLevel="0" max="16384" min="67" style="1" width="10.62"/>
  </cols>
  <sheetData>
    <row r="1" customFormat="false" ht="15.75" hidden="false" customHeight="true" outlineLevel="0" collapsed="false">
      <c r="A1" s="142" t="n">
        <v>1</v>
      </c>
      <c r="B1" s="142"/>
      <c r="C1" s="142"/>
      <c r="D1" s="142"/>
      <c r="E1" s="143" t="n">
        <v>2</v>
      </c>
      <c r="F1" s="143"/>
      <c r="G1" s="143"/>
      <c r="H1" s="143"/>
      <c r="I1" s="143" t="n">
        <v>3</v>
      </c>
      <c r="J1" s="143"/>
      <c r="K1" s="143"/>
      <c r="L1" s="143"/>
      <c r="M1" s="143" t="n">
        <v>4</v>
      </c>
      <c r="N1" s="143"/>
      <c r="O1" s="143"/>
      <c r="P1" s="143"/>
      <c r="Q1" s="143"/>
      <c r="R1" s="143"/>
      <c r="S1" s="143"/>
      <c r="T1" s="143"/>
      <c r="U1" s="143"/>
      <c r="V1" s="143"/>
      <c r="W1" s="143"/>
      <c r="X1" s="143"/>
      <c r="Y1" s="143"/>
      <c r="Z1" s="143"/>
      <c r="AA1" s="143"/>
      <c r="AB1" s="143"/>
      <c r="AC1" s="143"/>
      <c r="AD1" s="143"/>
      <c r="AE1" s="143"/>
      <c r="AF1" s="143"/>
      <c r="AG1" s="143" t="n">
        <v>5</v>
      </c>
      <c r="AH1" s="143"/>
      <c r="AI1" s="143"/>
      <c r="AJ1" s="143"/>
      <c r="AK1" s="143"/>
      <c r="AL1" s="143"/>
      <c r="AM1" s="143"/>
      <c r="AN1" s="143"/>
      <c r="AO1" s="143"/>
      <c r="AP1" s="143"/>
      <c r="AQ1" s="143"/>
      <c r="AR1" s="143"/>
      <c r="AS1" s="143"/>
      <c r="AT1" s="143"/>
      <c r="AU1" s="143"/>
      <c r="AV1" s="143"/>
      <c r="AW1" s="143"/>
      <c r="AX1" s="143" t="n">
        <v>6</v>
      </c>
      <c r="AY1" s="143"/>
      <c r="AZ1" s="143"/>
      <c r="BA1" s="143"/>
      <c r="BB1" s="144" t="n">
        <v>7</v>
      </c>
      <c r="BC1" s="144"/>
      <c r="BD1" s="144"/>
      <c r="BE1" s="144"/>
      <c r="BF1" s="144"/>
      <c r="BG1" s="144"/>
      <c r="BH1" s="144"/>
      <c r="BI1" s="144"/>
      <c r="BJ1" s="144"/>
      <c r="BK1" s="144"/>
      <c r="BL1" s="144"/>
      <c r="BM1" s="144"/>
      <c r="BN1" s="144"/>
    </row>
    <row r="2" customFormat="false" ht="18.75" hidden="false" customHeight="true" outlineLevel="0" collapsed="false">
      <c r="A2" s="145" t="str">
        <f aca="false">Eingabe!A7</f>
        <v>Lfd. 
Nr.</v>
      </c>
      <c r="B2" s="145"/>
      <c r="C2" s="145"/>
      <c r="D2" s="145"/>
      <c r="E2" s="146" t="str">
        <f aca="false">Eingabe!B7</f>
        <v>Stück-
zahl</v>
      </c>
      <c r="F2" s="146"/>
      <c r="G2" s="146"/>
      <c r="H2" s="146"/>
      <c r="I2" s="146" t="str">
        <f aca="false">Eingabe!C7</f>
        <v>Ein-
heit</v>
      </c>
      <c r="J2" s="146"/>
      <c r="K2" s="146"/>
      <c r="L2" s="146"/>
      <c r="M2" s="147" t="str">
        <f aca="false">Eingabe!D7</f>
        <v>Benennung</v>
      </c>
      <c r="N2" s="147"/>
      <c r="O2" s="147"/>
      <c r="P2" s="147"/>
      <c r="Q2" s="147"/>
      <c r="R2" s="147"/>
      <c r="S2" s="147"/>
      <c r="T2" s="147"/>
      <c r="U2" s="147"/>
      <c r="V2" s="147"/>
      <c r="W2" s="147"/>
      <c r="X2" s="147"/>
      <c r="Y2" s="147"/>
      <c r="Z2" s="147"/>
      <c r="AA2" s="147"/>
      <c r="AB2" s="147"/>
      <c r="AC2" s="147"/>
      <c r="AD2" s="147"/>
      <c r="AE2" s="147"/>
      <c r="AF2" s="147"/>
      <c r="AG2" s="147" t="str">
        <f aca="false">Eingabe!F7&amp;" / "&amp;Eingabe!G7</f>
        <v>Lieferant / Bestellnummer</v>
      </c>
      <c r="AH2" s="147"/>
      <c r="AI2" s="147"/>
      <c r="AJ2" s="147"/>
      <c r="AK2" s="147"/>
      <c r="AL2" s="147"/>
      <c r="AM2" s="147"/>
      <c r="AN2" s="147"/>
      <c r="AO2" s="147"/>
      <c r="AP2" s="147"/>
      <c r="AQ2" s="147"/>
      <c r="AR2" s="147"/>
      <c r="AS2" s="147"/>
      <c r="AT2" s="147"/>
      <c r="AU2" s="147"/>
      <c r="AV2" s="147"/>
      <c r="AW2" s="147"/>
      <c r="AX2" s="148" t="str">
        <f aca="false">Eingabe!H7</f>
        <v>MCd</v>
      </c>
      <c r="AY2" s="148"/>
      <c r="AZ2" s="148"/>
      <c r="BA2" s="148"/>
      <c r="BB2" s="149" t="str">
        <f aca="false">Eingabe!K7</f>
        <v>Bemerkung</v>
      </c>
      <c r="BC2" s="149"/>
      <c r="BD2" s="149"/>
      <c r="BE2" s="149"/>
      <c r="BF2" s="149"/>
      <c r="BG2" s="149"/>
      <c r="BH2" s="149"/>
      <c r="BI2" s="149"/>
      <c r="BJ2" s="149"/>
      <c r="BK2" s="149"/>
      <c r="BL2" s="149"/>
      <c r="BM2" s="149"/>
      <c r="BN2" s="149"/>
    </row>
    <row r="3" customFormat="false" ht="18.75" hidden="false" customHeight="true" outlineLevel="0" collapsed="false">
      <c r="A3" s="145"/>
      <c r="B3" s="145"/>
      <c r="C3" s="145"/>
      <c r="D3" s="145"/>
      <c r="E3" s="146"/>
      <c r="F3" s="146"/>
      <c r="G3" s="146"/>
      <c r="H3" s="146"/>
      <c r="I3" s="146"/>
      <c r="J3" s="146"/>
      <c r="K3" s="146"/>
      <c r="L3" s="146"/>
      <c r="M3" s="147"/>
      <c r="N3" s="147"/>
      <c r="O3" s="147"/>
      <c r="P3" s="147"/>
      <c r="Q3" s="147"/>
      <c r="R3" s="147"/>
      <c r="S3" s="147"/>
      <c r="T3" s="147"/>
      <c r="U3" s="147"/>
      <c r="V3" s="147"/>
      <c r="W3" s="147"/>
      <c r="X3" s="147"/>
      <c r="Y3" s="147"/>
      <c r="Z3" s="147"/>
      <c r="AA3" s="147"/>
      <c r="AB3" s="147"/>
      <c r="AC3" s="147"/>
      <c r="AD3" s="147"/>
      <c r="AE3" s="147"/>
      <c r="AF3" s="147"/>
      <c r="AG3" s="147"/>
      <c r="AH3" s="147"/>
      <c r="AI3" s="147"/>
      <c r="AJ3" s="147"/>
      <c r="AK3" s="147"/>
      <c r="AL3" s="147"/>
      <c r="AM3" s="147"/>
      <c r="AN3" s="147"/>
      <c r="AO3" s="147"/>
      <c r="AP3" s="147"/>
      <c r="AQ3" s="147"/>
      <c r="AR3" s="147"/>
      <c r="AS3" s="147"/>
      <c r="AT3" s="147"/>
      <c r="AU3" s="147"/>
      <c r="AV3" s="147"/>
      <c r="AW3" s="147"/>
      <c r="AX3" s="148"/>
      <c r="AY3" s="148"/>
      <c r="AZ3" s="148"/>
      <c r="BA3" s="148"/>
      <c r="BB3" s="149"/>
      <c r="BC3" s="149"/>
      <c r="BD3" s="149"/>
      <c r="BE3" s="149"/>
      <c r="BF3" s="149"/>
      <c r="BG3" s="149"/>
      <c r="BH3" s="149"/>
      <c r="BI3" s="149"/>
      <c r="BJ3" s="149"/>
      <c r="BK3" s="149"/>
      <c r="BL3" s="149"/>
      <c r="BM3" s="149"/>
      <c r="BN3" s="149"/>
    </row>
    <row r="4" s="156" customFormat="true" ht="25.5" hidden="false" customHeight="true" outlineLevel="0" collapsed="false">
      <c r="A4" s="150" t="n">
        <f aca="false">IF(Eingabe!A33="","",Eingabe!A33)</f>
        <v>26</v>
      </c>
      <c r="B4" s="150"/>
      <c r="C4" s="150"/>
      <c r="D4" s="150"/>
      <c r="E4" s="151" t="str">
        <f aca="false">IF(Eingabe!B33="","",Eingabe!B33)</f>
        <v/>
      </c>
      <c r="F4" s="151"/>
      <c r="G4" s="151"/>
      <c r="H4" s="151"/>
      <c r="I4" s="152" t="str">
        <f aca="false">IF(Eingabe!C33="","",Eingabe!C33)</f>
        <v/>
      </c>
      <c r="J4" s="152"/>
      <c r="K4" s="152"/>
      <c r="L4" s="152"/>
      <c r="M4" s="153" t="str">
        <f aca="false">IF(Eingabe!D33&amp;""&amp;Eingabe!E33="","",Eingabe!D33&amp;" 
"&amp;Eingabe!E33)</f>
        <v/>
      </c>
      <c r="N4" s="153"/>
      <c r="O4" s="153"/>
      <c r="P4" s="153"/>
      <c r="Q4" s="153"/>
      <c r="R4" s="153"/>
      <c r="S4" s="153"/>
      <c r="T4" s="153"/>
      <c r="U4" s="153"/>
      <c r="V4" s="153"/>
      <c r="W4" s="153"/>
      <c r="X4" s="153"/>
      <c r="Y4" s="153"/>
      <c r="Z4" s="153"/>
      <c r="AA4" s="153"/>
      <c r="AB4" s="153"/>
      <c r="AC4" s="153"/>
      <c r="AD4" s="153"/>
      <c r="AE4" s="153"/>
      <c r="AF4" s="153"/>
      <c r="AG4" s="152" t="str">
        <f aca="false">IF(Eingabe!F33&amp;""&amp;Eingabe!G33="","",Eingabe!F33&amp;" 
"&amp;Eingabe!G33)</f>
        <v/>
      </c>
      <c r="AH4" s="152"/>
      <c r="AI4" s="152"/>
      <c r="AJ4" s="152"/>
      <c r="AK4" s="152"/>
      <c r="AL4" s="152"/>
      <c r="AM4" s="152"/>
      <c r="AN4" s="152"/>
      <c r="AO4" s="152"/>
      <c r="AP4" s="152"/>
      <c r="AQ4" s="152"/>
      <c r="AR4" s="152"/>
      <c r="AS4" s="152"/>
      <c r="AT4" s="152"/>
      <c r="AU4" s="152"/>
      <c r="AV4" s="152"/>
      <c r="AW4" s="152"/>
      <c r="AX4" s="152" t="str">
        <f aca="false">IF(Eingabe!H33="","",Eingabe!H33)</f>
        <v/>
      </c>
      <c r="AY4" s="152"/>
      <c r="AZ4" s="152"/>
      <c r="BA4" s="152"/>
      <c r="BB4" s="154" t="str">
        <f aca="false">IF(Eingabe!K33="","",Eingabe!K33)</f>
        <v/>
      </c>
      <c r="BC4" s="154"/>
      <c r="BD4" s="154"/>
      <c r="BE4" s="154"/>
      <c r="BF4" s="154"/>
      <c r="BG4" s="154"/>
      <c r="BH4" s="154"/>
      <c r="BI4" s="154"/>
      <c r="BJ4" s="154"/>
      <c r="BK4" s="154"/>
      <c r="BL4" s="154"/>
      <c r="BM4" s="154"/>
      <c r="BN4" s="154"/>
      <c r="BO4" s="155"/>
      <c r="BP4" s="155"/>
      <c r="BQ4" s="155"/>
      <c r="BR4" s="155"/>
      <c r="BS4" s="155"/>
      <c r="BT4" s="155"/>
      <c r="BU4" s="155"/>
      <c r="BV4" s="155"/>
      <c r="BW4" s="155"/>
      <c r="BX4" s="155"/>
      <c r="BY4" s="155"/>
      <c r="BZ4" s="155"/>
      <c r="CA4" s="155"/>
      <c r="CB4" s="155"/>
      <c r="CC4" s="155"/>
      <c r="CD4" s="155"/>
      <c r="CE4" s="155"/>
      <c r="CF4" s="155"/>
      <c r="CG4" s="155"/>
      <c r="CH4" s="155"/>
      <c r="CI4" s="155"/>
      <c r="CJ4" s="155"/>
      <c r="CK4" s="155"/>
      <c r="CL4" s="155"/>
      <c r="CM4" s="155"/>
      <c r="CN4" s="155"/>
      <c r="CO4" s="155"/>
      <c r="CP4" s="155"/>
      <c r="CQ4" s="155"/>
      <c r="CR4" s="155"/>
      <c r="CS4" s="155"/>
      <c r="CT4" s="155"/>
      <c r="CU4" s="155"/>
      <c r="CV4" s="155"/>
      <c r="CW4" s="155"/>
      <c r="CX4" s="155"/>
      <c r="CY4" s="155"/>
      <c r="CZ4" s="155"/>
      <c r="DA4" s="155"/>
      <c r="DB4" s="155"/>
      <c r="DC4" s="155"/>
      <c r="DD4" s="155"/>
      <c r="DE4" s="155"/>
      <c r="DF4" s="155"/>
      <c r="DG4" s="155"/>
      <c r="DH4" s="155"/>
      <c r="DI4" s="155"/>
      <c r="DJ4" s="155"/>
      <c r="DK4" s="155"/>
      <c r="DL4" s="155"/>
      <c r="DM4" s="155"/>
      <c r="DN4" s="155"/>
      <c r="DO4" s="155"/>
      <c r="DP4" s="155"/>
      <c r="DQ4" s="155"/>
      <c r="DR4" s="155"/>
      <c r="DS4" s="155"/>
      <c r="DT4" s="155"/>
      <c r="DU4" s="155"/>
      <c r="DV4" s="155"/>
      <c r="DW4" s="155"/>
      <c r="DX4" s="155"/>
      <c r="DY4" s="155"/>
      <c r="DZ4" s="155"/>
      <c r="EA4" s="155"/>
      <c r="EB4" s="155"/>
      <c r="EC4" s="155"/>
      <c r="ED4" s="155"/>
      <c r="EE4" s="155"/>
      <c r="EF4" s="155"/>
      <c r="EG4" s="155"/>
      <c r="EH4" s="155"/>
      <c r="EI4" s="155"/>
      <c r="EJ4" s="155"/>
      <c r="EK4" s="155"/>
      <c r="EL4" s="155"/>
      <c r="EM4" s="155"/>
      <c r="EN4" s="155"/>
      <c r="EO4" s="155"/>
      <c r="EP4" s="155"/>
      <c r="EQ4" s="155"/>
      <c r="ER4" s="155"/>
      <c r="ES4" s="155"/>
      <c r="ET4" s="155"/>
      <c r="EU4" s="155"/>
      <c r="EV4" s="155"/>
      <c r="EW4" s="155"/>
      <c r="EX4" s="155"/>
      <c r="EY4" s="155"/>
      <c r="EZ4" s="155"/>
      <c r="FA4" s="155"/>
      <c r="FB4" s="155"/>
      <c r="FC4" s="155"/>
      <c r="FD4" s="155"/>
      <c r="FE4" s="155"/>
      <c r="FF4" s="155"/>
      <c r="FG4" s="155"/>
      <c r="FH4" s="155"/>
      <c r="FI4" s="155"/>
      <c r="FJ4" s="155"/>
      <c r="FK4" s="155"/>
      <c r="FL4" s="155"/>
      <c r="FM4" s="155"/>
      <c r="FN4" s="155"/>
      <c r="FO4" s="155"/>
      <c r="FP4" s="155"/>
      <c r="FQ4" s="155"/>
      <c r="FR4" s="155"/>
      <c r="FS4" s="155"/>
      <c r="FT4" s="155"/>
      <c r="FU4" s="155"/>
      <c r="FV4" s="155"/>
      <c r="FW4" s="155"/>
      <c r="FX4" s="155"/>
      <c r="FY4" s="155"/>
      <c r="FZ4" s="155"/>
      <c r="GA4" s="155"/>
      <c r="GB4" s="155"/>
      <c r="GC4" s="155"/>
      <c r="GD4" s="155"/>
      <c r="GE4" s="155"/>
      <c r="GF4" s="155"/>
      <c r="GG4" s="155"/>
      <c r="GH4" s="155"/>
      <c r="GI4" s="155"/>
      <c r="GJ4" s="155"/>
      <c r="GK4" s="155"/>
      <c r="GL4" s="155"/>
      <c r="GM4" s="155"/>
      <c r="GN4" s="155"/>
      <c r="GO4" s="155"/>
      <c r="GP4" s="155"/>
      <c r="GQ4" s="155"/>
      <c r="GR4" s="155"/>
      <c r="GS4" s="155"/>
      <c r="GT4" s="155"/>
      <c r="GU4" s="155"/>
      <c r="GV4" s="155"/>
      <c r="GW4" s="155"/>
      <c r="GX4" s="155"/>
      <c r="GY4" s="155"/>
      <c r="GZ4" s="155"/>
      <c r="HA4" s="155"/>
      <c r="HB4" s="155"/>
      <c r="HC4" s="155"/>
      <c r="HD4" s="155"/>
      <c r="HE4" s="155"/>
      <c r="HF4" s="155"/>
      <c r="HG4" s="155"/>
      <c r="HH4" s="155"/>
      <c r="HI4" s="155"/>
      <c r="HJ4" s="155"/>
      <c r="HK4" s="155"/>
      <c r="HL4" s="155"/>
      <c r="HM4" s="155"/>
      <c r="HN4" s="155"/>
      <c r="HO4" s="155"/>
      <c r="HP4" s="155"/>
      <c r="HQ4" s="155"/>
      <c r="HR4" s="155"/>
      <c r="HS4" s="155"/>
      <c r="HT4" s="155"/>
      <c r="HU4" s="155"/>
      <c r="HV4" s="155"/>
      <c r="HW4" s="155"/>
      <c r="HX4" s="155"/>
      <c r="HY4" s="155"/>
      <c r="HZ4" s="155"/>
      <c r="IA4" s="155"/>
      <c r="IB4" s="155"/>
      <c r="IC4" s="155"/>
      <c r="ID4" s="155"/>
      <c r="IE4" s="155"/>
      <c r="IF4" s="155"/>
      <c r="IG4" s="155"/>
      <c r="IH4" s="155"/>
      <c r="II4" s="155"/>
      <c r="IJ4" s="155"/>
      <c r="IK4" s="155"/>
      <c r="IL4" s="155"/>
      <c r="IM4" s="155"/>
      <c r="IN4" s="155"/>
      <c r="IO4" s="155"/>
      <c r="IP4" s="155"/>
      <c r="IQ4" s="155"/>
      <c r="IR4" s="155"/>
      <c r="IS4" s="155"/>
      <c r="IT4" s="155"/>
      <c r="IU4" s="155"/>
      <c r="IV4" s="155"/>
    </row>
    <row r="5" s="156" customFormat="true" ht="25.5" hidden="false" customHeight="true" outlineLevel="0" collapsed="false">
      <c r="A5" s="157" t="n">
        <f aca="false">IF(Eingabe!A34="","",Eingabe!A34)</f>
        <v>27</v>
      </c>
      <c r="B5" s="157"/>
      <c r="C5" s="157"/>
      <c r="D5" s="157"/>
      <c r="E5" s="158" t="str">
        <f aca="false">IF(Eingabe!B34="","",Eingabe!B34)</f>
        <v/>
      </c>
      <c r="F5" s="158"/>
      <c r="G5" s="158"/>
      <c r="H5" s="158"/>
      <c r="I5" s="159" t="str">
        <f aca="false">IF(Eingabe!C34="","",Eingabe!C34)</f>
        <v/>
      </c>
      <c r="J5" s="159"/>
      <c r="K5" s="159"/>
      <c r="L5" s="159"/>
      <c r="M5" s="160" t="str">
        <f aca="false">IF(Eingabe!D34&amp;""&amp;Eingabe!E34="","",Eingabe!D34&amp;" 
"&amp;Eingabe!E34)</f>
        <v/>
      </c>
      <c r="N5" s="160"/>
      <c r="O5" s="160"/>
      <c r="P5" s="160"/>
      <c r="Q5" s="160"/>
      <c r="R5" s="160"/>
      <c r="S5" s="160"/>
      <c r="T5" s="160"/>
      <c r="U5" s="160"/>
      <c r="V5" s="160"/>
      <c r="W5" s="160"/>
      <c r="X5" s="160"/>
      <c r="Y5" s="160"/>
      <c r="Z5" s="160"/>
      <c r="AA5" s="160"/>
      <c r="AB5" s="160"/>
      <c r="AC5" s="160"/>
      <c r="AD5" s="160"/>
      <c r="AE5" s="160"/>
      <c r="AF5" s="160"/>
      <c r="AG5" s="159" t="str">
        <f aca="false">IF(Eingabe!F34&amp;""&amp;Eingabe!G34="","",Eingabe!F34&amp;" 
"&amp;Eingabe!G34)</f>
        <v/>
      </c>
      <c r="AH5" s="159"/>
      <c r="AI5" s="159"/>
      <c r="AJ5" s="159"/>
      <c r="AK5" s="159"/>
      <c r="AL5" s="159"/>
      <c r="AM5" s="159"/>
      <c r="AN5" s="159"/>
      <c r="AO5" s="159"/>
      <c r="AP5" s="159"/>
      <c r="AQ5" s="159"/>
      <c r="AR5" s="159"/>
      <c r="AS5" s="159"/>
      <c r="AT5" s="159"/>
      <c r="AU5" s="159"/>
      <c r="AV5" s="159"/>
      <c r="AW5" s="159"/>
      <c r="AX5" s="159" t="str">
        <f aca="false">IF(Eingabe!H34="","",Eingabe!H34)</f>
        <v/>
      </c>
      <c r="AY5" s="159"/>
      <c r="AZ5" s="159"/>
      <c r="BA5" s="159"/>
      <c r="BB5" s="161" t="str">
        <f aca="false">IF(Eingabe!K34="","",Eingabe!K34)</f>
        <v/>
      </c>
      <c r="BC5" s="161"/>
      <c r="BD5" s="161"/>
      <c r="BE5" s="161"/>
      <c r="BF5" s="161"/>
      <c r="BG5" s="161"/>
      <c r="BH5" s="161"/>
      <c r="BI5" s="161"/>
      <c r="BJ5" s="161"/>
      <c r="BK5" s="161"/>
      <c r="BL5" s="161"/>
      <c r="BM5" s="161"/>
      <c r="BN5" s="161"/>
      <c r="BO5" s="155"/>
      <c r="BP5" s="155"/>
      <c r="BQ5" s="155"/>
      <c r="BR5" s="155"/>
      <c r="BS5" s="155"/>
      <c r="BT5" s="155"/>
      <c r="BU5" s="155"/>
      <c r="BV5" s="155"/>
      <c r="BW5" s="155"/>
      <c r="BX5" s="155"/>
      <c r="BY5" s="155"/>
      <c r="BZ5" s="155"/>
      <c r="CA5" s="155"/>
      <c r="CB5" s="155"/>
      <c r="CC5" s="155"/>
      <c r="CD5" s="155"/>
      <c r="CE5" s="155"/>
      <c r="CF5" s="155"/>
      <c r="CG5" s="155"/>
      <c r="CH5" s="155"/>
      <c r="CI5" s="155"/>
      <c r="CJ5" s="155"/>
      <c r="CK5" s="155"/>
      <c r="CL5" s="155"/>
      <c r="CM5" s="155"/>
      <c r="CN5" s="155"/>
      <c r="CO5" s="155"/>
      <c r="CP5" s="155"/>
      <c r="CQ5" s="155"/>
      <c r="CR5" s="155"/>
      <c r="CS5" s="155"/>
      <c r="CT5" s="155"/>
      <c r="CU5" s="155"/>
      <c r="CV5" s="155"/>
      <c r="CW5" s="155"/>
      <c r="CX5" s="155"/>
      <c r="CY5" s="155"/>
      <c r="CZ5" s="155"/>
      <c r="DA5" s="155"/>
      <c r="DB5" s="155"/>
      <c r="DC5" s="155"/>
      <c r="DD5" s="155"/>
      <c r="DE5" s="155"/>
      <c r="DF5" s="155"/>
      <c r="DG5" s="155"/>
      <c r="DH5" s="155"/>
      <c r="DI5" s="155"/>
      <c r="DJ5" s="155"/>
      <c r="DK5" s="155"/>
      <c r="DL5" s="155"/>
      <c r="DM5" s="155"/>
      <c r="DN5" s="155"/>
      <c r="DO5" s="155"/>
      <c r="DP5" s="155"/>
      <c r="DQ5" s="155"/>
      <c r="DR5" s="155"/>
      <c r="DS5" s="155"/>
      <c r="DT5" s="155"/>
      <c r="DU5" s="155"/>
      <c r="DV5" s="155"/>
      <c r="DW5" s="155"/>
      <c r="DX5" s="155"/>
      <c r="DY5" s="155"/>
      <c r="DZ5" s="155"/>
      <c r="EA5" s="155"/>
      <c r="EB5" s="155"/>
      <c r="EC5" s="155"/>
      <c r="ED5" s="155"/>
      <c r="EE5" s="155"/>
      <c r="EF5" s="155"/>
      <c r="EG5" s="155"/>
      <c r="EH5" s="155"/>
      <c r="EI5" s="155"/>
      <c r="EJ5" s="155"/>
      <c r="EK5" s="155"/>
      <c r="EL5" s="155"/>
      <c r="EM5" s="155"/>
      <c r="EN5" s="155"/>
      <c r="EO5" s="155"/>
      <c r="EP5" s="155"/>
      <c r="EQ5" s="155"/>
      <c r="ER5" s="155"/>
      <c r="ES5" s="155"/>
      <c r="ET5" s="155"/>
      <c r="EU5" s="155"/>
      <c r="EV5" s="155"/>
      <c r="EW5" s="155"/>
      <c r="EX5" s="155"/>
      <c r="EY5" s="155"/>
      <c r="EZ5" s="155"/>
      <c r="FA5" s="155"/>
      <c r="FB5" s="155"/>
      <c r="FC5" s="155"/>
      <c r="FD5" s="155"/>
      <c r="FE5" s="155"/>
      <c r="FF5" s="155"/>
      <c r="FG5" s="155"/>
      <c r="FH5" s="155"/>
      <c r="FI5" s="155"/>
      <c r="FJ5" s="155"/>
      <c r="FK5" s="155"/>
      <c r="FL5" s="155"/>
      <c r="FM5" s="155"/>
      <c r="FN5" s="155"/>
      <c r="FO5" s="155"/>
      <c r="FP5" s="155"/>
      <c r="FQ5" s="155"/>
      <c r="FR5" s="155"/>
      <c r="FS5" s="155"/>
      <c r="FT5" s="155"/>
      <c r="FU5" s="155"/>
      <c r="FV5" s="155"/>
      <c r="FW5" s="155"/>
      <c r="FX5" s="155"/>
      <c r="FY5" s="155"/>
      <c r="FZ5" s="155"/>
      <c r="GA5" s="155"/>
      <c r="GB5" s="155"/>
      <c r="GC5" s="155"/>
      <c r="GD5" s="155"/>
      <c r="GE5" s="155"/>
      <c r="GF5" s="155"/>
      <c r="GG5" s="155"/>
      <c r="GH5" s="155"/>
      <c r="GI5" s="155"/>
      <c r="GJ5" s="155"/>
      <c r="GK5" s="155"/>
      <c r="GL5" s="155"/>
      <c r="GM5" s="155"/>
      <c r="GN5" s="155"/>
      <c r="GO5" s="155"/>
      <c r="GP5" s="155"/>
      <c r="GQ5" s="155"/>
      <c r="GR5" s="155"/>
      <c r="GS5" s="155"/>
      <c r="GT5" s="155"/>
      <c r="GU5" s="155"/>
      <c r="GV5" s="155"/>
      <c r="GW5" s="155"/>
      <c r="GX5" s="155"/>
      <c r="GY5" s="155"/>
      <c r="GZ5" s="155"/>
      <c r="HA5" s="155"/>
      <c r="HB5" s="155"/>
      <c r="HC5" s="155"/>
      <c r="HD5" s="155"/>
      <c r="HE5" s="155"/>
      <c r="HF5" s="155"/>
      <c r="HG5" s="155"/>
      <c r="HH5" s="155"/>
      <c r="HI5" s="155"/>
      <c r="HJ5" s="155"/>
      <c r="HK5" s="155"/>
      <c r="HL5" s="155"/>
      <c r="HM5" s="155"/>
      <c r="HN5" s="155"/>
      <c r="HO5" s="155"/>
      <c r="HP5" s="155"/>
      <c r="HQ5" s="155"/>
      <c r="HR5" s="155"/>
      <c r="HS5" s="155"/>
      <c r="HT5" s="155"/>
      <c r="HU5" s="155"/>
      <c r="HV5" s="155"/>
      <c r="HW5" s="155"/>
      <c r="HX5" s="155"/>
      <c r="HY5" s="155"/>
      <c r="HZ5" s="155"/>
      <c r="IA5" s="155"/>
      <c r="IB5" s="155"/>
      <c r="IC5" s="155"/>
      <c r="ID5" s="155"/>
      <c r="IE5" s="155"/>
      <c r="IF5" s="155"/>
      <c r="IG5" s="155"/>
      <c r="IH5" s="155"/>
      <c r="II5" s="155"/>
      <c r="IJ5" s="155"/>
      <c r="IK5" s="155"/>
      <c r="IL5" s="155"/>
      <c r="IM5" s="155"/>
      <c r="IN5" s="155"/>
      <c r="IO5" s="155"/>
      <c r="IP5" s="155"/>
      <c r="IQ5" s="155"/>
      <c r="IR5" s="155"/>
      <c r="IS5" s="155"/>
      <c r="IT5" s="155"/>
      <c r="IU5" s="155"/>
      <c r="IV5" s="155"/>
    </row>
    <row r="6" s="156" customFormat="true" ht="25.5" hidden="false" customHeight="true" outlineLevel="0" collapsed="false">
      <c r="A6" s="157" t="n">
        <f aca="false">IF(Eingabe!A35="","",Eingabe!A35)</f>
        <v>28</v>
      </c>
      <c r="B6" s="157"/>
      <c r="C6" s="157"/>
      <c r="D6" s="157"/>
      <c r="E6" s="158" t="str">
        <f aca="false">IF(Eingabe!B35="","",Eingabe!B35)</f>
        <v/>
      </c>
      <c r="F6" s="158"/>
      <c r="G6" s="158"/>
      <c r="H6" s="158"/>
      <c r="I6" s="159" t="str">
        <f aca="false">IF(Eingabe!C35="","",Eingabe!C35)</f>
        <v/>
      </c>
      <c r="J6" s="159"/>
      <c r="K6" s="159"/>
      <c r="L6" s="159"/>
      <c r="M6" s="160" t="str">
        <f aca="false">IF(Eingabe!D35&amp;""&amp;Eingabe!E35="","",Eingabe!D35&amp;" 
"&amp;Eingabe!E35)</f>
        <v/>
      </c>
      <c r="N6" s="160"/>
      <c r="O6" s="160"/>
      <c r="P6" s="160"/>
      <c r="Q6" s="160"/>
      <c r="R6" s="160"/>
      <c r="S6" s="160"/>
      <c r="T6" s="160"/>
      <c r="U6" s="160"/>
      <c r="V6" s="160"/>
      <c r="W6" s="160"/>
      <c r="X6" s="160"/>
      <c r="Y6" s="160"/>
      <c r="Z6" s="160"/>
      <c r="AA6" s="160"/>
      <c r="AB6" s="160"/>
      <c r="AC6" s="160"/>
      <c r="AD6" s="160"/>
      <c r="AE6" s="160"/>
      <c r="AF6" s="160"/>
      <c r="AG6" s="159" t="str">
        <f aca="false">IF(Eingabe!F35&amp;""&amp;Eingabe!G35="","",Eingabe!F35&amp;" 
"&amp;Eingabe!G35)</f>
        <v/>
      </c>
      <c r="AH6" s="159"/>
      <c r="AI6" s="159"/>
      <c r="AJ6" s="159"/>
      <c r="AK6" s="159"/>
      <c r="AL6" s="159"/>
      <c r="AM6" s="159"/>
      <c r="AN6" s="159"/>
      <c r="AO6" s="159"/>
      <c r="AP6" s="159"/>
      <c r="AQ6" s="159"/>
      <c r="AR6" s="159"/>
      <c r="AS6" s="159"/>
      <c r="AT6" s="159"/>
      <c r="AU6" s="159"/>
      <c r="AV6" s="159"/>
      <c r="AW6" s="159"/>
      <c r="AX6" s="159" t="str">
        <f aca="false">IF(Eingabe!H35="","",Eingabe!H35)</f>
        <v/>
      </c>
      <c r="AY6" s="159"/>
      <c r="AZ6" s="159"/>
      <c r="BA6" s="159"/>
      <c r="BB6" s="161" t="str">
        <f aca="false">IF(Eingabe!K35="","",Eingabe!K35)</f>
        <v/>
      </c>
      <c r="BC6" s="161"/>
      <c r="BD6" s="161"/>
      <c r="BE6" s="161"/>
      <c r="BF6" s="161"/>
      <c r="BG6" s="161"/>
      <c r="BH6" s="161"/>
      <c r="BI6" s="161"/>
      <c r="BJ6" s="161"/>
      <c r="BK6" s="161"/>
      <c r="BL6" s="161"/>
      <c r="BM6" s="161"/>
      <c r="BN6" s="161"/>
      <c r="BO6" s="155"/>
      <c r="BP6" s="155"/>
      <c r="BQ6" s="155"/>
      <c r="BR6" s="155"/>
      <c r="BS6" s="155"/>
      <c r="BT6" s="155"/>
      <c r="BU6" s="155"/>
      <c r="BV6" s="155"/>
      <c r="BW6" s="155"/>
      <c r="BX6" s="155"/>
      <c r="BY6" s="155"/>
      <c r="BZ6" s="155"/>
      <c r="CA6" s="155"/>
      <c r="CB6" s="155"/>
      <c r="CC6" s="155"/>
      <c r="CD6" s="155"/>
      <c r="CE6" s="155"/>
      <c r="CF6" s="155"/>
      <c r="CG6" s="155"/>
      <c r="CH6" s="155"/>
      <c r="CI6" s="155"/>
      <c r="CJ6" s="155"/>
      <c r="CK6" s="155"/>
      <c r="CL6" s="155"/>
      <c r="CM6" s="155"/>
      <c r="CN6" s="155"/>
      <c r="CO6" s="155"/>
      <c r="CP6" s="155"/>
      <c r="CQ6" s="155"/>
      <c r="CR6" s="155"/>
      <c r="CS6" s="155"/>
      <c r="CT6" s="155"/>
      <c r="CU6" s="155"/>
      <c r="CV6" s="155"/>
      <c r="CW6" s="155"/>
      <c r="CX6" s="155"/>
      <c r="CY6" s="155"/>
      <c r="CZ6" s="155"/>
      <c r="DA6" s="155"/>
      <c r="DB6" s="155"/>
      <c r="DC6" s="155"/>
      <c r="DD6" s="155"/>
      <c r="DE6" s="155"/>
      <c r="DF6" s="155"/>
      <c r="DG6" s="155"/>
      <c r="DH6" s="155"/>
      <c r="DI6" s="155"/>
      <c r="DJ6" s="155"/>
      <c r="DK6" s="155"/>
      <c r="DL6" s="155"/>
      <c r="DM6" s="155"/>
      <c r="DN6" s="155"/>
      <c r="DO6" s="155"/>
      <c r="DP6" s="155"/>
      <c r="DQ6" s="155"/>
      <c r="DR6" s="155"/>
      <c r="DS6" s="155"/>
      <c r="DT6" s="155"/>
      <c r="DU6" s="155"/>
      <c r="DV6" s="155"/>
      <c r="DW6" s="155"/>
      <c r="DX6" s="155"/>
      <c r="DY6" s="155"/>
      <c r="DZ6" s="155"/>
      <c r="EA6" s="155"/>
      <c r="EB6" s="155"/>
      <c r="EC6" s="155"/>
      <c r="ED6" s="155"/>
      <c r="EE6" s="155"/>
      <c r="EF6" s="155"/>
      <c r="EG6" s="155"/>
      <c r="EH6" s="155"/>
      <c r="EI6" s="155"/>
      <c r="EJ6" s="155"/>
      <c r="EK6" s="155"/>
      <c r="EL6" s="155"/>
      <c r="EM6" s="155"/>
      <c r="EN6" s="155"/>
      <c r="EO6" s="155"/>
      <c r="EP6" s="155"/>
      <c r="EQ6" s="155"/>
      <c r="ER6" s="155"/>
      <c r="ES6" s="155"/>
      <c r="ET6" s="155"/>
      <c r="EU6" s="155"/>
      <c r="EV6" s="155"/>
      <c r="EW6" s="155"/>
      <c r="EX6" s="155"/>
      <c r="EY6" s="155"/>
      <c r="EZ6" s="155"/>
      <c r="FA6" s="155"/>
      <c r="FB6" s="155"/>
      <c r="FC6" s="155"/>
      <c r="FD6" s="155"/>
      <c r="FE6" s="155"/>
      <c r="FF6" s="155"/>
      <c r="FG6" s="155"/>
      <c r="FH6" s="155"/>
      <c r="FI6" s="155"/>
      <c r="FJ6" s="155"/>
      <c r="FK6" s="155"/>
      <c r="FL6" s="155"/>
      <c r="FM6" s="155"/>
      <c r="FN6" s="155"/>
      <c r="FO6" s="155"/>
      <c r="FP6" s="155"/>
      <c r="FQ6" s="155"/>
      <c r="FR6" s="155"/>
      <c r="FS6" s="155"/>
      <c r="FT6" s="155"/>
      <c r="FU6" s="155"/>
      <c r="FV6" s="155"/>
      <c r="FW6" s="155"/>
      <c r="FX6" s="155"/>
      <c r="FY6" s="155"/>
      <c r="FZ6" s="155"/>
      <c r="GA6" s="155"/>
      <c r="GB6" s="155"/>
      <c r="GC6" s="155"/>
      <c r="GD6" s="155"/>
      <c r="GE6" s="155"/>
      <c r="GF6" s="155"/>
      <c r="GG6" s="155"/>
      <c r="GH6" s="155"/>
      <c r="GI6" s="155"/>
      <c r="GJ6" s="155"/>
      <c r="GK6" s="155"/>
      <c r="GL6" s="155"/>
      <c r="GM6" s="155"/>
      <c r="GN6" s="155"/>
      <c r="GO6" s="155"/>
      <c r="GP6" s="155"/>
      <c r="GQ6" s="155"/>
      <c r="GR6" s="155"/>
      <c r="GS6" s="155"/>
      <c r="GT6" s="155"/>
      <c r="GU6" s="155"/>
      <c r="GV6" s="155"/>
      <c r="GW6" s="155"/>
      <c r="GX6" s="155"/>
      <c r="GY6" s="155"/>
      <c r="GZ6" s="155"/>
      <c r="HA6" s="155"/>
      <c r="HB6" s="155"/>
      <c r="HC6" s="155"/>
      <c r="HD6" s="155"/>
      <c r="HE6" s="155"/>
      <c r="HF6" s="155"/>
      <c r="HG6" s="155"/>
      <c r="HH6" s="155"/>
      <c r="HI6" s="155"/>
      <c r="HJ6" s="155"/>
      <c r="HK6" s="155"/>
      <c r="HL6" s="155"/>
      <c r="HM6" s="155"/>
      <c r="HN6" s="155"/>
      <c r="HO6" s="155"/>
      <c r="HP6" s="155"/>
      <c r="HQ6" s="155"/>
      <c r="HR6" s="155"/>
      <c r="HS6" s="155"/>
      <c r="HT6" s="155"/>
      <c r="HU6" s="155"/>
      <c r="HV6" s="155"/>
      <c r="HW6" s="155"/>
      <c r="HX6" s="155"/>
      <c r="HY6" s="155"/>
      <c r="HZ6" s="155"/>
      <c r="IA6" s="155"/>
      <c r="IB6" s="155"/>
      <c r="IC6" s="155"/>
      <c r="ID6" s="155"/>
      <c r="IE6" s="155"/>
      <c r="IF6" s="155"/>
      <c r="IG6" s="155"/>
      <c r="IH6" s="155"/>
      <c r="II6" s="155"/>
      <c r="IJ6" s="155"/>
      <c r="IK6" s="155"/>
      <c r="IL6" s="155"/>
      <c r="IM6" s="155"/>
      <c r="IN6" s="155"/>
      <c r="IO6" s="155"/>
      <c r="IP6" s="155"/>
      <c r="IQ6" s="155"/>
      <c r="IR6" s="155"/>
      <c r="IS6" s="155"/>
      <c r="IT6" s="155"/>
      <c r="IU6" s="155"/>
      <c r="IV6" s="155"/>
    </row>
    <row r="7" s="156" customFormat="true" ht="25.5" hidden="false" customHeight="true" outlineLevel="0" collapsed="false">
      <c r="A7" s="157" t="n">
        <f aca="false">IF(Eingabe!A36="","",Eingabe!A36)</f>
        <v>29</v>
      </c>
      <c r="B7" s="157"/>
      <c r="C7" s="157"/>
      <c r="D7" s="157"/>
      <c r="E7" s="158" t="str">
        <f aca="false">IF(Eingabe!B36="","",Eingabe!B36)</f>
        <v/>
      </c>
      <c r="F7" s="158"/>
      <c r="G7" s="158"/>
      <c r="H7" s="158"/>
      <c r="I7" s="159" t="str">
        <f aca="false">IF(Eingabe!C36="","",Eingabe!C36)</f>
        <v/>
      </c>
      <c r="J7" s="159"/>
      <c r="K7" s="159"/>
      <c r="L7" s="159"/>
      <c r="M7" s="160" t="str">
        <f aca="false">IF(Eingabe!D36&amp;""&amp;Eingabe!E36="","",Eingabe!D36&amp;" 
"&amp;Eingabe!E36)</f>
        <v/>
      </c>
      <c r="N7" s="160"/>
      <c r="O7" s="160"/>
      <c r="P7" s="160"/>
      <c r="Q7" s="160"/>
      <c r="R7" s="160"/>
      <c r="S7" s="160"/>
      <c r="T7" s="160"/>
      <c r="U7" s="160"/>
      <c r="V7" s="160"/>
      <c r="W7" s="160"/>
      <c r="X7" s="160"/>
      <c r="Y7" s="160"/>
      <c r="Z7" s="160"/>
      <c r="AA7" s="160"/>
      <c r="AB7" s="160"/>
      <c r="AC7" s="160"/>
      <c r="AD7" s="160"/>
      <c r="AE7" s="160"/>
      <c r="AF7" s="160"/>
      <c r="AG7" s="159" t="str">
        <f aca="false">IF(Eingabe!F36&amp;""&amp;Eingabe!G36="","",Eingabe!F36&amp;" 
"&amp;Eingabe!G36)</f>
        <v/>
      </c>
      <c r="AH7" s="159"/>
      <c r="AI7" s="159"/>
      <c r="AJ7" s="159"/>
      <c r="AK7" s="159"/>
      <c r="AL7" s="159"/>
      <c r="AM7" s="159"/>
      <c r="AN7" s="159"/>
      <c r="AO7" s="159"/>
      <c r="AP7" s="159"/>
      <c r="AQ7" s="159"/>
      <c r="AR7" s="159"/>
      <c r="AS7" s="159"/>
      <c r="AT7" s="159"/>
      <c r="AU7" s="159"/>
      <c r="AV7" s="159"/>
      <c r="AW7" s="159"/>
      <c r="AX7" s="159" t="str">
        <f aca="false">IF(Eingabe!H36="","",Eingabe!H36)</f>
        <v/>
      </c>
      <c r="AY7" s="159"/>
      <c r="AZ7" s="159"/>
      <c r="BA7" s="159"/>
      <c r="BB7" s="161" t="str">
        <f aca="false">IF(Eingabe!K36="","",Eingabe!K36)</f>
        <v/>
      </c>
      <c r="BC7" s="161"/>
      <c r="BD7" s="161"/>
      <c r="BE7" s="161"/>
      <c r="BF7" s="161"/>
      <c r="BG7" s="161"/>
      <c r="BH7" s="161"/>
      <c r="BI7" s="161"/>
      <c r="BJ7" s="161"/>
      <c r="BK7" s="161"/>
      <c r="BL7" s="161"/>
      <c r="BM7" s="161"/>
      <c r="BN7" s="161"/>
      <c r="BO7" s="155"/>
      <c r="BP7" s="155"/>
      <c r="BQ7" s="155"/>
      <c r="BR7" s="155"/>
      <c r="BS7" s="155"/>
      <c r="BT7" s="155"/>
      <c r="BU7" s="155"/>
      <c r="BV7" s="155"/>
      <c r="BW7" s="155"/>
      <c r="BX7" s="155"/>
      <c r="BY7" s="155"/>
      <c r="BZ7" s="155"/>
      <c r="CA7" s="155"/>
      <c r="CB7" s="155"/>
      <c r="CC7" s="155"/>
      <c r="CD7" s="155"/>
      <c r="CE7" s="155"/>
      <c r="CF7" s="155"/>
      <c r="CG7" s="155"/>
      <c r="CH7" s="155"/>
      <c r="CI7" s="155"/>
      <c r="CJ7" s="155"/>
      <c r="CK7" s="155"/>
      <c r="CL7" s="155"/>
      <c r="CM7" s="155"/>
      <c r="CN7" s="155"/>
      <c r="CO7" s="155"/>
      <c r="CP7" s="155"/>
      <c r="CQ7" s="155"/>
      <c r="CR7" s="155"/>
      <c r="CS7" s="155"/>
      <c r="CT7" s="155"/>
      <c r="CU7" s="155"/>
      <c r="CV7" s="155"/>
      <c r="CW7" s="155"/>
      <c r="CX7" s="155"/>
      <c r="CY7" s="155"/>
      <c r="CZ7" s="155"/>
      <c r="DA7" s="155"/>
      <c r="DB7" s="155"/>
      <c r="DC7" s="155"/>
      <c r="DD7" s="155"/>
      <c r="DE7" s="155"/>
      <c r="DF7" s="155"/>
      <c r="DG7" s="155"/>
      <c r="DH7" s="155"/>
      <c r="DI7" s="155"/>
      <c r="DJ7" s="155"/>
      <c r="DK7" s="155"/>
      <c r="DL7" s="155"/>
      <c r="DM7" s="155"/>
      <c r="DN7" s="155"/>
      <c r="DO7" s="155"/>
      <c r="DP7" s="155"/>
      <c r="DQ7" s="155"/>
      <c r="DR7" s="155"/>
      <c r="DS7" s="155"/>
      <c r="DT7" s="155"/>
      <c r="DU7" s="155"/>
      <c r="DV7" s="155"/>
      <c r="DW7" s="155"/>
      <c r="DX7" s="155"/>
      <c r="DY7" s="155"/>
      <c r="DZ7" s="155"/>
      <c r="EA7" s="155"/>
      <c r="EB7" s="155"/>
      <c r="EC7" s="155"/>
      <c r="ED7" s="155"/>
      <c r="EE7" s="155"/>
      <c r="EF7" s="155"/>
      <c r="EG7" s="155"/>
      <c r="EH7" s="155"/>
      <c r="EI7" s="155"/>
      <c r="EJ7" s="155"/>
      <c r="EK7" s="155"/>
      <c r="EL7" s="155"/>
      <c r="EM7" s="155"/>
      <c r="EN7" s="155"/>
      <c r="EO7" s="155"/>
      <c r="EP7" s="155"/>
      <c r="EQ7" s="155"/>
      <c r="ER7" s="155"/>
      <c r="ES7" s="155"/>
      <c r="ET7" s="155"/>
      <c r="EU7" s="155"/>
      <c r="EV7" s="155"/>
      <c r="EW7" s="155"/>
      <c r="EX7" s="155"/>
      <c r="EY7" s="155"/>
      <c r="EZ7" s="155"/>
      <c r="FA7" s="155"/>
      <c r="FB7" s="155"/>
      <c r="FC7" s="155"/>
      <c r="FD7" s="155"/>
      <c r="FE7" s="155"/>
      <c r="FF7" s="155"/>
      <c r="FG7" s="155"/>
      <c r="FH7" s="155"/>
      <c r="FI7" s="155"/>
      <c r="FJ7" s="155"/>
      <c r="FK7" s="155"/>
      <c r="FL7" s="155"/>
      <c r="FM7" s="155"/>
      <c r="FN7" s="155"/>
      <c r="FO7" s="155"/>
      <c r="FP7" s="155"/>
      <c r="FQ7" s="155"/>
      <c r="FR7" s="155"/>
      <c r="FS7" s="155"/>
      <c r="FT7" s="155"/>
      <c r="FU7" s="155"/>
      <c r="FV7" s="155"/>
      <c r="FW7" s="155"/>
      <c r="FX7" s="155"/>
      <c r="FY7" s="155"/>
      <c r="FZ7" s="155"/>
      <c r="GA7" s="155"/>
      <c r="GB7" s="155"/>
      <c r="GC7" s="155"/>
      <c r="GD7" s="155"/>
      <c r="GE7" s="155"/>
      <c r="GF7" s="155"/>
      <c r="GG7" s="155"/>
      <c r="GH7" s="155"/>
      <c r="GI7" s="155"/>
      <c r="GJ7" s="155"/>
      <c r="GK7" s="155"/>
      <c r="GL7" s="155"/>
      <c r="GM7" s="155"/>
      <c r="GN7" s="155"/>
      <c r="GO7" s="155"/>
      <c r="GP7" s="155"/>
      <c r="GQ7" s="155"/>
      <c r="GR7" s="155"/>
      <c r="GS7" s="155"/>
      <c r="GT7" s="155"/>
      <c r="GU7" s="155"/>
      <c r="GV7" s="155"/>
      <c r="GW7" s="155"/>
      <c r="GX7" s="155"/>
      <c r="GY7" s="155"/>
      <c r="GZ7" s="155"/>
      <c r="HA7" s="155"/>
      <c r="HB7" s="155"/>
      <c r="HC7" s="155"/>
      <c r="HD7" s="155"/>
      <c r="HE7" s="155"/>
      <c r="HF7" s="155"/>
      <c r="HG7" s="155"/>
      <c r="HH7" s="155"/>
      <c r="HI7" s="155"/>
      <c r="HJ7" s="155"/>
      <c r="HK7" s="155"/>
      <c r="HL7" s="155"/>
      <c r="HM7" s="155"/>
      <c r="HN7" s="155"/>
      <c r="HO7" s="155"/>
      <c r="HP7" s="155"/>
      <c r="HQ7" s="155"/>
      <c r="HR7" s="155"/>
      <c r="HS7" s="155"/>
      <c r="HT7" s="155"/>
      <c r="HU7" s="155"/>
      <c r="HV7" s="155"/>
      <c r="HW7" s="155"/>
      <c r="HX7" s="155"/>
      <c r="HY7" s="155"/>
      <c r="HZ7" s="155"/>
      <c r="IA7" s="155"/>
      <c r="IB7" s="155"/>
      <c r="IC7" s="155"/>
      <c r="ID7" s="155"/>
      <c r="IE7" s="155"/>
      <c r="IF7" s="155"/>
      <c r="IG7" s="155"/>
      <c r="IH7" s="155"/>
      <c r="II7" s="155"/>
      <c r="IJ7" s="155"/>
      <c r="IK7" s="155"/>
      <c r="IL7" s="155"/>
      <c r="IM7" s="155"/>
      <c r="IN7" s="155"/>
      <c r="IO7" s="155"/>
      <c r="IP7" s="155"/>
      <c r="IQ7" s="155"/>
      <c r="IR7" s="155"/>
      <c r="IS7" s="155"/>
      <c r="IT7" s="155"/>
      <c r="IU7" s="155"/>
      <c r="IV7" s="155"/>
    </row>
    <row r="8" s="156" customFormat="true" ht="25.5" hidden="false" customHeight="true" outlineLevel="0" collapsed="false">
      <c r="A8" s="157" t="n">
        <f aca="false">IF(Eingabe!A37="","",Eingabe!A37)</f>
        <v>30</v>
      </c>
      <c r="B8" s="157"/>
      <c r="C8" s="157"/>
      <c r="D8" s="157"/>
      <c r="E8" s="158" t="str">
        <f aca="false">IF(Eingabe!B37="","",Eingabe!B37)</f>
        <v/>
      </c>
      <c r="F8" s="158"/>
      <c r="G8" s="158"/>
      <c r="H8" s="158"/>
      <c r="I8" s="159" t="str">
        <f aca="false">IF(Eingabe!C37="","",Eingabe!C37)</f>
        <v/>
      </c>
      <c r="J8" s="159"/>
      <c r="K8" s="159"/>
      <c r="L8" s="159"/>
      <c r="M8" s="160" t="str">
        <f aca="false">IF(Eingabe!D37&amp;""&amp;Eingabe!E37="","",Eingabe!D37&amp;" 
"&amp;Eingabe!E37)</f>
        <v/>
      </c>
      <c r="N8" s="160"/>
      <c r="O8" s="160"/>
      <c r="P8" s="160"/>
      <c r="Q8" s="160"/>
      <c r="R8" s="160"/>
      <c r="S8" s="160"/>
      <c r="T8" s="160"/>
      <c r="U8" s="160"/>
      <c r="V8" s="160"/>
      <c r="W8" s="160"/>
      <c r="X8" s="160"/>
      <c r="Y8" s="160"/>
      <c r="Z8" s="160"/>
      <c r="AA8" s="160"/>
      <c r="AB8" s="160"/>
      <c r="AC8" s="160"/>
      <c r="AD8" s="160"/>
      <c r="AE8" s="160"/>
      <c r="AF8" s="160"/>
      <c r="AG8" s="159" t="str">
        <f aca="false">IF(Eingabe!F37&amp;""&amp;Eingabe!G37="","",Eingabe!F37&amp;" 
"&amp;Eingabe!G37)</f>
        <v/>
      </c>
      <c r="AH8" s="159"/>
      <c r="AI8" s="159"/>
      <c r="AJ8" s="159"/>
      <c r="AK8" s="159"/>
      <c r="AL8" s="159"/>
      <c r="AM8" s="159"/>
      <c r="AN8" s="159"/>
      <c r="AO8" s="159"/>
      <c r="AP8" s="159"/>
      <c r="AQ8" s="159"/>
      <c r="AR8" s="159"/>
      <c r="AS8" s="159"/>
      <c r="AT8" s="159"/>
      <c r="AU8" s="159"/>
      <c r="AV8" s="159"/>
      <c r="AW8" s="159"/>
      <c r="AX8" s="159" t="str">
        <f aca="false">IF(Eingabe!H37="","",Eingabe!H37)</f>
        <v/>
      </c>
      <c r="AY8" s="159"/>
      <c r="AZ8" s="159"/>
      <c r="BA8" s="159"/>
      <c r="BB8" s="161" t="str">
        <f aca="false">IF(Eingabe!K37="","",Eingabe!K37)</f>
        <v/>
      </c>
      <c r="BC8" s="161"/>
      <c r="BD8" s="161"/>
      <c r="BE8" s="161"/>
      <c r="BF8" s="161"/>
      <c r="BG8" s="161"/>
      <c r="BH8" s="161"/>
      <c r="BI8" s="161"/>
      <c r="BJ8" s="161"/>
      <c r="BK8" s="161"/>
      <c r="BL8" s="161"/>
      <c r="BM8" s="161"/>
      <c r="BN8" s="161"/>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c r="CR8" s="155"/>
      <c r="CS8" s="155"/>
      <c r="CT8" s="155"/>
      <c r="CU8" s="155"/>
      <c r="CV8" s="155"/>
      <c r="CW8" s="155"/>
      <c r="CX8" s="155"/>
      <c r="CY8" s="155"/>
      <c r="CZ8" s="155"/>
      <c r="DA8" s="155"/>
      <c r="DB8" s="155"/>
      <c r="DC8" s="155"/>
      <c r="DD8" s="155"/>
      <c r="DE8" s="155"/>
      <c r="DF8" s="155"/>
      <c r="DG8" s="155"/>
      <c r="DH8" s="155"/>
      <c r="DI8" s="155"/>
      <c r="DJ8" s="155"/>
      <c r="DK8" s="155"/>
      <c r="DL8" s="155"/>
      <c r="DM8" s="155"/>
      <c r="DN8" s="155"/>
      <c r="DO8" s="155"/>
      <c r="DP8" s="155"/>
      <c r="DQ8" s="155"/>
      <c r="DR8" s="155"/>
      <c r="DS8" s="155"/>
      <c r="DT8" s="155"/>
      <c r="DU8" s="155"/>
      <c r="DV8" s="155"/>
      <c r="DW8" s="155"/>
      <c r="DX8" s="155"/>
      <c r="DY8" s="155"/>
      <c r="DZ8" s="155"/>
      <c r="EA8" s="155"/>
      <c r="EB8" s="155"/>
      <c r="EC8" s="155"/>
      <c r="ED8" s="155"/>
      <c r="EE8" s="155"/>
      <c r="EF8" s="155"/>
      <c r="EG8" s="155"/>
      <c r="EH8" s="155"/>
      <c r="EI8" s="155"/>
      <c r="EJ8" s="155"/>
      <c r="EK8" s="155"/>
      <c r="EL8" s="155"/>
      <c r="EM8" s="155"/>
      <c r="EN8" s="155"/>
      <c r="EO8" s="155"/>
      <c r="EP8" s="155"/>
      <c r="EQ8" s="155"/>
      <c r="ER8" s="155"/>
      <c r="ES8" s="155"/>
      <c r="ET8" s="155"/>
      <c r="EU8" s="155"/>
      <c r="EV8" s="155"/>
      <c r="EW8" s="155"/>
      <c r="EX8" s="155"/>
      <c r="EY8" s="155"/>
      <c r="EZ8" s="155"/>
      <c r="FA8" s="155"/>
      <c r="FB8" s="155"/>
      <c r="FC8" s="155"/>
      <c r="FD8" s="155"/>
      <c r="FE8" s="155"/>
      <c r="FF8" s="155"/>
      <c r="FG8" s="155"/>
      <c r="FH8" s="155"/>
      <c r="FI8" s="155"/>
      <c r="FJ8" s="155"/>
      <c r="FK8" s="155"/>
      <c r="FL8" s="155"/>
      <c r="FM8" s="155"/>
      <c r="FN8" s="155"/>
      <c r="FO8" s="155"/>
      <c r="FP8" s="155"/>
      <c r="FQ8" s="155"/>
      <c r="FR8" s="155"/>
      <c r="FS8" s="155"/>
      <c r="FT8" s="155"/>
      <c r="FU8" s="155"/>
      <c r="FV8" s="155"/>
      <c r="FW8" s="155"/>
      <c r="FX8" s="155"/>
      <c r="FY8" s="155"/>
      <c r="FZ8" s="155"/>
      <c r="GA8" s="155"/>
      <c r="GB8" s="155"/>
      <c r="GC8" s="155"/>
      <c r="GD8" s="155"/>
      <c r="GE8" s="155"/>
      <c r="GF8" s="155"/>
      <c r="GG8" s="155"/>
      <c r="GH8" s="155"/>
      <c r="GI8" s="155"/>
      <c r="GJ8" s="155"/>
      <c r="GK8" s="155"/>
      <c r="GL8" s="155"/>
      <c r="GM8" s="155"/>
      <c r="GN8" s="155"/>
      <c r="GO8" s="155"/>
      <c r="GP8" s="155"/>
      <c r="GQ8" s="155"/>
      <c r="GR8" s="155"/>
      <c r="GS8" s="155"/>
      <c r="GT8" s="155"/>
      <c r="GU8" s="155"/>
      <c r="GV8" s="155"/>
      <c r="GW8" s="155"/>
      <c r="GX8" s="155"/>
      <c r="GY8" s="155"/>
      <c r="GZ8" s="155"/>
      <c r="HA8" s="155"/>
      <c r="HB8" s="155"/>
      <c r="HC8" s="155"/>
      <c r="HD8" s="155"/>
      <c r="HE8" s="155"/>
      <c r="HF8" s="155"/>
      <c r="HG8" s="155"/>
      <c r="HH8" s="155"/>
      <c r="HI8" s="155"/>
      <c r="HJ8" s="155"/>
      <c r="HK8" s="155"/>
      <c r="HL8" s="155"/>
      <c r="HM8" s="155"/>
      <c r="HN8" s="155"/>
      <c r="HO8" s="155"/>
      <c r="HP8" s="155"/>
      <c r="HQ8" s="155"/>
      <c r="HR8" s="155"/>
      <c r="HS8" s="155"/>
      <c r="HT8" s="155"/>
      <c r="HU8" s="155"/>
      <c r="HV8" s="155"/>
      <c r="HW8" s="155"/>
      <c r="HX8" s="155"/>
      <c r="HY8" s="155"/>
      <c r="HZ8" s="155"/>
      <c r="IA8" s="155"/>
      <c r="IB8" s="155"/>
      <c r="IC8" s="155"/>
      <c r="ID8" s="155"/>
      <c r="IE8" s="155"/>
      <c r="IF8" s="155"/>
      <c r="IG8" s="155"/>
      <c r="IH8" s="155"/>
      <c r="II8" s="155"/>
      <c r="IJ8" s="155"/>
      <c r="IK8" s="155"/>
      <c r="IL8" s="155"/>
      <c r="IM8" s="155"/>
      <c r="IN8" s="155"/>
      <c r="IO8" s="155"/>
      <c r="IP8" s="155"/>
      <c r="IQ8" s="155"/>
      <c r="IR8" s="155"/>
      <c r="IS8" s="155"/>
      <c r="IT8" s="155"/>
      <c r="IU8" s="155"/>
      <c r="IV8" s="155"/>
    </row>
    <row r="9" s="156" customFormat="true" ht="25.5" hidden="false" customHeight="true" outlineLevel="0" collapsed="false">
      <c r="A9" s="157" t="n">
        <f aca="false">IF(Eingabe!A38="","",Eingabe!A38)</f>
        <v>31</v>
      </c>
      <c r="B9" s="157"/>
      <c r="C9" s="157"/>
      <c r="D9" s="157"/>
      <c r="E9" s="158" t="str">
        <f aca="false">IF(Eingabe!B38="","",Eingabe!B38)</f>
        <v/>
      </c>
      <c r="F9" s="158"/>
      <c r="G9" s="158"/>
      <c r="H9" s="158"/>
      <c r="I9" s="159" t="str">
        <f aca="false">IF(Eingabe!C38="","",Eingabe!C38)</f>
        <v/>
      </c>
      <c r="J9" s="159"/>
      <c r="K9" s="159"/>
      <c r="L9" s="159"/>
      <c r="M9" s="160" t="str">
        <f aca="false">IF(Eingabe!D38&amp;""&amp;Eingabe!E38="","",Eingabe!D38&amp;" 
"&amp;Eingabe!E38)</f>
        <v/>
      </c>
      <c r="N9" s="160"/>
      <c r="O9" s="160"/>
      <c r="P9" s="160"/>
      <c r="Q9" s="160"/>
      <c r="R9" s="160"/>
      <c r="S9" s="160"/>
      <c r="T9" s="160"/>
      <c r="U9" s="160"/>
      <c r="V9" s="160"/>
      <c r="W9" s="160"/>
      <c r="X9" s="160"/>
      <c r="Y9" s="160"/>
      <c r="Z9" s="160"/>
      <c r="AA9" s="160"/>
      <c r="AB9" s="160"/>
      <c r="AC9" s="160"/>
      <c r="AD9" s="160"/>
      <c r="AE9" s="160"/>
      <c r="AF9" s="160"/>
      <c r="AG9" s="159" t="str">
        <f aca="false">IF(Eingabe!F38&amp;""&amp;Eingabe!G38="","",Eingabe!F38&amp;" 
"&amp;Eingabe!G38)</f>
        <v/>
      </c>
      <c r="AH9" s="159"/>
      <c r="AI9" s="159"/>
      <c r="AJ9" s="159"/>
      <c r="AK9" s="159"/>
      <c r="AL9" s="159"/>
      <c r="AM9" s="159"/>
      <c r="AN9" s="159"/>
      <c r="AO9" s="159"/>
      <c r="AP9" s="159"/>
      <c r="AQ9" s="159"/>
      <c r="AR9" s="159"/>
      <c r="AS9" s="159"/>
      <c r="AT9" s="159"/>
      <c r="AU9" s="159"/>
      <c r="AV9" s="159"/>
      <c r="AW9" s="159"/>
      <c r="AX9" s="159" t="str">
        <f aca="false">IF(Eingabe!H38="","",Eingabe!H38)</f>
        <v/>
      </c>
      <c r="AY9" s="159"/>
      <c r="AZ9" s="159"/>
      <c r="BA9" s="159"/>
      <c r="BB9" s="161" t="str">
        <f aca="false">IF(Eingabe!K38="","",Eingabe!K38)</f>
        <v/>
      </c>
      <c r="BC9" s="161"/>
      <c r="BD9" s="161"/>
      <c r="BE9" s="161"/>
      <c r="BF9" s="161"/>
      <c r="BG9" s="161"/>
      <c r="BH9" s="161"/>
      <c r="BI9" s="161"/>
      <c r="BJ9" s="161"/>
      <c r="BK9" s="161"/>
      <c r="BL9" s="161"/>
      <c r="BM9" s="161"/>
      <c r="BN9" s="161"/>
      <c r="BO9" s="155"/>
      <c r="BP9" s="155"/>
      <c r="BQ9" s="155"/>
      <c r="BR9" s="155"/>
      <c r="BS9" s="155"/>
      <c r="BT9" s="155"/>
      <c r="BU9" s="155"/>
      <c r="BV9" s="155"/>
      <c r="BW9" s="155"/>
      <c r="BX9" s="155"/>
      <c r="BY9" s="155"/>
      <c r="BZ9" s="155"/>
      <c r="CA9" s="155"/>
      <c r="CB9" s="155"/>
      <c r="CC9" s="155"/>
      <c r="CD9" s="155"/>
      <c r="CE9" s="155"/>
      <c r="CF9" s="155"/>
      <c r="CG9" s="155"/>
      <c r="CH9" s="155"/>
      <c r="CI9" s="155"/>
      <c r="CJ9" s="155"/>
      <c r="CK9" s="155"/>
      <c r="CL9" s="155"/>
      <c r="CM9" s="155"/>
      <c r="CN9" s="155"/>
      <c r="CO9" s="155"/>
      <c r="CP9" s="155"/>
      <c r="CQ9" s="155"/>
      <c r="CR9" s="155"/>
      <c r="CS9" s="155"/>
      <c r="CT9" s="155"/>
      <c r="CU9" s="155"/>
      <c r="CV9" s="155"/>
      <c r="CW9" s="155"/>
      <c r="CX9" s="155"/>
      <c r="CY9" s="155"/>
      <c r="CZ9" s="155"/>
      <c r="DA9" s="155"/>
      <c r="DB9" s="155"/>
      <c r="DC9" s="155"/>
      <c r="DD9" s="155"/>
      <c r="DE9" s="155"/>
      <c r="DF9" s="155"/>
      <c r="DG9" s="155"/>
      <c r="DH9" s="155"/>
      <c r="DI9" s="155"/>
      <c r="DJ9" s="155"/>
      <c r="DK9" s="155"/>
      <c r="DL9" s="155"/>
      <c r="DM9" s="155"/>
      <c r="DN9" s="155"/>
      <c r="DO9" s="155"/>
      <c r="DP9" s="155"/>
      <c r="DQ9" s="155"/>
      <c r="DR9" s="155"/>
      <c r="DS9" s="155"/>
      <c r="DT9" s="155"/>
      <c r="DU9" s="155"/>
      <c r="DV9" s="155"/>
      <c r="DW9" s="155"/>
      <c r="DX9" s="155"/>
      <c r="DY9" s="155"/>
      <c r="DZ9" s="155"/>
      <c r="EA9" s="155"/>
      <c r="EB9" s="155"/>
      <c r="EC9" s="155"/>
      <c r="ED9" s="155"/>
      <c r="EE9" s="155"/>
      <c r="EF9" s="155"/>
      <c r="EG9" s="155"/>
      <c r="EH9" s="155"/>
      <c r="EI9" s="155"/>
      <c r="EJ9" s="155"/>
      <c r="EK9" s="155"/>
      <c r="EL9" s="155"/>
      <c r="EM9" s="155"/>
      <c r="EN9" s="155"/>
      <c r="EO9" s="155"/>
      <c r="EP9" s="155"/>
      <c r="EQ9" s="155"/>
      <c r="ER9" s="155"/>
      <c r="ES9" s="155"/>
      <c r="ET9" s="155"/>
      <c r="EU9" s="155"/>
      <c r="EV9" s="155"/>
      <c r="EW9" s="155"/>
      <c r="EX9" s="155"/>
      <c r="EY9" s="155"/>
      <c r="EZ9" s="155"/>
      <c r="FA9" s="155"/>
      <c r="FB9" s="155"/>
      <c r="FC9" s="155"/>
      <c r="FD9" s="155"/>
      <c r="FE9" s="155"/>
      <c r="FF9" s="155"/>
      <c r="FG9" s="155"/>
      <c r="FH9" s="155"/>
      <c r="FI9" s="155"/>
      <c r="FJ9" s="155"/>
      <c r="FK9" s="155"/>
      <c r="FL9" s="155"/>
      <c r="FM9" s="155"/>
      <c r="FN9" s="155"/>
      <c r="FO9" s="155"/>
      <c r="FP9" s="155"/>
      <c r="FQ9" s="155"/>
      <c r="FR9" s="155"/>
      <c r="FS9" s="155"/>
      <c r="FT9" s="155"/>
      <c r="FU9" s="155"/>
      <c r="FV9" s="155"/>
      <c r="FW9" s="155"/>
      <c r="FX9" s="155"/>
      <c r="FY9" s="155"/>
      <c r="FZ9" s="155"/>
      <c r="GA9" s="155"/>
      <c r="GB9" s="155"/>
      <c r="GC9" s="155"/>
      <c r="GD9" s="155"/>
      <c r="GE9" s="155"/>
      <c r="GF9" s="155"/>
      <c r="GG9" s="155"/>
      <c r="GH9" s="155"/>
      <c r="GI9" s="155"/>
      <c r="GJ9" s="155"/>
      <c r="GK9" s="155"/>
      <c r="GL9" s="155"/>
      <c r="GM9" s="155"/>
      <c r="GN9" s="155"/>
      <c r="GO9" s="155"/>
      <c r="GP9" s="155"/>
      <c r="GQ9" s="155"/>
      <c r="GR9" s="155"/>
      <c r="GS9" s="155"/>
      <c r="GT9" s="155"/>
      <c r="GU9" s="155"/>
      <c r="GV9" s="155"/>
      <c r="GW9" s="155"/>
      <c r="GX9" s="155"/>
      <c r="GY9" s="155"/>
      <c r="GZ9" s="155"/>
      <c r="HA9" s="155"/>
      <c r="HB9" s="155"/>
      <c r="HC9" s="155"/>
      <c r="HD9" s="155"/>
      <c r="HE9" s="155"/>
      <c r="HF9" s="155"/>
      <c r="HG9" s="155"/>
      <c r="HH9" s="155"/>
      <c r="HI9" s="155"/>
      <c r="HJ9" s="155"/>
      <c r="HK9" s="155"/>
      <c r="HL9" s="155"/>
      <c r="HM9" s="155"/>
      <c r="HN9" s="155"/>
      <c r="HO9" s="155"/>
      <c r="HP9" s="155"/>
      <c r="HQ9" s="155"/>
      <c r="HR9" s="155"/>
      <c r="HS9" s="155"/>
      <c r="HT9" s="155"/>
      <c r="HU9" s="155"/>
      <c r="HV9" s="155"/>
      <c r="HW9" s="155"/>
      <c r="HX9" s="155"/>
      <c r="HY9" s="155"/>
      <c r="HZ9" s="155"/>
      <c r="IA9" s="155"/>
      <c r="IB9" s="155"/>
      <c r="IC9" s="155"/>
      <c r="ID9" s="155"/>
      <c r="IE9" s="155"/>
      <c r="IF9" s="155"/>
      <c r="IG9" s="155"/>
      <c r="IH9" s="155"/>
      <c r="II9" s="155"/>
      <c r="IJ9" s="155"/>
      <c r="IK9" s="155"/>
      <c r="IL9" s="155"/>
      <c r="IM9" s="155"/>
      <c r="IN9" s="155"/>
      <c r="IO9" s="155"/>
      <c r="IP9" s="155"/>
      <c r="IQ9" s="155"/>
      <c r="IR9" s="155"/>
      <c r="IS9" s="155"/>
      <c r="IT9" s="155"/>
      <c r="IU9" s="155"/>
      <c r="IV9" s="155"/>
    </row>
    <row r="10" s="156" customFormat="true" ht="25.5" hidden="false" customHeight="true" outlineLevel="0" collapsed="false">
      <c r="A10" s="157" t="str">
        <f aca="false">IF(Eingabe!A39="","",Eingabe!A39)</f>
        <v/>
      </c>
      <c r="B10" s="157"/>
      <c r="C10" s="157"/>
      <c r="D10" s="157"/>
      <c r="E10" s="158" t="str">
        <f aca="false">IF(Eingabe!B39="","",Eingabe!B39)</f>
        <v/>
      </c>
      <c r="F10" s="158"/>
      <c r="G10" s="158"/>
      <c r="H10" s="158"/>
      <c r="I10" s="159" t="str">
        <f aca="false">IF(Eingabe!C39="","",Eingabe!C39)</f>
        <v/>
      </c>
      <c r="J10" s="159"/>
      <c r="K10" s="159"/>
      <c r="L10" s="159"/>
      <c r="M10" s="160" t="str">
        <f aca="false">IF(Eingabe!D39&amp;""&amp;Eingabe!E39="","",Eingabe!D39&amp;" 
"&amp;Eingabe!E39)</f>
        <v/>
      </c>
      <c r="N10" s="160"/>
      <c r="O10" s="160"/>
      <c r="P10" s="160"/>
      <c r="Q10" s="160"/>
      <c r="R10" s="160"/>
      <c r="S10" s="160"/>
      <c r="T10" s="160"/>
      <c r="U10" s="160"/>
      <c r="V10" s="160"/>
      <c r="W10" s="160"/>
      <c r="X10" s="160"/>
      <c r="Y10" s="160"/>
      <c r="Z10" s="160"/>
      <c r="AA10" s="160"/>
      <c r="AB10" s="160"/>
      <c r="AC10" s="160"/>
      <c r="AD10" s="160"/>
      <c r="AE10" s="160"/>
      <c r="AF10" s="160"/>
      <c r="AG10" s="159" t="str">
        <f aca="false">IF(Eingabe!F39&amp;""&amp;Eingabe!G39="","",Eingabe!F39&amp;" 
"&amp;Eingabe!G39)</f>
        <v/>
      </c>
      <c r="AH10" s="159"/>
      <c r="AI10" s="159"/>
      <c r="AJ10" s="159"/>
      <c r="AK10" s="159"/>
      <c r="AL10" s="159"/>
      <c r="AM10" s="159"/>
      <c r="AN10" s="159"/>
      <c r="AO10" s="159"/>
      <c r="AP10" s="159"/>
      <c r="AQ10" s="159"/>
      <c r="AR10" s="159"/>
      <c r="AS10" s="159"/>
      <c r="AT10" s="159"/>
      <c r="AU10" s="159"/>
      <c r="AV10" s="159"/>
      <c r="AW10" s="159"/>
      <c r="AX10" s="159" t="str">
        <f aca="false">IF(Eingabe!H39="","",Eingabe!H39)</f>
        <v/>
      </c>
      <c r="AY10" s="159"/>
      <c r="AZ10" s="159"/>
      <c r="BA10" s="159"/>
      <c r="BB10" s="161" t="str">
        <f aca="false">IF(Eingabe!K39="","",Eingabe!K39)</f>
        <v/>
      </c>
      <c r="BC10" s="161"/>
      <c r="BD10" s="161"/>
      <c r="BE10" s="161"/>
      <c r="BF10" s="161"/>
      <c r="BG10" s="161"/>
      <c r="BH10" s="161"/>
      <c r="BI10" s="161"/>
      <c r="BJ10" s="161"/>
      <c r="BK10" s="161"/>
      <c r="BL10" s="161"/>
      <c r="BM10" s="161"/>
      <c r="BN10" s="161"/>
      <c r="BO10" s="155"/>
      <c r="BP10" s="155"/>
      <c r="BQ10" s="155"/>
      <c r="BR10" s="155"/>
      <c r="BS10" s="155"/>
      <c r="BT10" s="155"/>
      <c r="BU10" s="155"/>
      <c r="BV10" s="155"/>
      <c r="BW10" s="155"/>
      <c r="BX10" s="155"/>
      <c r="BY10" s="155"/>
      <c r="BZ10" s="155"/>
      <c r="CA10" s="155"/>
      <c r="CB10" s="155"/>
      <c r="CC10" s="155"/>
      <c r="CD10" s="155"/>
      <c r="CE10" s="155"/>
      <c r="CF10" s="155"/>
      <c r="CG10" s="155"/>
      <c r="CH10" s="155"/>
      <c r="CI10" s="155"/>
      <c r="CJ10" s="155"/>
      <c r="CK10" s="155"/>
      <c r="CL10" s="155"/>
      <c r="CM10" s="155"/>
      <c r="CN10" s="155"/>
      <c r="CO10" s="155"/>
      <c r="CP10" s="155"/>
      <c r="CQ10" s="155"/>
      <c r="CR10" s="155"/>
      <c r="CS10" s="155"/>
      <c r="CT10" s="155"/>
      <c r="CU10" s="155"/>
      <c r="CV10" s="155"/>
      <c r="CW10" s="155"/>
      <c r="CX10" s="155"/>
      <c r="CY10" s="155"/>
      <c r="CZ10" s="155"/>
      <c r="DA10" s="155"/>
      <c r="DB10" s="155"/>
      <c r="DC10" s="155"/>
      <c r="DD10" s="155"/>
      <c r="DE10" s="155"/>
      <c r="DF10" s="155"/>
      <c r="DG10" s="155"/>
      <c r="DH10" s="155"/>
      <c r="DI10" s="155"/>
      <c r="DJ10" s="155"/>
      <c r="DK10" s="155"/>
      <c r="DL10" s="155"/>
      <c r="DM10" s="155"/>
      <c r="DN10" s="155"/>
      <c r="DO10" s="155"/>
      <c r="DP10" s="155"/>
      <c r="DQ10" s="155"/>
      <c r="DR10" s="155"/>
      <c r="DS10" s="155"/>
      <c r="DT10" s="155"/>
      <c r="DU10" s="155"/>
      <c r="DV10" s="155"/>
      <c r="DW10" s="155"/>
      <c r="DX10" s="155"/>
      <c r="DY10" s="155"/>
      <c r="DZ10" s="155"/>
      <c r="EA10" s="155"/>
      <c r="EB10" s="155"/>
      <c r="EC10" s="155"/>
      <c r="ED10" s="155"/>
      <c r="EE10" s="155"/>
      <c r="EF10" s="155"/>
      <c r="EG10" s="155"/>
      <c r="EH10" s="155"/>
      <c r="EI10" s="155"/>
      <c r="EJ10" s="155"/>
      <c r="EK10" s="155"/>
      <c r="EL10" s="155"/>
      <c r="EM10" s="155"/>
      <c r="EN10" s="155"/>
      <c r="EO10" s="155"/>
      <c r="EP10" s="155"/>
      <c r="EQ10" s="155"/>
      <c r="ER10" s="155"/>
      <c r="ES10" s="155"/>
      <c r="ET10" s="155"/>
      <c r="EU10" s="155"/>
      <c r="EV10" s="155"/>
      <c r="EW10" s="155"/>
      <c r="EX10" s="155"/>
      <c r="EY10" s="155"/>
      <c r="EZ10" s="155"/>
      <c r="FA10" s="155"/>
      <c r="FB10" s="155"/>
      <c r="FC10" s="155"/>
      <c r="FD10" s="155"/>
      <c r="FE10" s="155"/>
      <c r="FF10" s="155"/>
      <c r="FG10" s="155"/>
      <c r="FH10" s="155"/>
      <c r="FI10" s="155"/>
      <c r="FJ10" s="155"/>
      <c r="FK10" s="155"/>
      <c r="FL10" s="155"/>
      <c r="FM10" s="155"/>
      <c r="FN10" s="155"/>
      <c r="FO10" s="155"/>
      <c r="FP10" s="155"/>
      <c r="FQ10" s="155"/>
      <c r="FR10" s="155"/>
      <c r="FS10" s="155"/>
      <c r="FT10" s="155"/>
      <c r="FU10" s="155"/>
      <c r="FV10" s="155"/>
      <c r="FW10" s="155"/>
      <c r="FX10" s="155"/>
      <c r="FY10" s="155"/>
      <c r="FZ10" s="155"/>
      <c r="GA10" s="155"/>
      <c r="GB10" s="155"/>
      <c r="GC10" s="155"/>
      <c r="GD10" s="155"/>
      <c r="GE10" s="155"/>
      <c r="GF10" s="155"/>
      <c r="GG10" s="155"/>
      <c r="GH10" s="155"/>
      <c r="GI10" s="155"/>
      <c r="GJ10" s="155"/>
      <c r="GK10" s="155"/>
      <c r="GL10" s="155"/>
      <c r="GM10" s="155"/>
      <c r="GN10" s="155"/>
      <c r="GO10" s="155"/>
      <c r="GP10" s="155"/>
      <c r="GQ10" s="155"/>
      <c r="GR10" s="155"/>
      <c r="GS10" s="155"/>
      <c r="GT10" s="155"/>
      <c r="GU10" s="155"/>
      <c r="GV10" s="155"/>
      <c r="GW10" s="155"/>
      <c r="GX10" s="155"/>
      <c r="GY10" s="155"/>
      <c r="GZ10" s="155"/>
      <c r="HA10" s="155"/>
      <c r="HB10" s="155"/>
      <c r="HC10" s="155"/>
      <c r="HD10" s="155"/>
      <c r="HE10" s="155"/>
      <c r="HF10" s="155"/>
      <c r="HG10" s="155"/>
      <c r="HH10" s="155"/>
      <c r="HI10" s="155"/>
      <c r="HJ10" s="155"/>
      <c r="HK10" s="155"/>
      <c r="HL10" s="155"/>
      <c r="HM10" s="155"/>
      <c r="HN10" s="155"/>
      <c r="HO10" s="155"/>
      <c r="HP10" s="155"/>
      <c r="HQ10" s="155"/>
      <c r="HR10" s="155"/>
      <c r="HS10" s="155"/>
      <c r="HT10" s="155"/>
      <c r="HU10" s="155"/>
      <c r="HV10" s="155"/>
      <c r="HW10" s="155"/>
      <c r="HX10" s="155"/>
      <c r="HY10" s="155"/>
      <c r="HZ10" s="155"/>
      <c r="IA10" s="155"/>
      <c r="IB10" s="155"/>
      <c r="IC10" s="155"/>
      <c r="ID10" s="155"/>
      <c r="IE10" s="155"/>
      <c r="IF10" s="155"/>
      <c r="IG10" s="155"/>
      <c r="IH10" s="155"/>
      <c r="II10" s="155"/>
      <c r="IJ10" s="155"/>
      <c r="IK10" s="155"/>
      <c r="IL10" s="155"/>
      <c r="IM10" s="155"/>
      <c r="IN10" s="155"/>
      <c r="IO10" s="155"/>
      <c r="IP10" s="155"/>
      <c r="IQ10" s="155"/>
      <c r="IR10" s="155"/>
      <c r="IS10" s="155"/>
      <c r="IT10" s="155"/>
      <c r="IU10" s="155"/>
      <c r="IV10" s="155"/>
    </row>
    <row r="11" s="156" customFormat="true" ht="25.5" hidden="false" customHeight="true" outlineLevel="0" collapsed="false">
      <c r="A11" s="157" t="str">
        <f aca="false">IF(Eingabe!A40="","",Eingabe!A40)</f>
        <v/>
      </c>
      <c r="B11" s="157"/>
      <c r="C11" s="157"/>
      <c r="D11" s="157"/>
      <c r="E11" s="158" t="str">
        <f aca="false">IF(Eingabe!B40="","",Eingabe!B40)</f>
        <v/>
      </c>
      <c r="F11" s="158"/>
      <c r="G11" s="158"/>
      <c r="H11" s="158"/>
      <c r="I11" s="159" t="str">
        <f aca="false">IF(Eingabe!C40="","",Eingabe!C40)</f>
        <v/>
      </c>
      <c r="J11" s="159"/>
      <c r="K11" s="159"/>
      <c r="L11" s="159"/>
      <c r="M11" s="160" t="str">
        <f aca="false">IF(Eingabe!D40&amp;""&amp;Eingabe!E40="","",Eingabe!D40&amp;" 
"&amp;Eingabe!E40)</f>
        <v/>
      </c>
      <c r="N11" s="160"/>
      <c r="O11" s="160"/>
      <c r="P11" s="160"/>
      <c r="Q11" s="160"/>
      <c r="R11" s="160"/>
      <c r="S11" s="160"/>
      <c r="T11" s="160"/>
      <c r="U11" s="160"/>
      <c r="V11" s="160"/>
      <c r="W11" s="160"/>
      <c r="X11" s="160"/>
      <c r="Y11" s="160"/>
      <c r="Z11" s="160"/>
      <c r="AA11" s="160"/>
      <c r="AB11" s="160"/>
      <c r="AC11" s="160"/>
      <c r="AD11" s="160"/>
      <c r="AE11" s="160"/>
      <c r="AF11" s="160"/>
      <c r="AG11" s="159" t="str">
        <f aca="false">IF(Eingabe!F40&amp;""&amp;Eingabe!G40="","",Eingabe!F40&amp;" 
"&amp;Eingabe!G40)</f>
        <v/>
      </c>
      <c r="AH11" s="159"/>
      <c r="AI11" s="159"/>
      <c r="AJ11" s="159"/>
      <c r="AK11" s="159"/>
      <c r="AL11" s="159"/>
      <c r="AM11" s="159"/>
      <c r="AN11" s="159"/>
      <c r="AO11" s="159"/>
      <c r="AP11" s="159"/>
      <c r="AQ11" s="159"/>
      <c r="AR11" s="159"/>
      <c r="AS11" s="159"/>
      <c r="AT11" s="159"/>
      <c r="AU11" s="159"/>
      <c r="AV11" s="159"/>
      <c r="AW11" s="159"/>
      <c r="AX11" s="159" t="str">
        <f aca="false">IF(Eingabe!H40="","",Eingabe!H40)</f>
        <v/>
      </c>
      <c r="AY11" s="159"/>
      <c r="AZ11" s="159"/>
      <c r="BA11" s="159"/>
      <c r="BB11" s="161" t="str">
        <f aca="false">IF(Eingabe!K40="","",Eingabe!K40)</f>
        <v/>
      </c>
      <c r="BC11" s="161"/>
      <c r="BD11" s="161"/>
      <c r="BE11" s="161"/>
      <c r="BF11" s="161"/>
      <c r="BG11" s="161"/>
      <c r="BH11" s="161"/>
      <c r="BI11" s="161"/>
      <c r="BJ11" s="161"/>
      <c r="BK11" s="161"/>
      <c r="BL11" s="161"/>
      <c r="BM11" s="161"/>
      <c r="BN11" s="161"/>
      <c r="BO11" s="155"/>
      <c r="BP11" s="155"/>
      <c r="BQ11" s="155"/>
      <c r="BR11" s="155"/>
      <c r="BS11" s="155"/>
      <c r="BT11" s="155"/>
      <c r="BU11" s="155"/>
      <c r="BV11" s="155"/>
      <c r="BW11" s="155"/>
      <c r="BX11" s="155"/>
      <c r="BY11" s="155"/>
      <c r="BZ11" s="155"/>
      <c r="CA11" s="155"/>
      <c r="CB11" s="155"/>
      <c r="CC11" s="155"/>
      <c r="CD11" s="155"/>
      <c r="CE11" s="155"/>
      <c r="CF11" s="155"/>
      <c r="CG11" s="155"/>
      <c r="CH11" s="155"/>
      <c r="CI11" s="155"/>
      <c r="CJ11" s="155"/>
      <c r="CK11" s="155"/>
      <c r="CL11" s="155"/>
      <c r="CM11" s="155"/>
      <c r="CN11" s="155"/>
      <c r="CO11" s="155"/>
      <c r="CP11" s="155"/>
      <c r="CQ11" s="155"/>
      <c r="CR11" s="155"/>
      <c r="CS11" s="155"/>
      <c r="CT11" s="155"/>
      <c r="CU11" s="155"/>
      <c r="CV11" s="155"/>
      <c r="CW11" s="155"/>
      <c r="CX11" s="155"/>
      <c r="CY11" s="155"/>
      <c r="CZ11" s="155"/>
      <c r="DA11" s="155"/>
      <c r="DB11" s="155"/>
      <c r="DC11" s="155"/>
      <c r="DD11" s="155"/>
      <c r="DE11" s="155"/>
      <c r="DF11" s="155"/>
      <c r="DG11" s="155"/>
      <c r="DH11" s="155"/>
      <c r="DI11" s="155"/>
      <c r="DJ11" s="155"/>
      <c r="DK11" s="155"/>
      <c r="DL11" s="155"/>
      <c r="DM11" s="155"/>
      <c r="DN11" s="155"/>
      <c r="DO11" s="155"/>
      <c r="DP11" s="155"/>
      <c r="DQ11" s="155"/>
      <c r="DR11" s="155"/>
      <c r="DS11" s="155"/>
      <c r="DT11" s="155"/>
      <c r="DU11" s="155"/>
      <c r="DV11" s="155"/>
      <c r="DW11" s="155"/>
      <c r="DX11" s="155"/>
      <c r="DY11" s="155"/>
      <c r="DZ11" s="155"/>
      <c r="EA11" s="155"/>
      <c r="EB11" s="155"/>
      <c r="EC11" s="155"/>
      <c r="ED11" s="155"/>
      <c r="EE11" s="155"/>
      <c r="EF11" s="155"/>
      <c r="EG11" s="155"/>
      <c r="EH11" s="155"/>
      <c r="EI11" s="155"/>
      <c r="EJ11" s="155"/>
      <c r="EK11" s="155"/>
      <c r="EL11" s="155"/>
      <c r="EM11" s="155"/>
      <c r="EN11" s="155"/>
      <c r="EO11" s="155"/>
      <c r="EP11" s="155"/>
      <c r="EQ11" s="155"/>
      <c r="ER11" s="155"/>
      <c r="ES11" s="155"/>
      <c r="ET11" s="155"/>
      <c r="EU11" s="155"/>
      <c r="EV11" s="155"/>
      <c r="EW11" s="155"/>
      <c r="EX11" s="155"/>
      <c r="EY11" s="155"/>
      <c r="EZ11" s="155"/>
      <c r="FA11" s="155"/>
      <c r="FB11" s="155"/>
      <c r="FC11" s="155"/>
      <c r="FD11" s="155"/>
      <c r="FE11" s="155"/>
      <c r="FF11" s="155"/>
      <c r="FG11" s="155"/>
      <c r="FH11" s="155"/>
      <c r="FI11" s="155"/>
      <c r="FJ11" s="155"/>
      <c r="FK11" s="155"/>
      <c r="FL11" s="155"/>
      <c r="FM11" s="155"/>
      <c r="FN11" s="155"/>
      <c r="FO11" s="155"/>
      <c r="FP11" s="155"/>
      <c r="FQ11" s="155"/>
      <c r="FR11" s="155"/>
      <c r="FS11" s="155"/>
      <c r="FT11" s="155"/>
      <c r="FU11" s="155"/>
      <c r="FV11" s="155"/>
      <c r="FW11" s="155"/>
      <c r="FX11" s="155"/>
      <c r="FY11" s="155"/>
      <c r="FZ11" s="155"/>
      <c r="GA11" s="155"/>
      <c r="GB11" s="155"/>
      <c r="GC11" s="155"/>
      <c r="GD11" s="155"/>
      <c r="GE11" s="155"/>
      <c r="GF11" s="155"/>
      <c r="GG11" s="155"/>
      <c r="GH11" s="155"/>
      <c r="GI11" s="155"/>
      <c r="GJ11" s="155"/>
      <c r="GK11" s="155"/>
      <c r="GL11" s="155"/>
      <c r="GM11" s="155"/>
      <c r="GN11" s="155"/>
      <c r="GO11" s="155"/>
      <c r="GP11" s="155"/>
      <c r="GQ11" s="155"/>
      <c r="GR11" s="155"/>
      <c r="GS11" s="155"/>
      <c r="GT11" s="155"/>
      <c r="GU11" s="155"/>
      <c r="GV11" s="155"/>
      <c r="GW11" s="155"/>
      <c r="GX11" s="155"/>
      <c r="GY11" s="155"/>
      <c r="GZ11" s="155"/>
      <c r="HA11" s="155"/>
      <c r="HB11" s="155"/>
      <c r="HC11" s="155"/>
      <c r="HD11" s="155"/>
      <c r="HE11" s="155"/>
      <c r="HF11" s="155"/>
      <c r="HG11" s="155"/>
      <c r="HH11" s="155"/>
      <c r="HI11" s="155"/>
      <c r="HJ11" s="155"/>
      <c r="HK11" s="155"/>
      <c r="HL11" s="155"/>
      <c r="HM11" s="155"/>
      <c r="HN11" s="155"/>
      <c r="HO11" s="155"/>
      <c r="HP11" s="155"/>
      <c r="HQ11" s="155"/>
      <c r="HR11" s="155"/>
      <c r="HS11" s="155"/>
      <c r="HT11" s="155"/>
      <c r="HU11" s="155"/>
      <c r="HV11" s="155"/>
      <c r="HW11" s="155"/>
      <c r="HX11" s="155"/>
      <c r="HY11" s="155"/>
      <c r="HZ11" s="155"/>
      <c r="IA11" s="155"/>
      <c r="IB11" s="155"/>
      <c r="IC11" s="155"/>
      <c r="ID11" s="155"/>
      <c r="IE11" s="155"/>
      <c r="IF11" s="155"/>
      <c r="IG11" s="155"/>
      <c r="IH11" s="155"/>
      <c r="II11" s="155"/>
      <c r="IJ11" s="155"/>
      <c r="IK11" s="155"/>
      <c r="IL11" s="155"/>
      <c r="IM11" s="155"/>
      <c r="IN11" s="155"/>
      <c r="IO11" s="155"/>
      <c r="IP11" s="155"/>
      <c r="IQ11" s="155"/>
      <c r="IR11" s="155"/>
      <c r="IS11" s="155"/>
      <c r="IT11" s="155"/>
      <c r="IU11" s="155"/>
      <c r="IV11" s="155"/>
    </row>
    <row r="12" s="156" customFormat="true" ht="25.5" hidden="false" customHeight="true" outlineLevel="0" collapsed="false">
      <c r="A12" s="157" t="str">
        <f aca="false">IF(Eingabe!A41="","",Eingabe!A41)</f>
        <v/>
      </c>
      <c r="B12" s="157"/>
      <c r="C12" s="157"/>
      <c r="D12" s="157"/>
      <c r="E12" s="158" t="str">
        <f aca="false">IF(Eingabe!B41="","",Eingabe!B41)</f>
        <v/>
      </c>
      <c r="F12" s="158"/>
      <c r="G12" s="158"/>
      <c r="H12" s="158"/>
      <c r="I12" s="159" t="str">
        <f aca="false">IF(Eingabe!C41="","",Eingabe!C41)</f>
        <v/>
      </c>
      <c r="J12" s="159"/>
      <c r="K12" s="159"/>
      <c r="L12" s="159"/>
      <c r="M12" s="160" t="str">
        <f aca="false">IF(Eingabe!D41&amp;""&amp;Eingabe!E41="","",Eingabe!D41&amp;" 
"&amp;Eingabe!E41)</f>
        <v/>
      </c>
      <c r="N12" s="160"/>
      <c r="O12" s="160"/>
      <c r="P12" s="160"/>
      <c r="Q12" s="160"/>
      <c r="R12" s="160"/>
      <c r="S12" s="160"/>
      <c r="T12" s="160"/>
      <c r="U12" s="160"/>
      <c r="V12" s="160"/>
      <c r="W12" s="160"/>
      <c r="X12" s="160"/>
      <c r="Y12" s="160"/>
      <c r="Z12" s="160"/>
      <c r="AA12" s="160"/>
      <c r="AB12" s="160"/>
      <c r="AC12" s="160"/>
      <c r="AD12" s="160"/>
      <c r="AE12" s="160"/>
      <c r="AF12" s="160"/>
      <c r="AG12" s="159" t="str">
        <f aca="false">IF(Eingabe!F41&amp;""&amp;Eingabe!G41="","",Eingabe!F41&amp;" 
"&amp;Eingabe!G41)</f>
        <v/>
      </c>
      <c r="AH12" s="159"/>
      <c r="AI12" s="159"/>
      <c r="AJ12" s="159"/>
      <c r="AK12" s="159"/>
      <c r="AL12" s="159"/>
      <c r="AM12" s="159"/>
      <c r="AN12" s="159"/>
      <c r="AO12" s="159"/>
      <c r="AP12" s="159"/>
      <c r="AQ12" s="159"/>
      <c r="AR12" s="159"/>
      <c r="AS12" s="159"/>
      <c r="AT12" s="159"/>
      <c r="AU12" s="159"/>
      <c r="AV12" s="159"/>
      <c r="AW12" s="159"/>
      <c r="AX12" s="159" t="str">
        <f aca="false">IF(Eingabe!H41="","",Eingabe!H41)</f>
        <v/>
      </c>
      <c r="AY12" s="159"/>
      <c r="AZ12" s="159"/>
      <c r="BA12" s="159"/>
      <c r="BB12" s="161" t="str">
        <f aca="false">IF(Eingabe!K41="","",Eingabe!K41)</f>
        <v/>
      </c>
      <c r="BC12" s="161"/>
      <c r="BD12" s="161"/>
      <c r="BE12" s="161"/>
      <c r="BF12" s="161"/>
      <c r="BG12" s="161"/>
      <c r="BH12" s="161"/>
      <c r="BI12" s="161"/>
      <c r="BJ12" s="161"/>
      <c r="BK12" s="161"/>
      <c r="BL12" s="161"/>
      <c r="BM12" s="161"/>
      <c r="BN12" s="161"/>
      <c r="BO12" s="155"/>
      <c r="BP12" s="155"/>
      <c r="BQ12" s="155"/>
      <c r="BR12" s="155"/>
      <c r="BS12" s="155"/>
      <c r="BT12" s="155"/>
      <c r="BU12" s="155"/>
      <c r="BV12" s="155"/>
      <c r="BW12" s="155"/>
      <c r="BX12" s="155"/>
      <c r="BY12" s="155"/>
      <c r="BZ12" s="155"/>
      <c r="CA12" s="155"/>
      <c r="CB12" s="155"/>
      <c r="CC12" s="155"/>
      <c r="CD12" s="155"/>
      <c r="CE12" s="155"/>
      <c r="CF12" s="155"/>
      <c r="CG12" s="155"/>
      <c r="CH12" s="155"/>
      <c r="CI12" s="155"/>
      <c r="CJ12" s="155"/>
      <c r="CK12" s="155"/>
      <c r="CL12" s="155"/>
      <c r="CM12" s="155"/>
      <c r="CN12" s="155"/>
      <c r="CO12" s="155"/>
      <c r="CP12" s="155"/>
      <c r="CQ12" s="155"/>
      <c r="CR12" s="155"/>
      <c r="CS12" s="155"/>
      <c r="CT12" s="155"/>
      <c r="CU12" s="155"/>
      <c r="CV12" s="155"/>
      <c r="CW12" s="155"/>
      <c r="CX12" s="155"/>
      <c r="CY12" s="155"/>
      <c r="CZ12" s="155"/>
      <c r="DA12" s="155"/>
      <c r="DB12" s="155"/>
      <c r="DC12" s="155"/>
      <c r="DD12" s="155"/>
      <c r="DE12" s="155"/>
      <c r="DF12" s="155"/>
      <c r="DG12" s="155"/>
      <c r="DH12" s="155"/>
      <c r="DI12" s="155"/>
      <c r="DJ12" s="155"/>
      <c r="DK12" s="155"/>
      <c r="DL12" s="155"/>
      <c r="DM12" s="155"/>
      <c r="DN12" s="155"/>
      <c r="DO12" s="155"/>
      <c r="DP12" s="155"/>
      <c r="DQ12" s="155"/>
      <c r="DR12" s="155"/>
      <c r="DS12" s="155"/>
      <c r="DT12" s="155"/>
      <c r="DU12" s="155"/>
      <c r="DV12" s="155"/>
      <c r="DW12" s="155"/>
      <c r="DX12" s="155"/>
      <c r="DY12" s="155"/>
      <c r="DZ12" s="155"/>
      <c r="EA12" s="155"/>
      <c r="EB12" s="155"/>
      <c r="EC12" s="155"/>
      <c r="ED12" s="155"/>
      <c r="EE12" s="155"/>
      <c r="EF12" s="155"/>
      <c r="EG12" s="155"/>
      <c r="EH12" s="155"/>
      <c r="EI12" s="155"/>
      <c r="EJ12" s="155"/>
      <c r="EK12" s="155"/>
      <c r="EL12" s="155"/>
      <c r="EM12" s="155"/>
      <c r="EN12" s="155"/>
      <c r="EO12" s="155"/>
      <c r="EP12" s="155"/>
      <c r="EQ12" s="155"/>
      <c r="ER12" s="155"/>
      <c r="ES12" s="155"/>
      <c r="ET12" s="155"/>
      <c r="EU12" s="155"/>
      <c r="EV12" s="155"/>
      <c r="EW12" s="155"/>
      <c r="EX12" s="155"/>
      <c r="EY12" s="155"/>
      <c r="EZ12" s="155"/>
      <c r="FA12" s="155"/>
      <c r="FB12" s="155"/>
      <c r="FC12" s="155"/>
      <c r="FD12" s="155"/>
      <c r="FE12" s="155"/>
      <c r="FF12" s="155"/>
      <c r="FG12" s="155"/>
      <c r="FH12" s="155"/>
      <c r="FI12" s="155"/>
      <c r="FJ12" s="155"/>
      <c r="FK12" s="155"/>
      <c r="FL12" s="155"/>
      <c r="FM12" s="155"/>
      <c r="FN12" s="155"/>
      <c r="FO12" s="155"/>
      <c r="FP12" s="155"/>
      <c r="FQ12" s="155"/>
      <c r="FR12" s="155"/>
      <c r="FS12" s="155"/>
      <c r="FT12" s="155"/>
      <c r="FU12" s="155"/>
      <c r="FV12" s="155"/>
      <c r="FW12" s="155"/>
      <c r="FX12" s="155"/>
      <c r="FY12" s="155"/>
      <c r="FZ12" s="155"/>
      <c r="GA12" s="155"/>
      <c r="GB12" s="155"/>
      <c r="GC12" s="155"/>
      <c r="GD12" s="155"/>
      <c r="GE12" s="155"/>
      <c r="GF12" s="155"/>
      <c r="GG12" s="155"/>
      <c r="GH12" s="155"/>
      <c r="GI12" s="155"/>
      <c r="GJ12" s="155"/>
      <c r="GK12" s="155"/>
      <c r="GL12" s="155"/>
      <c r="GM12" s="155"/>
      <c r="GN12" s="155"/>
      <c r="GO12" s="155"/>
      <c r="GP12" s="155"/>
      <c r="GQ12" s="155"/>
      <c r="GR12" s="155"/>
      <c r="GS12" s="155"/>
      <c r="GT12" s="155"/>
      <c r="GU12" s="155"/>
      <c r="GV12" s="155"/>
      <c r="GW12" s="155"/>
      <c r="GX12" s="155"/>
      <c r="GY12" s="155"/>
      <c r="GZ12" s="155"/>
      <c r="HA12" s="155"/>
      <c r="HB12" s="155"/>
      <c r="HC12" s="155"/>
      <c r="HD12" s="155"/>
      <c r="HE12" s="155"/>
      <c r="HF12" s="155"/>
      <c r="HG12" s="155"/>
      <c r="HH12" s="155"/>
      <c r="HI12" s="155"/>
      <c r="HJ12" s="155"/>
      <c r="HK12" s="155"/>
      <c r="HL12" s="155"/>
      <c r="HM12" s="155"/>
      <c r="HN12" s="155"/>
      <c r="HO12" s="155"/>
      <c r="HP12" s="155"/>
      <c r="HQ12" s="155"/>
      <c r="HR12" s="155"/>
      <c r="HS12" s="155"/>
      <c r="HT12" s="155"/>
      <c r="HU12" s="155"/>
      <c r="HV12" s="155"/>
      <c r="HW12" s="155"/>
      <c r="HX12" s="155"/>
      <c r="HY12" s="155"/>
      <c r="HZ12" s="155"/>
      <c r="IA12" s="155"/>
      <c r="IB12" s="155"/>
      <c r="IC12" s="155"/>
      <c r="ID12" s="155"/>
      <c r="IE12" s="155"/>
      <c r="IF12" s="155"/>
      <c r="IG12" s="155"/>
      <c r="IH12" s="155"/>
      <c r="II12" s="155"/>
      <c r="IJ12" s="155"/>
      <c r="IK12" s="155"/>
      <c r="IL12" s="155"/>
      <c r="IM12" s="155"/>
      <c r="IN12" s="155"/>
      <c r="IO12" s="155"/>
      <c r="IP12" s="155"/>
      <c r="IQ12" s="155"/>
      <c r="IR12" s="155"/>
      <c r="IS12" s="155"/>
      <c r="IT12" s="155"/>
      <c r="IU12" s="155"/>
      <c r="IV12" s="155"/>
    </row>
    <row r="13" s="156" customFormat="true" ht="25.5" hidden="false" customHeight="true" outlineLevel="0" collapsed="false">
      <c r="A13" s="157" t="str">
        <f aca="false">IF(Eingabe!A42="","",Eingabe!A42)</f>
        <v/>
      </c>
      <c r="B13" s="157"/>
      <c r="C13" s="157"/>
      <c r="D13" s="157"/>
      <c r="E13" s="158" t="str">
        <f aca="false">IF(Eingabe!B42="","",Eingabe!B42)</f>
        <v/>
      </c>
      <c r="F13" s="158"/>
      <c r="G13" s="158"/>
      <c r="H13" s="158"/>
      <c r="I13" s="159" t="str">
        <f aca="false">IF(Eingabe!C42="","",Eingabe!C42)</f>
        <v/>
      </c>
      <c r="J13" s="159"/>
      <c r="K13" s="159"/>
      <c r="L13" s="159"/>
      <c r="M13" s="160" t="str">
        <f aca="false">IF(Eingabe!D42&amp;""&amp;Eingabe!E42="","",Eingabe!D42&amp;" 
"&amp;Eingabe!E42)</f>
        <v/>
      </c>
      <c r="N13" s="160"/>
      <c r="O13" s="160"/>
      <c r="P13" s="160"/>
      <c r="Q13" s="160"/>
      <c r="R13" s="160"/>
      <c r="S13" s="160"/>
      <c r="T13" s="160"/>
      <c r="U13" s="160"/>
      <c r="V13" s="160"/>
      <c r="W13" s="160"/>
      <c r="X13" s="160"/>
      <c r="Y13" s="160"/>
      <c r="Z13" s="160"/>
      <c r="AA13" s="160"/>
      <c r="AB13" s="160"/>
      <c r="AC13" s="160"/>
      <c r="AD13" s="160"/>
      <c r="AE13" s="160"/>
      <c r="AF13" s="160"/>
      <c r="AG13" s="159" t="str">
        <f aca="false">IF(Eingabe!F42&amp;""&amp;Eingabe!G42="","",Eingabe!F42&amp;" 
"&amp;Eingabe!G42)</f>
        <v/>
      </c>
      <c r="AH13" s="159"/>
      <c r="AI13" s="159"/>
      <c r="AJ13" s="159"/>
      <c r="AK13" s="159"/>
      <c r="AL13" s="159"/>
      <c r="AM13" s="159"/>
      <c r="AN13" s="159"/>
      <c r="AO13" s="159"/>
      <c r="AP13" s="159"/>
      <c r="AQ13" s="159"/>
      <c r="AR13" s="159"/>
      <c r="AS13" s="159"/>
      <c r="AT13" s="159"/>
      <c r="AU13" s="159"/>
      <c r="AV13" s="159"/>
      <c r="AW13" s="159"/>
      <c r="AX13" s="159" t="str">
        <f aca="false">IF(Eingabe!H42="","",Eingabe!H42)</f>
        <v/>
      </c>
      <c r="AY13" s="159"/>
      <c r="AZ13" s="159"/>
      <c r="BA13" s="159"/>
      <c r="BB13" s="161" t="str">
        <f aca="false">IF(Eingabe!K42="","",Eingabe!K42)</f>
        <v/>
      </c>
      <c r="BC13" s="161"/>
      <c r="BD13" s="161"/>
      <c r="BE13" s="161"/>
      <c r="BF13" s="161"/>
      <c r="BG13" s="161"/>
      <c r="BH13" s="161"/>
      <c r="BI13" s="161"/>
      <c r="BJ13" s="161"/>
      <c r="BK13" s="161"/>
      <c r="BL13" s="161"/>
      <c r="BM13" s="161"/>
      <c r="BN13" s="161"/>
      <c r="BO13" s="155"/>
      <c r="BP13" s="155"/>
      <c r="BQ13" s="155"/>
      <c r="BR13" s="155"/>
      <c r="BS13" s="155"/>
      <c r="BT13" s="155"/>
      <c r="BU13" s="155"/>
      <c r="BV13" s="155"/>
      <c r="BW13" s="155"/>
      <c r="BX13" s="155"/>
      <c r="BY13" s="155"/>
      <c r="BZ13" s="155"/>
      <c r="CA13" s="155"/>
      <c r="CB13" s="155"/>
      <c r="CC13" s="155"/>
      <c r="CD13" s="155"/>
      <c r="CE13" s="155"/>
      <c r="CF13" s="155"/>
      <c r="CG13" s="155"/>
      <c r="CH13" s="155"/>
      <c r="CI13" s="155"/>
      <c r="CJ13" s="155"/>
      <c r="CK13" s="155"/>
      <c r="CL13" s="155"/>
      <c r="CM13" s="155"/>
      <c r="CN13" s="155"/>
      <c r="CO13" s="155"/>
      <c r="CP13" s="155"/>
      <c r="CQ13" s="155"/>
      <c r="CR13" s="155"/>
      <c r="CS13" s="155"/>
      <c r="CT13" s="155"/>
      <c r="CU13" s="155"/>
      <c r="CV13" s="155"/>
      <c r="CW13" s="155"/>
      <c r="CX13" s="155"/>
      <c r="CY13" s="155"/>
      <c r="CZ13" s="155"/>
      <c r="DA13" s="155"/>
      <c r="DB13" s="155"/>
      <c r="DC13" s="155"/>
      <c r="DD13" s="155"/>
      <c r="DE13" s="155"/>
      <c r="DF13" s="155"/>
      <c r="DG13" s="155"/>
      <c r="DH13" s="155"/>
      <c r="DI13" s="155"/>
      <c r="DJ13" s="155"/>
      <c r="DK13" s="155"/>
      <c r="DL13" s="155"/>
      <c r="DM13" s="155"/>
      <c r="DN13" s="155"/>
      <c r="DO13" s="155"/>
      <c r="DP13" s="155"/>
      <c r="DQ13" s="155"/>
      <c r="DR13" s="155"/>
      <c r="DS13" s="155"/>
      <c r="DT13" s="155"/>
      <c r="DU13" s="155"/>
      <c r="DV13" s="155"/>
      <c r="DW13" s="155"/>
      <c r="DX13" s="155"/>
      <c r="DY13" s="155"/>
      <c r="DZ13" s="155"/>
      <c r="EA13" s="155"/>
      <c r="EB13" s="155"/>
      <c r="EC13" s="155"/>
      <c r="ED13" s="155"/>
      <c r="EE13" s="155"/>
      <c r="EF13" s="155"/>
      <c r="EG13" s="155"/>
      <c r="EH13" s="155"/>
      <c r="EI13" s="155"/>
      <c r="EJ13" s="155"/>
      <c r="EK13" s="155"/>
      <c r="EL13" s="155"/>
      <c r="EM13" s="155"/>
      <c r="EN13" s="155"/>
      <c r="EO13" s="155"/>
      <c r="EP13" s="155"/>
      <c r="EQ13" s="155"/>
      <c r="ER13" s="155"/>
      <c r="ES13" s="155"/>
      <c r="ET13" s="155"/>
      <c r="EU13" s="155"/>
      <c r="EV13" s="155"/>
      <c r="EW13" s="155"/>
      <c r="EX13" s="155"/>
      <c r="EY13" s="155"/>
      <c r="EZ13" s="155"/>
      <c r="FA13" s="155"/>
      <c r="FB13" s="155"/>
      <c r="FC13" s="155"/>
      <c r="FD13" s="155"/>
      <c r="FE13" s="155"/>
      <c r="FF13" s="155"/>
      <c r="FG13" s="155"/>
      <c r="FH13" s="155"/>
      <c r="FI13" s="155"/>
      <c r="FJ13" s="155"/>
      <c r="FK13" s="155"/>
      <c r="FL13" s="155"/>
      <c r="FM13" s="155"/>
      <c r="FN13" s="155"/>
      <c r="FO13" s="155"/>
      <c r="FP13" s="155"/>
      <c r="FQ13" s="155"/>
      <c r="FR13" s="155"/>
      <c r="FS13" s="155"/>
      <c r="FT13" s="155"/>
      <c r="FU13" s="155"/>
      <c r="FV13" s="155"/>
      <c r="FW13" s="155"/>
      <c r="FX13" s="155"/>
      <c r="FY13" s="155"/>
      <c r="FZ13" s="155"/>
      <c r="GA13" s="155"/>
      <c r="GB13" s="155"/>
      <c r="GC13" s="155"/>
      <c r="GD13" s="155"/>
      <c r="GE13" s="155"/>
      <c r="GF13" s="155"/>
      <c r="GG13" s="155"/>
      <c r="GH13" s="155"/>
      <c r="GI13" s="155"/>
      <c r="GJ13" s="155"/>
      <c r="GK13" s="155"/>
      <c r="GL13" s="155"/>
      <c r="GM13" s="155"/>
      <c r="GN13" s="155"/>
      <c r="GO13" s="155"/>
      <c r="GP13" s="155"/>
      <c r="GQ13" s="155"/>
      <c r="GR13" s="155"/>
      <c r="GS13" s="155"/>
      <c r="GT13" s="155"/>
      <c r="GU13" s="155"/>
      <c r="GV13" s="155"/>
      <c r="GW13" s="155"/>
      <c r="GX13" s="155"/>
      <c r="GY13" s="155"/>
      <c r="GZ13" s="155"/>
      <c r="HA13" s="155"/>
      <c r="HB13" s="155"/>
      <c r="HC13" s="155"/>
      <c r="HD13" s="155"/>
      <c r="HE13" s="155"/>
      <c r="HF13" s="155"/>
      <c r="HG13" s="155"/>
      <c r="HH13" s="155"/>
      <c r="HI13" s="155"/>
      <c r="HJ13" s="155"/>
      <c r="HK13" s="155"/>
      <c r="HL13" s="155"/>
      <c r="HM13" s="155"/>
      <c r="HN13" s="155"/>
      <c r="HO13" s="155"/>
      <c r="HP13" s="155"/>
      <c r="HQ13" s="155"/>
      <c r="HR13" s="155"/>
      <c r="HS13" s="155"/>
      <c r="HT13" s="155"/>
      <c r="HU13" s="155"/>
      <c r="HV13" s="155"/>
      <c r="HW13" s="155"/>
      <c r="HX13" s="155"/>
      <c r="HY13" s="155"/>
      <c r="HZ13" s="155"/>
      <c r="IA13" s="155"/>
      <c r="IB13" s="155"/>
      <c r="IC13" s="155"/>
      <c r="ID13" s="155"/>
      <c r="IE13" s="155"/>
      <c r="IF13" s="155"/>
      <c r="IG13" s="155"/>
      <c r="IH13" s="155"/>
      <c r="II13" s="155"/>
      <c r="IJ13" s="155"/>
      <c r="IK13" s="155"/>
      <c r="IL13" s="155"/>
      <c r="IM13" s="155"/>
      <c r="IN13" s="155"/>
      <c r="IO13" s="155"/>
      <c r="IP13" s="155"/>
      <c r="IQ13" s="155"/>
      <c r="IR13" s="155"/>
      <c r="IS13" s="155"/>
      <c r="IT13" s="155"/>
      <c r="IU13" s="155"/>
      <c r="IV13" s="155"/>
    </row>
    <row r="14" s="156" customFormat="true" ht="25.5" hidden="false" customHeight="true" outlineLevel="0" collapsed="false">
      <c r="A14" s="157" t="str">
        <f aca="false">IF(Eingabe!A43="","",Eingabe!A43)</f>
        <v/>
      </c>
      <c r="B14" s="157"/>
      <c r="C14" s="157"/>
      <c r="D14" s="157"/>
      <c r="E14" s="158" t="str">
        <f aca="false">IF(Eingabe!B43="","",Eingabe!B43)</f>
        <v/>
      </c>
      <c r="F14" s="158"/>
      <c r="G14" s="158"/>
      <c r="H14" s="158"/>
      <c r="I14" s="159" t="str">
        <f aca="false">IF(Eingabe!C43="","",Eingabe!C43)</f>
        <v/>
      </c>
      <c r="J14" s="159"/>
      <c r="K14" s="159"/>
      <c r="L14" s="159"/>
      <c r="M14" s="160" t="str">
        <f aca="false">IF(Eingabe!D43&amp;""&amp;Eingabe!E43="","",Eingabe!D43&amp;" 
"&amp;Eingabe!E43)</f>
        <v/>
      </c>
      <c r="N14" s="160"/>
      <c r="O14" s="160"/>
      <c r="P14" s="160"/>
      <c r="Q14" s="160"/>
      <c r="R14" s="160"/>
      <c r="S14" s="160"/>
      <c r="T14" s="160"/>
      <c r="U14" s="160"/>
      <c r="V14" s="160"/>
      <c r="W14" s="160"/>
      <c r="X14" s="160"/>
      <c r="Y14" s="160"/>
      <c r="Z14" s="160"/>
      <c r="AA14" s="160"/>
      <c r="AB14" s="160"/>
      <c r="AC14" s="160"/>
      <c r="AD14" s="160"/>
      <c r="AE14" s="160"/>
      <c r="AF14" s="160"/>
      <c r="AG14" s="159" t="str">
        <f aca="false">IF(Eingabe!F43&amp;""&amp;Eingabe!G43="","",Eingabe!F43&amp;" 
"&amp;Eingabe!G43)</f>
        <v/>
      </c>
      <c r="AH14" s="159"/>
      <c r="AI14" s="159"/>
      <c r="AJ14" s="159"/>
      <c r="AK14" s="159"/>
      <c r="AL14" s="159"/>
      <c r="AM14" s="159"/>
      <c r="AN14" s="159"/>
      <c r="AO14" s="159"/>
      <c r="AP14" s="159"/>
      <c r="AQ14" s="159"/>
      <c r="AR14" s="159"/>
      <c r="AS14" s="159"/>
      <c r="AT14" s="159"/>
      <c r="AU14" s="159"/>
      <c r="AV14" s="159"/>
      <c r="AW14" s="159"/>
      <c r="AX14" s="159" t="str">
        <f aca="false">IF(Eingabe!H43="","",Eingabe!H43)</f>
        <v/>
      </c>
      <c r="AY14" s="159"/>
      <c r="AZ14" s="159"/>
      <c r="BA14" s="159"/>
      <c r="BB14" s="161" t="str">
        <f aca="false">IF(Eingabe!K43="","",Eingabe!K43)</f>
        <v/>
      </c>
      <c r="BC14" s="161"/>
      <c r="BD14" s="161"/>
      <c r="BE14" s="161"/>
      <c r="BF14" s="161"/>
      <c r="BG14" s="161"/>
      <c r="BH14" s="161"/>
      <c r="BI14" s="161"/>
      <c r="BJ14" s="161"/>
      <c r="BK14" s="161"/>
      <c r="BL14" s="161"/>
      <c r="BM14" s="161"/>
      <c r="BN14" s="161"/>
      <c r="BO14" s="155"/>
      <c r="BP14" s="155"/>
      <c r="BQ14" s="155"/>
      <c r="BR14" s="155"/>
      <c r="BS14" s="155"/>
      <c r="BT14" s="155"/>
      <c r="BU14" s="155"/>
      <c r="BV14" s="155"/>
      <c r="BW14" s="155"/>
      <c r="BX14" s="155"/>
      <c r="BY14" s="155"/>
      <c r="BZ14" s="155"/>
      <c r="CA14" s="155"/>
      <c r="CB14" s="155"/>
      <c r="CC14" s="155"/>
      <c r="CD14" s="155"/>
      <c r="CE14" s="155"/>
      <c r="CF14" s="155"/>
      <c r="CG14" s="155"/>
      <c r="CH14" s="155"/>
      <c r="CI14" s="155"/>
      <c r="CJ14" s="155"/>
      <c r="CK14" s="155"/>
      <c r="CL14" s="155"/>
      <c r="CM14" s="155"/>
      <c r="CN14" s="155"/>
      <c r="CO14" s="155"/>
      <c r="CP14" s="155"/>
      <c r="CQ14" s="155"/>
      <c r="CR14" s="155"/>
      <c r="CS14" s="155"/>
      <c r="CT14" s="155"/>
      <c r="CU14" s="155"/>
      <c r="CV14" s="155"/>
      <c r="CW14" s="155"/>
      <c r="CX14" s="155"/>
      <c r="CY14" s="155"/>
      <c r="CZ14" s="155"/>
      <c r="DA14" s="155"/>
      <c r="DB14" s="155"/>
      <c r="DC14" s="155"/>
      <c r="DD14" s="155"/>
      <c r="DE14" s="155"/>
      <c r="DF14" s="155"/>
      <c r="DG14" s="155"/>
      <c r="DH14" s="155"/>
      <c r="DI14" s="155"/>
      <c r="DJ14" s="155"/>
      <c r="DK14" s="155"/>
      <c r="DL14" s="155"/>
      <c r="DM14" s="155"/>
      <c r="DN14" s="155"/>
      <c r="DO14" s="155"/>
      <c r="DP14" s="155"/>
      <c r="DQ14" s="155"/>
      <c r="DR14" s="155"/>
      <c r="DS14" s="155"/>
      <c r="DT14" s="155"/>
      <c r="DU14" s="155"/>
      <c r="DV14" s="155"/>
      <c r="DW14" s="155"/>
      <c r="DX14" s="155"/>
      <c r="DY14" s="155"/>
      <c r="DZ14" s="155"/>
      <c r="EA14" s="155"/>
      <c r="EB14" s="155"/>
      <c r="EC14" s="155"/>
      <c r="ED14" s="155"/>
      <c r="EE14" s="155"/>
      <c r="EF14" s="155"/>
      <c r="EG14" s="155"/>
      <c r="EH14" s="155"/>
      <c r="EI14" s="155"/>
      <c r="EJ14" s="155"/>
      <c r="EK14" s="155"/>
      <c r="EL14" s="155"/>
      <c r="EM14" s="155"/>
      <c r="EN14" s="155"/>
      <c r="EO14" s="155"/>
      <c r="EP14" s="155"/>
      <c r="EQ14" s="155"/>
      <c r="ER14" s="155"/>
      <c r="ES14" s="155"/>
      <c r="ET14" s="155"/>
      <c r="EU14" s="155"/>
      <c r="EV14" s="155"/>
      <c r="EW14" s="155"/>
      <c r="EX14" s="155"/>
      <c r="EY14" s="155"/>
      <c r="EZ14" s="155"/>
      <c r="FA14" s="155"/>
      <c r="FB14" s="155"/>
      <c r="FC14" s="155"/>
      <c r="FD14" s="155"/>
      <c r="FE14" s="155"/>
      <c r="FF14" s="155"/>
      <c r="FG14" s="155"/>
      <c r="FH14" s="155"/>
      <c r="FI14" s="155"/>
      <c r="FJ14" s="155"/>
      <c r="FK14" s="155"/>
      <c r="FL14" s="155"/>
      <c r="FM14" s="155"/>
      <c r="FN14" s="155"/>
      <c r="FO14" s="155"/>
      <c r="FP14" s="155"/>
      <c r="FQ14" s="155"/>
      <c r="FR14" s="155"/>
      <c r="FS14" s="155"/>
      <c r="FT14" s="155"/>
      <c r="FU14" s="155"/>
      <c r="FV14" s="155"/>
      <c r="FW14" s="155"/>
      <c r="FX14" s="155"/>
      <c r="FY14" s="155"/>
      <c r="FZ14" s="155"/>
      <c r="GA14" s="155"/>
      <c r="GB14" s="155"/>
      <c r="GC14" s="155"/>
      <c r="GD14" s="155"/>
      <c r="GE14" s="155"/>
      <c r="GF14" s="155"/>
      <c r="GG14" s="155"/>
      <c r="GH14" s="155"/>
      <c r="GI14" s="155"/>
      <c r="GJ14" s="155"/>
      <c r="GK14" s="155"/>
      <c r="GL14" s="155"/>
      <c r="GM14" s="155"/>
      <c r="GN14" s="155"/>
      <c r="GO14" s="155"/>
      <c r="GP14" s="155"/>
      <c r="GQ14" s="155"/>
      <c r="GR14" s="155"/>
      <c r="GS14" s="155"/>
      <c r="GT14" s="155"/>
      <c r="GU14" s="155"/>
      <c r="GV14" s="155"/>
      <c r="GW14" s="155"/>
      <c r="GX14" s="155"/>
      <c r="GY14" s="155"/>
      <c r="GZ14" s="155"/>
      <c r="HA14" s="155"/>
      <c r="HB14" s="155"/>
      <c r="HC14" s="155"/>
      <c r="HD14" s="155"/>
      <c r="HE14" s="155"/>
      <c r="HF14" s="155"/>
      <c r="HG14" s="155"/>
      <c r="HH14" s="155"/>
      <c r="HI14" s="155"/>
      <c r="HJ14" s="155"/>
      <c r="HK14" s="155"/>
      <c r="HL14" s="155"/>
      <c r="HM14" s="155"/>
      <c r="HN14" s="155"/>
      <c r="HO14" s="155"/>
      <c r="HP14" s="155"/>
      <c r="HQ14" s="155"/>
      <c r="HR14" s="155"/>
      <c r="HS14" s="155"/>
      <c r="HT14" s="155"/>
      <c r="HU14" s="155"/>
      <c r="HV14" s="155"/>
      <c r="HW14" s="155"/>
      <c r="HX14" s="155"/>
      <c r="HY14" s="155"/>
      <c r="HZ14" s="155"/>
      <c r="IA14" s="155"/>
      <c r="IB14" s="155"/>
      <c r="IC14" s="155"/>
      <c r="ID14" s="155"/>
      <c r="IE14" s="155"/>
      <c r="IF14" s="155"/>
      <c r="IG14" s="155"/>
      <c r="IH14" s="155"/>
      <c r="II14" s="155"/>
      <c r="IJ14" s="155"/>
      <c r="IK14" s="155"/>
      <c r="IL14" s="155"/>
      <c r="IM14" s="155"/>
      <c r="IN14" s="155"/>
      <c r="IO14" s="155"/>
      <c r="IP14" s="155"/>
      <c r="IQ14" s="155"/>
      <c r="IR14" s="155"/>
      <c r="IS14" s="155"/>
      <c r="IT14" s="155"/>
      <c r="IU14" s="155"/>
      <c r="IV14" s="155"/>
    </row>
    <row r="15" s="156" customFormat="true" ht="25.5" hidden="false" customHeight="true" outlineLevel="0" collapsed="false">
      <c r="A15" s="157" t="str">
        <f aca="false">IF(Eingabe!A44="","",Eingabe!A44)</f>
        <v/>
      </c>
      <c r="B15" s="157"/>
      <c r="C15" s="157"/>
      <c r="D15" s="157"/>
      <c r="E15" s="158" t="str">
        <f aca="false">IF(Eingabe!B44="","",Eingabe!B44)</f>
        <v/>
      </c>
      <c r="F15" s="158"/>
      <c r="G15" s="158"/>
      <c r="H15" s="158"/>
      <c r="I15" s="159" t="str">
        <f aca="false">IF(Eingabe!C44="","",Eingabe!C44)</f>
        <v/>
      </c>
      <c r="J15" s="159"/>
      <c r="K15" s="159"/>
      <c r="L15" s="159"/>
      <c r="M15" s="160" t="str">
        <f aca="false">IF(Eingabe!D44&amp;""&amp;Eingabe!E44="","",Eingabe!D44&amp;" 
"&amp;Eingabe!E44)</f>
        <v/>
      </c>
      <c r="N15" s="160"/>
      <c r="O15" s="160"/>
      <c r="P15" s="160"/>
      <c r="Q15" s="160"/>
      <c r="R15" s="160"/>
      <c r="S15" s="160"/>
      <c r="T15" s="160"/>
      <c r="U15" s="160"/>
      <c r="V15" s="160"/>
      <c r="W15" s="160"/>
      <c r="X15" s="160"/>
      <c r="Y15" s="160"/>
      <c r="Z15" s="160"/>
      <c r="AA15" s="160"/>
      <c r="AB15" s="160"/>
      <c r="AC15" s="160"/>
      <c r="AD15" s="160"/>
      <c r="AE15" s="160"/>
      <c r="AF15" s="160"/>
      <c r="AG15" s="159" t="str">
        <f aca="false">IF(Eingabe!F44&amp;""&amp;Eingabe!G44="","",Eingabe!F44&amp;" 
"&amp;Eingabe!G44)</f>
        <v/>
      </c>
      <c r="AH15" s="159"/>
      <c r="AI15" s="159"/>
      <c r="AJ15" s="159"/>
      <c r="AK15" s="159"/>
      <c r="AL15" s="159"/>
      <c r="AM15" s="159"/>
      <c r="AN15" s="159"/>
      <c r="AO15" s="159"/>
      <c r="AP15" s="159"/>
      <c r="AQ15" s="159"/>
      <c r="AR15" s="159"/>
      <c r="AS15" s="159"/>
      <c r="AT15" s="159"/>
      <c r="AU15" s="159"/>
      <c r="AV15" s="159"/>
      <c r="AW15" s="159"/>
      <c r="AX15" s="159" t="str">
        <f aca="false">IF(Eingabe!H44="","",Eingabe!H44)</f>
        <v/>
      </c>
      <c r="AY15" s="159"/>
      <c r="AZ15" s="159"/>
      <c r="BA15" s="159"/>
      <c r="BB15" s="161" t="str">
        <f aca="false">IF(Eingabe!K44="","",Eingabe!K44)</f>
        <v/>
      </c>
      <c r="BC15" s="161"/>
      <c r="BD15" s="161"/>
      <c r="BE15" s="161"/>
      <c r="BF15" s="161"/>
      <c r="BG15" s="161"/>
      <c r="BH15" s="161"/>
      <c r="BI15" s="161"/>
      <c r="BJ15" s="161"/>
      <c r="BK15" s="161"/>
      <c r="BL15" s="161"/>
      <c r="BM15" s="161"/>
      <c r="BN15" s="161"/>
      <c r="BO15" s="155"/>
      <c r="BP15" s="155"/>
      <c r="BQ15" s="155"/>
      <c r="BR15" s="155"/>
      <c r="BS15" s="155"/>
      <c r="BT15" s="155"/>
      <c r="BU15" s="155"/>
      <c r="BV15" s="155"/>
      <c r="BW15" s="155"/>
      <c r="BX15" s="155"/>
      <c r="BY15" s="155"/>
      <c r="BZ15" s="155"/>
      <c r="CA15" s="155"/>
      <c r="CB15" s="155"/>
      <c r="CC15" s="155"/>
      <c r="CD15" s="155"/>
      <c r="CE15" s="155"/>
      <c r="CF15" s="155"/>
      <c r="CG15" s="155"/>
      <c r="CH15" s="155"/>
      <c r="CI15" s="155"/>
      <c r="CJ15" s="155"/>
      <c r="CK15" s="155"/>
      <c r="CL15" s="155"/>
      <c r="CM15" s="155"/>
      <c r="CN15" s="155"/>
      <c r="CO15" s="155"/>
      <c r="CP15" s="155"/>
      <c r="CQ15" s="155"/>
      <c r="CR15" s="155"/>
      <c r="CS15" s="155"/>
      <c r="CT15" s="155"/>
      <c r="CU15" s="155"/>
      <c r="CV15" s="155"/>
      <c r="CW15" s="155"/>
      <c r="CX15" s="155"/>
      <c r="CY15" s="155"/>
      <c r="CZ15" s="155"/>
      <c r="DA15" s="155"/>
      <c r="DB15" s="155"/>
      <c r="DC15" s="155"/>
      <c r="DD15" s="155"/>
      <c r="DE15" s="155"/>
      <c r="DF15" s="155"/>
      <c r="DG15" s="155"/>
      <c r="DH15" s="155"/>
      <c r="DI15" s="155"/>
      <c r="DJ15" s="155"/>
      <c r="DK15" s="155"/>
      <c r="DL15" s="155"/>
      <c r="DM15" s="155"/>
      <c r="DN15" s="155"/>
      <c r="DO15" s="155"/>
      <c r="DP15" s="155"/>
      <c r="DQ15" s="155"/>
      <c r="DR15" s="155"/>
      <c r="DS15" s="155"/>
      <c r="DT15" s="155"/>
      <c r="DU15" s="155"/>
      <c r="DV15" s="155"/>
      <c r="DW15" s="155"/>
      <c r="DX15" s="155"/>
      <c r="DY15" s="155"/>
      <c r="DZ15" s="155"/>
      <c r="EA15" s="155"/>
      <c r="EB15" s="155"/>
      <c r="EC15" s="155"/>
      <c r="ED15" s="155"/>
      <c r="EE15" s="155"/>
      <c r="EF15" s="155"/>
      <c r="EG15" s="155"/>
      <c r="EH15" s="155"/>
      <c r="EI15" s="155"/>
      <c r="EJ15" s="155"/>
      <c r="EK15" s="155"/>
      <c r="EL15" s="155"/>
      <c r="EM15" s="155"/>
      <c r="EN15" s="155"/>
      <c r="EO15" s="155"/>
      <c r="EP15" s="155"/>
      <c r="EQ15" s="155"/>
      <c r="ER15" s="155"/>
      <c r="ES15" s="155"/>
      <c r="ET15" s="155"/>
      <c r="EU15" s="155"/>
      <c r="EV15" s="155"/>
      <c r="EW15" s="155"/>
      <c r="EX15" s="155"/>
      <c r="EY15" s="155"/>
      <c r="EZ15" s="155"/>
      <c r="FA15" s="155"/>
      <c r="FB15" s="155"/>
      <c r="FC15" s="155"/>
      <c r="FD15" s="155"/>
      <c r="FE15" s="155"/>
      <c r="FF15" s="155"/>
      <c r="FG15" s="155"/>
      <c r="FH15" s="155"/>
      <c r="FI15" s="155"/>
      <c r="FJ15" s="155"/>
      <c r="FK15" s="155"/>
      <c r="FL15" s="155"/>
      <c r="FM15" s="155"/>
      <c r="FN15" s="155"/>
      <c r="FO15" s="155"/>
      <c r="FP15" s="155"/>
      <c r="FQ15" s="155"/>
      <c r="FR15" s="155"/>
      <c r="FS15" s="155"/>
      <c r="FT15" s="155"/>
      <c r="FU15" s="155"/>
      <c r="FV15" s="155"/>
      <c r="FW15" s="155"/>
      <c r="FX15" s="155"/>
      <c r="FY15" s="155"/>
      <c r="FZ15" s="155"/>
      <c r="GA15" s="155"/>
      <c r="GB15" s="155"/>
      <c r="GC15" s="155"/>
      <c r="GD15" s="155"/>
      <c r="GE15" s="155"/>
      <c r="GF15" s="155"/>
      <c r="GG15" s="155"/>
      <c r="GH15" s="155"/>
      <c r="GI15" s="155"/>
      <c r="GJ15" s="155"/>
      <c r="GK15" s="155"/>
      <c r="GL15" s="155"/>
      <c r="GM15" s="155"/>
      <c r="GN15" s="155"/>
      <c r="GO15" s="155"/>
      <c r="GP15" s="155"/>
      <c r="GQ15" s="155"/>
      <c r="GR15" s="155"/>
      <c r="GS15" s="155"/>
      <c r="GT15" s="155"/>
      <c r="GU15" s="155"/>
      <c r="GV15" s="155"/>
      <c r="GW15" s="155"/>
      <c r="GX15" s="155"/>
      <c r="GY15" s="155"/>
      <c r="GZ15" s="155"/>
      <c r="HA15" s="155"/>
      <c r="HB15" s="155"/>
      <c r="HC15" s="155"/>
      <c r="HD15" s="155"/>
      <c r="HE15" s="155"/>
      <c r="HF15" s="155"/>
      <c r="HG15" s="155"/>
      <c r="HH15" s="155"/>
      <c r="HI15" s="155"/>
      <c r="HJ15" s="155"/>
      <c r="HK15" s="155"/>
      <c r="HL15" s="155"/>
      <c r="HM15" s="155"/>
      <c r="HN15" s="155"/>
      <c r="HO15" s="155"/>
      <c r="HP15" s="155"/>
      <c r="HQ15" s="155"/>
      <c r="HR15" s="155"/>
      <c r="HS15" s="155"/>
      <c r="HT15" s="155"/>
      <c r="HU15" s="155"/>
      <c r="HV15" s="155"/>
      <c r="HW15" s="155"/>
      <c r="HX15" s="155"/>
      <c r="HY15" s="155"/>
      <c r="HZ15" s="155"/>
      <c r="IA15" s="155"/>
      <c r="IB15" s="155"/>
      <c r="IC15" s="155"/>
      <c r="ID15" s="155"/>
      <c r="IE15" s="155"/>
      <c r="IF15" s="155"/>
      <c r="IG15" s="155"/>
      <c r="IH15" s="155"/>
      <c r="II15" s="155"/>
      <c r="IJ15" s="155"/>
      <c r="IK15" s="155"/>
      <c r="IL15" s="155"/>
      <c r="IM15" s="155"/>
      <c r="IN15" s="155"/>
      <c r="IO15" s="155"/>
      <c r="IP15" s="155"/>
      <c r="IQ15" s="155"/>
      <c r="IR15" s="155"/>
      <c r="IS15" s="155"/>
      <c r="IT15" s="155"/>
      <c r="IU15" s="155"/>
      <c r="IV15" s="155"/>
    </row>
    <row r="16" s="156" customFormat="true" ht="25.5" hidden="false" customHeight="true" outlineLevel="0" collapsed="false">
      <c r="A16" s="157" t="str">
        <f aca="false">IF(Eingabe!A45="","",Eingabe!A45)</f>
        <v/>
      </c>
      <c r="B16" s="157"/>
      <c r="C16" s="157"/>
      <c r="D16" s="157"/>
      <c r="E16" s="158" t="str">
        <f aca="false">IF(Eingabe!B45="","",Eingabe!B45)</f>
        <v/>
      </c>
      <c r="F16" s="158"/>
      <c r="G16" s="158"/>
      <c r="H16" s="158"/>
      <c r="I16" s="159" t="str">
        <f aca="false">IF(Eingabe!C45="","",Eingabe!C45)</f>
        <v/>
      </c>
      <c r="J16" s="159"/>
      <c r="K16" s="159"/>
      <c r="L16" s="159"/>
      <c r="M16" s="160" t="str">
        <f aca="false">IF(Eingabe!D45&amp;""&amp;Eingabe!E45="","",Eingabe!D45&amp;" 
"&amp;Eingabe!E45)</f>
        <v/>
      </c>
      <c r="N16" s="160"/>
      <c r="O16" s="160"/>
      <c r="P16" s="160"/>
      <c r="Q16" s="160"/>
      <c r="R16" s="160"/>
      <c r="S16" s="160"/>
      <c r="T16" s="160"/>
      <c r="U16" s="160"/>
      <c r="V16" s="160"/>
      <c r="W16" s="160"/>
      <c r="X16" s="160"/>
      <c r="Y16" s="160"/>
      <c r="Z16" s="160"/>
      <c r="AA16" s="160"/>
      <c r="AB16" s="160"/>
      <c r="AC16" s="160"/>
      <c r="AD16" s="160"/>
      <c r="AE16" s="160"/>
      <c r="AF16" s="160"/>
      <c r="AG16" s="159" t="str">
        <f aca="false">IF(Eingabe!F45&amp;""&amp;Eingabe!G45="","",Eingabe!F45&amp;" 
"&amp;Eingabe!G45)</f>
        <v/>
      </c>
      <c r="AH16" s="159"/>
      <c r="AI16" s="159"/>
      <c r="AJ16" s="159"/>
      <c r="AK16" s="159"/>
      <c r="AL16" s="159"/>
      <c r="AM16" s="159"/>
      <c r="AN16" s="159"/>
      <c r="AO16" s="159"/>
      <c r="AP16" s="159"/>
      <c r="AQ16" s="159"/>
      <c r="AR16" s="159"/>
      <c r="AS16" s="159"/>
      <c r="AT16" s="159"/>
      <c r="AU16" s="159"/>
      <c r="AV16" s="159"/>
      <c r="AW16" s="159"/>
      <c r="AX16" s="159" t="str">
        <f aca="false">IF(Eingabe!H45="","",Eingabe!H45)</f>
        <v/>
      </c>
      <c r="AY16" s="159"/>
      <c r="AZ16" s="159"/>
      <c r="BA16" s="159"/>
      <c r="BB16" s="161" t="str">
        <f aca="false">IF(Eingabe!K45="","",Eingabe!K45)</f>
        <v/>
      </c>
      <c r="BC16" s="161"/>
      <c r="BD16" s="161"/>
      <c r="BE16" s="161"/>
      <c r="BF16" s="161"/>
      <c r="BG16" s="161"/>
      <c r="BH16" s="161"/>
      <c r="BI16" s="161"/>
      <c r="BJ16" s="161"/>
      <c r="BK16" s="161"/>
      <c r="BL16" s="161"/>
      <c r="BM16" s="161"/>
      <c r="BN16" s="161"/>
      <c r="BO16" s="155"/>
      <c r="BP16" s="155"/>
      <c r="BQ16" s="155"/>
      <c r="BR16" s="155"/>
      <c r="BS16" s="155"/>
      <c r="BT16" s="155"/>
      <c r="BU16" s="155"/>
      <c r="BV16" s="155"/>
      <c r="BW16" s="155"/>
      <c r="BX16" s="155"/>
      <c r="BY16" s="155"/>
      <c r="BZ16" s="155"/>
      <c r="CA16" s="155"/>
      <c r="CB16" s="155"/>
      <c r="CC16" s="155"/>
      <c r="CD16" s="155"/>
      <c r="CE16" s="155"/>
      <c r="CF16" s="155"/>
      <c r="CG16" s="155"/>
      <c r="CH16" s="155"/>
      <c r="CI16" s="155"/>
      <c r="CJ16" s="155"/>
      <c r="CK16" s="155"/>
      <c r="CL16" s="155"/>
      <c r="CM16" s="155"/>
      <c r="CN16" s="155"/>
      <c r="CO16" s="155"/>
      <c r="CP16" s="155"/>
      <c r="CQ16" s="155"/>
      <c r="CR16" s="155"/>
      <c r="CS16" s="155"/>
      <c r="CT16" s="155"/>
      <c r="CU16" s="155"/>
      <c r="CV16" s="155"/>
      <c r="CW16" s="155"/>
      <c r="CX16" s="155"/>
      <c r="CY16" s="155"/>
      <c r="CZ16" s="155"/>
      <c r="DA16" s="155"/>
      <c r="DB16" s="155"/>
      <c r="DC16" s="155"/>
      <c r="DD16" s="155"/>
      <c r="DE16" s="155"/>
      <c r="DF16" s="155"/>
      <c r="DG16" s="155"/>
      <c r="DH16" s="155"/>
      <c r="DI16" s="155"/>
      <c r="DJ16" s="155"/>
      <c r="DK16" s="155"/>
      <c r="DL16" s="155"/>
      <c r="DM16" s="155"/>
      <c r="DN16" s="155"/>
      <c r="DO16" s="155"/>
      <c r="DP16" s="155"/>
      <c r="DQ16" s="155"/>
      <c r="DR16" s="155"/>
      <c r="DS16" s="155"/>
      <c r="DT16" s="155"/>
      <c r="DU16" s="155"/>
      <c r="DV16" s="155"/>
      <c r="DW16" s="155"/>
      <c r="DX16" s="155"/>
      <c r="DY16" s="155"/>
      <c r="DZ16" s="155"/>
      <c r="EA16" s="155"/>
      <c r="EB16" s="155"/>
      <c r="EC16" s="155"/>
      <c r="ED16" s="155"/>
      <c r="EE16" s="155"/>
      <c r="EF16" s="155"/>
      <c r="EG16" s="155"/>
      <c r="EH16" s="155"/>
      <c r="EI16" s="155"/>
      <c r="EJ16" s="155"/>
      <c r="EK16" s="155"/>
      <c r="EL16" s="155"/>
      <c r="EM16" s="155"/>
      <c r="EN16" s="155"/>
      <c r="EO16" s="155"/>
      <c r="EP16" s="155"/>
      <c r="EQ16" s="155"/>
      <c r="ER16" s="155"/>
      <c r="ES16" s="155"/>
      <c r="ET16" s="155"/>
      <c r="EU16" s="155"/>
      <c r="EV16" s="155"/>
      <c r="EW16" s="155"/>
      <c r="EX16" s="155"/>
      <c r="EY16" s="155"/>
      <c r="EZ16" s="155"/>
      <c r="FA16" s="155"/>
      <c r="FB16" s="155"/>
      <c r="FC16" s="155"/>
      <c r="FD16" s="155"/>
      <c r="FE16" s="155"/>
      <c r="FF16" s="155"/>
      <c r="FG16" s="155"/>
      <c r="FH16" s="155"/>
      <c r="FI16" s="155"/>
      <c r="FJ16" s="155"/>
      <c r="FK16" s="155"/>
      <c r="FL16" s="155"/>
      <c r="FM16" s="155"/>
      <c r="FN16" s="155"/>
      <c r="FO16" s="155"/>
      <c r="FP16" s="155"/>
      <c r="FQ16" s="155"/>
      <c r="FR16" s="155"/>
      <c r="FS16" s="155"/>
      <c r="FT16" s="155"/>
      <c r="FU16" s="155"/>
      <c r="FV16" s="155"/>
      <c r="FW16" s="155"/>
      <c r="FX16" s="155"/>
      <c r="FY16" s="155"/>
      <c r="FZ16" s="155"/>
      <c r="GA16" s="155"/>
      <c r="GB16" s="155"/>
      <c r="GC16" s="155"/>
      <c r="GD16" s="155"/>
      <c r="GE16" s="155"/>
      <c r="GF16" s="155"/>
      <c r="GG16" s="155"/>
      <c r="GH16" s="155"/>
      <c r="GI16" s="155"/>
      <c r="GJ16" s="155"/>
      <c r="GK16" s="155"/>
      <c r="GL16" s="155"/>
      <c r="GM16" s="155"/>
      <c r="GN16" s="155"/>
      <c r="GO16" s="155"/>
      <c r="GP16" s="155"/>
      <c r="GQ16" s="155"/>
      <c r="GR16" s="155"/>
      <c r="GS16" s="155"/>
      <c r="GT16" s="155"/>
      <c r="GU16" s="155"/>
      <c r="GV16" s="155"/>
      <c r="GW16" s="155"/>
      <c r="GX16" s="155"/>
      <c r="GY16" s="155"/>
      <c r="GZ16" s="155"/>
      <c r="HA16" s="155"/>
      <c r="HB16" s="155"/>
      <c r="HC16" s="155"/>
      <c r="HD16" s="155"/>
      <c r="HE16" s="155"/>
      <c r="HF16" s="155"/>
      <c r="HG16" s="155"/>
      <c r="HH16" s="155"/>
      <c r="HI16" s="155"/>
      <c r="HJ16" s="155"/>
      <c r="HK16" s="155"/>
      <c r="HL16" s="155"/>
      <c r="HM16" s="155"/>
      <c r="HN16" s="155"/>
      <c r="HO16" s="155"/>
      <c r="HP16" s="155"/>
      <c r="HQ16" s="155"/>
      <c r="HR16" s="155"/>
      <c r="HS16" s="155"/>
      <c r="HT16" s="155"/>
      <c r="HU16" s="155"/>
      <c r="HV16" s="155"/>
      <c r="HW16" s="155"/>
      <c r="HX16" s="155"/>
      <c r="HY16" s="155"/>
      <c r="HZ16" s="155"/>
      <c r="IA16" s="155"/>
      <c r="IB16" s="155"/>
      <c r="IC16" s="155"/>
      <c r="ID16" s="155"/>
      <c r="IE16" s="155"/>
      <c r="IF16" s="155"/>
      <c r="IG16" s="155"/>
      <c r="IH16" s="155"/>
      <c r="II16" s="155"/>
      <c r="IJ16" s="155"/>
      <c r="IK16" s="155"/>
      <c r="IL16" s="155"/>
      <c r="IM16" s="155"/>
      <c r="IN16" s="155"/>
      <c r="IO16" s="155"/>
      <c r="IP16" s="155"/>
      <c r="IQ16" s="155"/>
      <c r="IR16" s="155"/>
      <c r="IS16" s="155"/>
      <c r="IT16" s="155"/>
      <c r="IU16" s="155"/>
      <c r="IV16" s="155"/>
    </row>
    <row r="17" s="156" customFormat="true" ht="25.5" hidden="false" customHeight="true" outlineLevel="0" collapsed="false">
      <c r="A17" s="157" t="str">
        <f aca="false">IF(Eingabe!A46="","",Eingabe!A46)</f>
        <v/>
      </c>
      <c r="B17" s="157"/>
      <c r="C17" s="157"/>
      <c r="D17" s="157"/>
      <c r="E17" s="158" t="str">
        <f aca="false">IF(Eingabe!B46="","",Eingabe!B46)</f>
        <v/>
      </c>
      <c r="F17" s="158"/>
      <c r="G17" s="158"/>
      <c r="H17" s="158"/>
      <c r="I17" s="159" t="str">
        <f aca="false">IF(Eingabe!C46="","",Eingabe!C46)</f>
        <v/>
      </c>
      <c r="J17" s="159"/>
      <c r="K17" s="159"/>
      <c r="L17" s="159"/>
      <c r="M17" s="160" t="str">
        <f aca="false">IF(Eingabe!D46&amp;""&amp;Eingabe!E46="","",Eingabe!D46&amp;" 
"&amp;Eingabe!E46)</f>
        <v/>
      </c>
      <c r="N17" s="160"/>
      <c r="O17" s="160"/>
      <c r="P17" s="160"/>
      <c r="Q17" s="160"/>
      <c r="R17" s="160"/>
      <c r="S17" s="160"/>
      <c r="T17" s="160"/>
      <c r="U17" s="160"/>
      <c r="V17" s="160"/>
      <c r="W17" s="160"/>
      <c r="X17" s="160"/>
      <c r="Y17" s="160"/>
      <c r="Z17" s="160"/>
      <c r="AA17" s="160"/>
      <c r="AB17" s="160"/>
      <c r="AC17" s="160"/>
      <c r="AD17" s="160"/>
      <c r="AE17" s="160"/>
      <c r="AF17" s="160"/>
      <c r="AG17" s="159" t="str">
        <f aca="false">IF(Eingabe!F46&amp;""&amp;Eingabe!G46="","",Eingabe!F46&amp;" 
"&amp;Eingabe!G46)</f>
        <v/>
      </c>
      <c r="AH17" s="159"/>
      <c r="AI17" s="159"/>
      <c r="AJ17" s="159"/>
      <c r="AK17" s="159"/>
      <c r="AL17" s="159"/>
      <c r="AM17" s="159"/>
      <c r="AN17" s="159"/>
      <c r="AO17" s="159"/>
      <c r="AP17" s="159"/>
      <c r="AQ17" s="159"/>
      <c r="AR17" s="159"/>
      <c r="AS17" s="159"/>
      <c r="AT17" s="159"/>
      <c r="AU17" s="159"/>
      <c r="AV17" s="159"/>
      <c r="AW17" s="159"/>
      <c r="AX17" s="159" t="str">
        <f aca="false">IF(Eingabe!H46="","",Eingabe!H46)</f>
        <v/>
      </c>
      <c r="AY17" s="159"/>
      <c r="AZ17" s="159"/>
      <c r="BA17" s="159"/>
      <c r="BB17" s="161" t="str">
        <f aca="false">IF(Eingabe!K46="","",Eingabe!K46)</f>
        <v/>
      </c>
      <c r="BC17" s="161"/>
      <c r="BD17" s="161"/>
      <c r="BE17" s="161"/>
      <c r="BF17" s="161"/>
      <c r="BG17" s="161"/>
      <c r="BH17" s="161"/>
      <c r="BI17" s="161"/>
      <c r="BJ17" s="161"/>
      <c r="BK17" s="161"/>
      <c r="BL17" s="161"/>
      <c r="BM17" s="161"/>
      <c r="BN17" s="161"/>
      <c r="BO17" s="155"/>
      <c r="BP17" s="155"/>
      <c r="BQ17" s="155"/>
      <c r="BR17" s="155"/>
      <c r="BS17" s="155"/>
      <c r="BT17" s="155"/>
      <c r="BU17" s="155"/>
      <c r="BV17" s="155"/>
      <c r="BW17" s="155"/>
      <c r="BX17" s="155"/>
      <c r="BY17" s="155"/>
      <c r="BZ17" s="155"/>
      <c r="CA17" s="155"/>
      <c r="CB17" s="155"/>
      <c r="CC17" s="155"/>
      <c r="CD17" s="155"/>
      <c r="CE17" s="155"/>
      <c r="CF17" s="155"/>
      <c r="CG17" s="155"/>
      <c r="CH17" s="155"/>
      <c r="CI17" s="155"/>
      <c r="CJ17" s="155"/>
      <c r="CK17" s="155"/>
      <c r="CL17" s="155"/>
      <c r="CM17" s="155"/>
      <c r="CN17" s="155"/>
      <c r="CO17" s="155"/>
      <c r="CP17" s="155"/>
      <c r="CQ17" s="155"/>
      <c r="CR17" s="155"/>
      <c r="CS17" s="155"/>
      <c r="CT17" s="155"/>
      <c r="CU17" s="155"/>
      <c r="CV17" s="155"/>
      <c r="CW17" s="155"/>
      <c r="CX17" s="155"/>
      <c r="CY17" s="155"/>
      <c r="CZ17" s="155"/>
      <c r="DA17" s="155"/>
      <c r="DB17" s="155"/>
      <c r="DC17" s="155"/>
      <c r="DD17" s="155"/>
      <c r="DE17" s="155"/>
      <c r="DF17" s="155"/>
      <c r="DG17" s="155"/>
      <c r="DH17" s="155"/>
      <c r="DI17" s="155"/>
      <c r="DJ17" s="155"/>
      <c r="DK17" s="155"/>
      <c r="DL17" s="155"/>
      <c r="DM17" s="155"/>
      <c r="DN17" s="155"/>
      <c r="DO17" s="155"/>
      <c r="DP17" s="155"/>
      <c r="DQ17" s="155"/>
      <c r="DR17" s="155"/>
      <c r="DS17" s="155"/>
      <c r="DT17" s="155"/>
      <c r="DU17" s="155"/>
      <c r="DV17" s="155"/>
      <c r="DW17" s="155"/>
      <c r="DX17" s="155"/>
      <c r="DY17" s="155"/>
      <c r="DZ17" s="155"/>
      <c r="EA17" s="155"/>
      <c r="EB17" s="155"/>
      <c r="EC17" s="155"/>
      <c r="ED17" s="155"/>
      <c r="EE17" s="155"/>
      <c r="EF17" s="155"/>
      <c r="EG17" s="155"/>
      <c r="EH17" s="155"/>
      <c r="EI17" s="155"/>
      <c r="EJ17" s="155"/>
      <c r="EK17" s="155"/>
      <c r="EL17" s="155"/>
      <c r="EM17" s="155"/>
      <c r="EN17" s="155"/>
      <c r="EO17" s="155"/>
      <c r="EP17" s="155"/>
      <c r="EQ17" s="155"/>
      <c r="ER17" s="155"/>
      <c r="ES17" s="155"/>
      <c r="ET17" s="155"/>
      <c r="EU17" s="155"/>
      <c r="EV17" s="155"/>
      <c r="EW17" s="155"/>
      <c r="EX17" s="155"/>
      <c r="EY17" s="155"/>
      <c r="EZ17" s="155"/>
      <c r="FA17" s="155"/>
      <c r="FB17" s="155"/>
      <c r="FC17" s="155"/>
      <c r="FD17" s="155"/>
      <c r="FE17" s="155"/>
      <c r="FF17" s="155"/>
      <c r="FG17" s="155"/>
      <c r="FH17" s="155"/>
      <c r="FI17" s="155"/>
      <c r="FJ17" s="155"/>
      <c r="FK17" s="155"/>
      <c r="FL17" s="155"/>
      <c r="FM17" s="155"/>
      <c r="FN17" s="155"/>
      <c r="FO17" s="155"/>
      <c r="FP17" s="155"/>
      <c r="FQ17" s="155"/>
      <c r="FR17" s="155"/>
      <c r="FS17" s="155"/>
      <c r="FT17" s="155"/>
      <c r="FU17" s="155"/>
      <c r="FV17" s="155"/>
      <c r="FW17" s="155"/>
      <c r="FX17" s="155"/>
      <c r="FY17" s="155"/>
      <c r="FZ17" s="155"/>
      <c r="GA17" s="155"/>
      <c r="GB17" s="155"/>
      <c r="GC17" s="155"/>
      <c r="GD17" s="155"/>
      <c r="GE17" s="155"/>
      <c r="GF17" s="155"/>
      <c r="GG17" s="155"/>
      <c r="GH17" s="155"/>
      <c r="GI17" s="155"/>
      <c r="GJ17" s="155"/>
      <c r="GK17" s="155"/>
      <c r="GL17" s="155"/>
      <c r="GM17" s="155"/>
      <c r="GN17" s="155"/>
      <c r="GO17" s="155"/>
      <c r="GP17" s="155"/>
      <c r="GQ17" s="155"/>
      <c r="GR17" s="155"/>
      <c r="GS17" s="155"/>
      <c r="GT17" s="155"/>
      <c r="GU17" s="155"/>
      <c r="GV17" s="155"/>
      <c r="GW17" s="155"/>
      <c r="GX17" s="155"/>
      <c r="GY17" s="155"/>
      <c r="GZ17" s="155"/>
      <c r="HA17" s="155"/>
      <c r="HB17" s="155"/>
      <c r="HC17" s="155"/>
      <c r="HD17" s="155"/>
      <c r="HE17" s="155"/>
      <c r="HF17" s="155"/>
      <c r="HG17" s="155"/>
      <c r="HH17" s="155"/>
      <c r="HI17" s="155"/>
      <c r="HJ17" s="155"/>
      <c r="HK17" s="155"/>
      <c r="HL17" s="155"/>
      <c r="HM17" s="155"/>
      <c r="HN17" s="155"/>
      <c r="HO17" s="155"/>
      <c r="HP17" s="155"/>
      <c r="HQ17" s="155"/>
      <c r="HR17" s="155"/>
      <c r="HS17" s="155"/>
      <c r="HT17" s="155"/>
      <c r="HU17" s="155"/>
      <c r="HV17" s="155"/>
      <c r="HW17" s="155"/>
      <c r="HX17" s="155"/>
      <c r="HY17" s="155"/>
      <c r="HZ17" s="155"/>
      <c r="IA17" s="155"/>
      <c r="IB17" s="155"/>
      <c r="IC17" s="155"/>
      <c r="ID17" s="155"/>
      <c r="IE17" s="155"/>
      <c r="IF17" s="155"/>
      <c r="IG17" s="155"/>
      <c r="IH17" s="155"/>
      <c r="II17" s="155"/>
      <c r="IJ17" s="155"/>
      <c r="IK17" s="155"/>
      <c r="IL17" s="155"/>
      <c r="IM17" s="155"/>
      <c r="IN17" s="155"/>
      <c r="IO17" s="155"/>
      <c r="IP17" s="155"/>
      <c r="IQ17" s="155"/>
      <c r="IR17" s="155"/>
      <c r="IS17" s="155"/>
      <c r="IT17" s="155"/>
      <c r="IU17" s="155"/>
      <c r="IV17" s="155"/>
    </row>
    <row r="18" s="156" customFormat="true" ht="25.5" hidden="false" customHeight="true" outlineLevel="0" collapsed="false">
      <c r="A18" s="157" t="str">
        <f aca="false">IF(Eingabe!A47="","",Eingabe!A47)</f>
        <v/>
      </c>
      <c r="B18" s="157"/>
      <c r="C18" s="157"/>
      <c r="D18" s="157"/>
      <c r="E18" s="158" t="str">
        <f aca="false">IF(Eingabe!B47="","",Eingabe!B47)</f>
        <v/>
      </c>
      <c r="F18" s="158"/>
      <c r="G18" s="158"/>
      <c r="H18" s="158"/>
      <c r="I18" s="159" t="str">
        <f aca="false">IF(Eingabe!C47="","",Eingabe!C47)</f>
        <v/>
      </c>
      <c r="J18" s="159"/>
      <c r="K18" s="159"/>
      <c r="L18" s="159"/>
      <c r="M18" s="160" t="str">
        <f aca="false">IF(Eingabe!D47&amp;""&amp;Eingabe!E47="","",Eingabe!D47&amp;" 
"&amp;Eingabe!E47)</f>
        <v/>
      </c>
      <c r="N18" s="160"/>
      <c r="O18" s="160"/>
      <c r="P18" s="160"/>
      <c r="Q18" s="160"/>
      <c r="R18" s="160"/>
      <c r="S18" s="160"/>
      <c r="T18" s="160"/>
      <c r="U18" s="160"/>
      <c r="V18" s="160"/>
      <c r="W18" s="160"/>
      <c r="X18" s="160"/>
      <c r="Y18" s="160"/>
      <c r="Z18" s="160"/>
      <c r="AA18" s="160"/>
      <c r="AB18" s="160"/>
      <c r="AC18" s="160"/>
      <c r="AD18" s="160"/>
      <c r="AE18" s="160"/>
      <c r="AF18" s="160"/>
      <c r="AG18" s="159" t="str">
        <f aca="false">IF(Eingabe!F47&amp;""&amp;Eingabe!G47="","",Eingabe!F47&amp;" 
"&amp;Eingabe!G47)</f>
        <v/>
      </c>
      <c r="AH18" s="159"/>
      <c r="AI18" s="159"/>
      <c r="AJ18" s="159"/>
      <c r="AK18" s="159"/>
      <c r="AL18" s="159"/>
      <c r="AM18" s="159"/>
      <c r="AN18" s="159"/>
      <c r="AO18" s="159"/>
      <c r="AP18" s="159"/>
      <c r="AQ18" s="159"/>
      <c r="AR18" s="159"/>
      <c r="AS18" s="159"/>
      <c r="AT18" s="159"/>
      <c r="AU18" s="159"/>
      <c r="AV18" s="159"/>
      <c r="AW18" s="159"/>
      <c r="AX18" s="159" t="str">
        <f aca="false">IF(Eingabe!H47="","",Eingabe!H47)</f>
        <v/>
      </c>
      <c r="AY18" s="159"/>
      <c r="AZ18" s="159"/>
      <c r="BA18" s="159"/>
      <c r="BB18" s="161" t="str">
        <f aca="false">IF(Eingabe!K47="","",Eingabe!K47)</f>
        <v/>
      </c>
      <c r="BC18" s="161"/>
      <c r="BD18" s="161"/>
      <c r="BE18" s="161"/>
      <c r="BF18" s="161"/>
      <c r="BG18" s="161"/>
      <c r="BH18" s="161"/>
      <c r="BI18" s="161"/>
      <c r="BJ18" s="161"/>
      <c r="BK18" s="161"/>
      <c r="BL18" s="161"/>
      <c r="BM18" s="161"/>
      <c r="BN18" s="161"/>
      <c r="BO18" s="155"/>
      <c r="BP18" s="155"/>
      <c r="BQ18" s="155"/>
      <c r="BR18" s="155"/>
      <c r="BS18" s="155"/>
      <c r="BT18" s="155"/>
      <c r="BU18" s="155"/>
      <c r="BV18" s="155"/>
      <c r="BW18" s="155"/>
      <c r="BX18" s="155"/>
      <c r="BY18" s="155"/>
      <c r="BZ18" s="155"/>
      <c r="CA18" s="155"/>
      <c r="CB18" s="155"/>
      <c r="CC18" s="155"/>
      <c r="CD18" s="155"/>
      <c r="CE18" s="155"/>
      <c r="CF18" s="155"/>
      <c r="CG18" s="155"/>
      <c r="CH18" s="155"/>
      <c r="CI18" s="155"/>
      <c r="CJ18" s="155"/>
      <c r="CK18" s="155"/>
      <c r="CL18" s="155"/>
      <c r="CM18" s="155"/>
      <c r="CN18" s="155"/>
      <c r="CO18" s="155"/>
      <c r="CP18" s="155"/>
      <c r="CQ18" s="155"/>
      <c r="CR18" s="155"/>
      <c r="CS18" s="155"/>
      <c r="CT18" s="155"/>
      <c r="CU18" s="155"/>
      <c r="CV18" s="155"/>
      <c r="CW18" s="155"/>
      <c r="CX18" s="155"/>
      <c r="CY18" s="155"/>
      <c r="CZ18" s="155"/>
      <c r="DA18" s="155"/>
      <c r="DB18" s="155"/>
      <c r="DC18" s="155"/>
      <c r="DD18" s="155"/>
      <c r="DE18" s="155"/>
      <c r="DF18" s="155"/>
      <c r="DG18" s="155"/>
      <c r="DH18" s="155"/>
      <c r="DI18" s="155"/>
      <c r="DJ18" s="155"/>
      <c r="DK18" s="155"/>
      <c r="DL18" s="155"/>
      <c r="DM18" s="155"/>
      <c r="DN18" s="155"/>
      <c r="DO18" s="155"/>
      <c r="DP18" s="155"/>
      <c r="DQ18" s="155"/>
      <c r="DR18" s="155"/>
      <c r="DS18" s="155"/>
      <c r="DT18" s="155"/>
      <c r="DU18" s="155"/>
      <c r="DV18" s="155"/>
      <c r="DW18" s="155"/>
      <c r="DX18" s="155"/>
      <c r="DY18" s="155"/>
      <c r="DZ18" s="155"/>
      <c r="EA18" s="155"/>
      <c r="EB18" s="155"/>
      <c r="EC18" s="155"/>
      <c r="ED18" s="155"/>
      <c r="EE18" s="155"/>
      <c r="EF18" s="155"/>
      <c r="EG18" s="155"/>
      <c r="EH18" s="155"/>
      <c r="EI18" s="155"/>
      <c r="EJ18" s="155"/>
      <c r="EK18" s="155"/>
      <c r="EL18" s="155"/>
      <c r="EM18" s="155"/>
      <c r="EN18" s="155"/>
      <c r="EO18" s="155"/>
      <c r="EP18" s="155"/>
      <c r="EQ18" s="155"/>
      <c r="ER18" s="155"/>
      <c r="ES18" s="155"/>
      <c r="ET18" s="155"/>
      <c r="EU18" s="155"/>
      <c r="EV18" s="155"/>
      <c r="EW18" s="155"/>
      <c r="EX18" s="155"/>
      <c r="EY18" s="155"/>
      <c r="EZ18" s="155"/>
      <c r="FA18" s="155"/>
      <c r="FB18" s="155"/>
      <c r="FC18" s="155"/>
      <c r="FD18" s="155"/>
      <c r="FE18" s="155"/>
      <c r="FF18" s="155"/>
      <c r="FG18" s="155"/>
      <c r="FH18" s="155"/>
      <c r="FI18" s="155"/>
      <c r="FJ18" s="155"/>
      <c r="FK18" s="155"/>
      <c r="FL18" s="155"/>
      <c r="FM18" s="155"/>
      <c r="FN18" s="155"/>
      <c r="FO18" s="155"/>
      <c r="FP18" s="155"/>
      <c r="FQ18" s="155"/>
      <c r="FR18" s="155"/>
      <c r="FS18" s="155"/>
      <c r="FT18" s="155"/>
      <c r="FU18" s="155"/>
      <c r="FV18" s="155"/>
      <c r="FW18" s="155"/>
      <c r="FX18" s="155"/>
      <c r="FY18" s="155"/>
      <c r="FZ18" s="155"/>
      <c r="GA18" s="155"/>
      <c r="GB18" s="155"/>
      <c r="GC18" s="155"/>
      <c r="GD18" s="155"/>
      <c r="GE18" s="155"/>
      <c r="GF18" s="155"/>
      <c r="GG18" s="155"/>
      <c r="GH18" s="155"/>
      <c r="GI18" s="155"/>
      <c r="GJ18" s="155"/>
      <c r="GK18" s="155"/>
      <c r="GL18" s="155"/>
      <c r="GM18" s="155"/>
      <c r="GN18" s="155"/>
      <c r="GO18" s="155"/>
      <c r="GP18" s="155"/>
      <c r="GQ18" s="155"/>
      <c r="GR18" s="155"/>
      <c r="GS18" s="155"/>
      <c r="GT18" s="155"/>
      <c r="GU18" s="155"/>
      <c r="GV18" s="155"/>
      <c r="GW18" s="155"/>
      <c r="GX18" s="155"/>
      <c r="GY18" s="155"/>
      <c r="GZ18" s="155"/>
      <c r="HA18" s="155"/>
      <c r="HB18" s="155"/>
      <c r="HC18" s="155"/>
      <c r="HD18" s="155"/>
      <c r="HE18" s="155"/>
      <c r="HF18" s="155"/>
      <c r="HG18" s="155"/>
      <c r="HH18" s="155"/>
      <c r="HI18" s="155"/>
      <c r="HJ18" s="155"/>
      <c r="HK18" s="155"/>
      <c r="HL18" s="155"/>
      <c r="HM18" s="155"/>
      <c r="HN18" s="155"/>
      <c r="HO18" s="155"/>
      <c r="HP18" s="155"/>
      <c r="HQ18" s="155"/>
      <c r="HR18" s="155"/>
      <c r="HS18" s="155"/>
      <c r="HT18" s="155"/>
      <c r="HU18" s="155"/>
      <c r="HV18" s="155"/>
      <c r="HW18" s="155"/>
      <c r="HX18" s="155"/>
      <c r="HY18" s="155"/>
      <c r="HZ18" s="155"/>
      <c r="IA18" s="155"/>
      <c r="IB18" s="155"/>
      <c r="IC18" s="155"/>
      <c r="ID18" s="155"/>
      <c r="IE18" s="155"/>
      <c r="IF18" s="155"/>
      <c r="IG18" s="155"/>
      <c r="IH18" s="155"/>
      <c r="II18" s="155"/>
      <c r="IJ18" s="155"/>
      <c r="IK18" s="155"/>
      <c r="IL18" s="155"/>
      <c r="IM18" s="155"/>
      <c r="IN18" s="155"/>
      <c r="IO18" s="155"/>
      <c r="IP18" s="155"/>
      <c r="IQ18" s="155"/>
      <c r="IR18" s="155"/>
      <c r="IS18" s="155"/>
      <c r="IT18" s="155"/>
      <c r="IU18" s="155"/>
      <c r="IV18" s="155"/>
    </row>
    <row r="19" s="156" customFormat="true" ht="25.5" hidden="false" customHeight="true" outlineLevel="0" collapsed="false">
      <c r="A19" s="157" t="str">
        <f aca="false">IF(Eingabe!A48="","",Eingabe!A48)</f>
        <v/>
      </c>
      <c r="B19" s="157"/>
      <c r="C19" s="157"/>
      <c r="D19" s="157"/>
      <c r="E19" s="158" t="str">
        <f aca="false">IF(Eingabe!B48="","",Eingabe!B48)</f>
        <v/>
      </c>
      <c r="F19" s="158"/>
      <c r="G19" s="158"/>
      <c r="H19" s="158"/>
      <c r="I19" s="159" t="str">
        <f aca="false">IF(Eingabe!C48="","",Eingabe!C48)</f>
        <v/>
      </c>
      <c r="J19" s="159"/>
      <c r="K19" s="159"/>
      <c r="L19" s="159"/>
      <c r="M19" s="160" t="str">
        <f aca="false">IF(Eingabe!D48&amp;""&amp;Eingabe!E48="","",Eingabe!D48&amp;" 
"&amp;Eingabe!E48)</f>
        <v/>
      </c>
      <c r="N19" s="160"/>
      <c r="O19" s="160"/>
      <c r="P19" s="160"/>
      <c r="Q19" s="160"/>
      <c r="R19" s="160"/>
      <c r="S19" s="160"/>
      <c r="T19" s="160"/>
      <c r="U19" s="160"/>
      <c r="V19" s="160"/>
      <c r="W19" s="160"/>
      <c r="X19" s="160"/>
      <c r="Y19" s="160"/>
      <c r="Z19" s="160"/>
      <c r="AA19" s="160"/>
      <c r="AB19" s="160"/>
      <c r="AC19" s="160"/>
      <c r="AD19" s="160"/>
      <c r="AE19" s="160"/>
      <c r="AF19" s="160"/>
      <c r="AG19" s="159" t="str">
        <f aca="false">IF(Eingabe!F48&amp;""&amp;Eingabe!G48="","",Eingabe!F48&amp;" 
"&amp;Eingabe!G48)</f>
        <v/>
      </c>
      <c r="AH19" s="159"/>
      <c r="AI19" s="159"/>
      <c r="AJ19" s="159"/>
      <c r="AK19" s="159"/>
      <c r="AL19" s="159"/>
      <c r="AM19" s="159"/>
      <c r="AN19" s="159"/>
      <c r="AO19" s="159"/>
      <c r="AP19" s="159"/>
      <c r="AQ19" s="159"/>
      <c r="AR19" s="159"/>
      <c r="AS19" s="159"/>
      <c r="AT19" s="159"/>
      <c r="AU19" s="159"/>
      <c r="AV19" s="159"/>
      <c r="AW19" s="159"/>
      <c r="AX19" s="159" t="str">
        <f aca="false">IF(Eingabe!H48="","",Eingabe!H48)</f>
        <v/>
      </c>
      <c r="AY19" s="159"/>
      <c r="AZ19" s="159"/>
      <c r="BA19" s="159"/>
      <c r="BB19" s="161" t="str">
        <f aca="false">IF(Eingabe!K48="","",Eingabe!K48)</f>
        <v/>
      </c>
      <c r="BC19" s="161"/>
      <c r="BD19" s="161"/>
      <c r="BE19" s="161"/>
      <c r="BF19" s="161"/>
      <c r="BG19" s="161"/>
      <c r="BH19" s="161"/>
      <c r="BI19" s="161"/>
      <c r="BJ19" s="161"/>
      <c r="BK19" s="161"/>
      <c r="BL19" s="161"/>
      <c r="BM19" s="161"/>
      <c r="BN19" s="161"/>
      <c r="BO19" s="155"/>
      <c r="BP19" s="155"/>
      <c r="BQ19" s="155"/>
      <c r="BR19" s="155"/>
      <c r="BS19" s="155"/>
      <c r="BT19" s="155"/>
      <c r="BU19" s="155"/>
      <c r="BV19" s="155"/>
      <c r="BW19" s="155"/>
      <c r="BX19" s="155"/>
      <c r="BY19" s="155"/>
      <c r="BZ19" s="155"/>
      <c r="CA19" s="155"/>
      <c r="CB19" s="155"/>
      <c r="CC19" s="155"/>
      <c r="CD19" s="155"/>
      <c r="CE19" s="155"/>
      <c r="CF19" s="155"/>
      <c r="CG19" s="155"/>
      <c r="CH19" s="155"/>
      <c r="CI19" s="155"/>
      <c r="CJ19" s="155"/>
      <c r="CK19" s="155"/>
      <c r="CL19" s="155"/>
      <c r="CM19" s="155"/>
      <c r="CN19" s="155"/>
      <c r="CO19" s="155"/>
      <c r="CP19" s="155"/>
      <c r="CQ19" s="155"/>
      <c r="CR19" s="155"/>
      <c r="CS19" s="155"/>
      <c r="CT19" s="155"/>
      <c r="CU19" s="155"/>
      <c r="CV19" s="155"/>
      <c r="CW19" s="155"/>
      <c r="CX19" s="155"/>
      <c r="CY19" s="155"/>
      <c r="CZ19" s="155"/>
      <c r="DA19" s="155"/>
      <c r="DB19" s="155"/>
      <c r="DC19" s="155"/>
      <c r="DD19" s="155"/>
      <c r="DE19" s="155"/>
      <c r="DF19" s="155"/>
      <c r="DG19" s="155"/>
      <c r="DH19" s="155"/>
      <c r="DI19" s="155"/>
      <c r="DJ19" s="155"/>
      <c r="DK19" s="155"/>
      <c r="DL19" s="155"/>
      <c r="DM19" s="155"/>
      <c r="DN19" s="155"/>
      <c r="DO19" s="155"/>
      <c r="DP19" s="155"/>
      <c r="DQ19" s="155"/>
      <c r="DR19" s="155"/>
      <c r="DS19" s="155"/>
      <c r="DT19" s="155"/>
      <c r="DU19" s="155"/>
      <c r="DV19" s="155"/>
      <c r="DW19" s="155"/>
      <c r="DX19" s="155"/>
      <c r="DY19" s="155"/>
      <c r="DZ19" s="155"/>
      <c r="EA19" s="155"/>
      <c r="EB19" s="155"/>
      <c r="EC19" s="155"/>
      <c r="ED19" s="155"/>
      <c r="EE19" s="155"/>
      <c r="EF19" s="155"/>
      <c r="EG19" s="155"/>
      <c r="EH19" s="155"/>
      <c r="EI19" s="155"/>
      <c r="EJ19" s="155"/>
      <c r="EK19" s="155"/>
      <c r="EL19" s="155"/>
      <c r="EM19" s="155"/>
      <c r="EN19" s="155"/>
      <c r="EO19" s="155"/>
      <c r="EP19" s="155"/>
      <c r="EQ19" s="155"/>
      <c r="ER19" s="155"/>
      <c r="ES19" s="155"/>
      <c r="ET19" s="155"/>
      <c r="EU19" s="155"/>
      <c r="EV19" s="155"/>
      <c r="EW19" s="155"/>
      <c r="EX19" s="155"/>
      <c r="EY19" s="155"/>
      <c r="EZ19" s="155"/>
      <c r="FA19" s="155"/>
      <c r="FB19" s="155"/>
      <c r="FC19" s="155"/>
      <c r="FD19" s="155"/>
      <c r="FE19" s="155"/>
      <c r="FF19" s="155"/>
      <c r="FG19" s="155"/>
      <c r="FH19" s="155"/>
      <c r="FI19" s="155"/>
      <c r="FJ19" s="155"/>
      <c r="FK19" s="155"/>
      <c r="FL19" s="155"/>
      <c r="FM19" s="155"/>
      <c r="FN19" s="155"/>
      <c r="FO19" s="155"/>
      <c r="FP19" s="155"/>
      <c r="FQ19" s="155"/>
      <c r="FR19" s="155"/>
      <c r="FS19" s="155"/>
      <c r="FT19" s="155"/>
      <c r="FU19" s="155"/>
      <c r="FV19" s="155"/>
      <c r="FW19" s="155"/>
      <c r="FX19" s="155"/>
      <c r="FY19" s="155"/>
      <c r="FZ19" s="155"/>
      <c r="GA19" s="155"/>
      <c r="GB19" s="155"/>
      <c r="GC19" s="155"/>
      <c r="GD19" s="155"/>
      <c r="GE19" s="155"/>
      <c r="GF19" s="155"/>
      <c r="GG19" s="155"/>
      <c r="GH19" s="155"/>
      <c r="GI19" s="155"/>
      <c r="GJ19" s="155"/>
      <c r="GK19" s="155"/>
      <c r="GL19" s="155"/>
      <c r="GM19" s="155"/>
      <c r="GN19" s="155"/>
      <c r="GO19" s="155"/>
      <c r="GP19" s="155"/>
      <c r="GQ19" s="155"/>
      <c r="GR19" s="155"/>
      <c r="GS19" s="155"/>
      <c r="GT19" s="155"/>
      <c r="GU19" s="155"/>
      <c r="GV19" s="155"/>
      <c r="GW19" s="155"/>
      <c r="GX19" s="155"/>
      <c r="GY19" s="155"/>
      <c r="GZ19" s="155"/>
      <c r="HA19" s="155"/>
      <c r="HB19" s="155"/>
      <c r="HC19" s="155"/>
      <c r="HD19" s="155"/>
      <c r="HE19" s="155"/>
      <c r="HF19" s="155"/>
      <c r="HG19" s="155"/>
      <c r="HH19" s="155"/>
      <c r="HI19" s="155"/>
      <c r="HJ19" s="155"/>
      <c r="HK19" s="155"/>
      <c r="HL19" s="155"/>
      <c r="HM19" s="155"/>
      <c r="HN19" s="155"/>
      <c r="HO19" s="155"/>
      <c r="HP19" s="155"/>
      <c r="HQ19" s="155"/>
      <c r="HR19" s="155"/>
      <c r="HS19" s="155"/>
      <c r="HT19" s="155"/>
      <c r="HU19" s="155"/>
      <c r="HV19" s="155"/>
      <c r="HW19" s="155"/>
      <c r="HX19" s="155"/>
      <c r="HY19" s="155"/>
      <c r="HZ19" s="155"/>
      <c r="IA19" s="155"/>
      <c r="IB19" s="155"/>
      <c r="IC19" s="155"/>
      <c r="ID19" s="155"/>
      <c r="IE19" s="155"/>
      <c r="IF19" s="155"/>
      <c r="IG19" s="155"/>
      <c r="IH19" s="155"/>
      <c r="II19" s="155"/>
      <c r="IJ19" s="155"/>
      <c r="IK19" s="155"/>
      <c r="IL19" s="155"/>
      <c r="IM19" s="155"/>
      <c r="IN19" s="155"/>
      <c r="IO19" s="155"/>
      <c r="IP19" s="155"/>
      <c r="IQ19" s="155"/>
      <c r="IR19" s="155"/>
      <c r="IS19" s="155"/>
      <c r="IT19" s="155"/>
      <c r="IU19" s="155"/>
      <c r="IV19" s="155"/>
    </row>
    <row r="20" s="156" customFormat="true" ht="25.5" hidden="false" customHeight="true" outlineLevel="0" collapsed="false">
      <c r="A20" s="157" t="str">
        <f aca="false">IF(Eingabe!A49="","",Eingabe!A49)</f>
        <v/>
      </c>
      <c r="B20" s="157"/>
      <c r="C20" s="157"/>
      <c r="D20" s="157"/>
      <c r="E20" s="158" t="str">
        <f aca="false">IF(Eingabe!B49="","",Eingabe!B49)</f>
        <v/>
      </c>
      <c r="F20" s="158"/>
      <c r="G20" s="158"/>
      <c r="H20" s="158"/>
      <c r="I20" s="159" t="str">
        <f aca="false">IF(Eingabe!C49="","",Eingabe!C49)</f>
        <v/>
      </c>
      <c r="J20" s="159"/>
      <c r="K20" s="159"/>
      <c r="L20" s="159"/>
      <c r="M20" s="160" t="str">
        <f aca="false">IF(Eingabe!D49&amp;""&amp;Eingabe!E49="","",Eingabe!D49&amp;" 
"&amp;Eingabe!E49)</f>
        <v/>
      </c>
      <c r="N20" s="160"/>
      <c r="O20" s="160"/>
      <c r="P20" s="160"/>
      <c r="Q20" s="160"/>
      <c r="R20" s="160"/>
      <c r="S20" s="160"/>
      <c r="T20" s="160"/>
      <c r="U20" s="160"/>
      <c r="V20" s="160"/>
      <c r="W20" s="160"/>
      <c r="X20" s="160"/>
      <c r="Y20" s="160"/>
      <c r="Z20" s="160"/>
      <c r="AA20" s="160"/>
      <c r="AB20" s="160"/>
      <c r="AC20" s="160"/>
      <c r="AD20" s="160"/>
      <c r="AE20" s="160"/>
      <c r="AF20" s="160"/>
      <c r="AG20" s="159" t="str">
        <f aca="false">IF(Eingabe!F49&amp;""&amp;Eingabe!G49="","",Eingabe!F49&amp;" 
"&amp;Eingabe!G49)</f>
        <v/>
      </c>
      <c r="AH20" s="159"/>
      <c r="AI20" s="159"/>
      <c r="AJ20" s="159"/>
      <c r="AK20" s="159"/>
      <c r="AL20" s="159"/>
      <c r="AM20" s="159"/>
      <c r="AN20" s="159"/>
      <c r="AO20" s="159"/>
      <c r="AP20" s="159"/>
      <c r="AQ20" s="159"/>
      <c r="AR20" s="159"/>
      <c r="AS20" s="159"/>
      <c r="AT20" s="159"/>
      <c r="AU20" s="159"/>
      <c r="AV20" s="159"/>
      <c r="AW20" s="159"/>
      <c r="AX20" s="159" t="str">
        <f aca="false">IF(Eingabe!H49="","",Eingabe!H49)</f>
        <v/>
      </c>
      <c r="AY20" s="159"/>
      <c r="AZ20" s="159"/>
      <c r="BA20" s="159"/>
      <c r="BB20" s="161" t="str">
        <f aca="false">IF(Eingabe!K49="","",Eingabe!K49)</f>
        <v/>
      </c>
      <c r="BC20" s="161"/>
      <c r="BD20" s="161"/>
      <c r="BE20" s="161"/>
      <c r="BF20" s="161"/>
      <c r="BG20" s="161"/>
      <c r="BH20" s="161"/>
      <c r="BI20" s="161"/>
      <c r="BJ20" s="161"/>
      <c r="BK20" s="161"/>
      <c r="BL20" s="161"/>
      <c r="BM20" s="161"/>
      <c r="BN20" s="161"/>
      <c r="BO20" s="155"/>
      <c r="BP20" s="155"/>
      <c r="BQ20" s="155"/>
      <c r="BR20" s="155"/>
      <c r="BS20" s="155"/>
      <c r="BT20" s="155"/>
      <c r="BU20" s="155"/>
      <c r="BV20" s="155"/>
      <c r="BW20" s="155"/>
      <c r="BX20" s="155"/>
      <c r="BY20" s="155"/>
      <c r="BZ20" s="155"/>
      <c r="CA20" s="155"/>
      <c r="CB20" s="155"/>
      <c r="CC20" s="155"/>
      <c r="CD20" s="155"/>
      <c r="CE20" s="155"/>
      <c r="CF20" s="155"/>
      <c r="CG20" s="155"/>
      <c r="CH20" s="155"/>
      <c r="CI20" s="155"/>
      <c r="CJ20" s="155"/>
      <c r="CK20" s="155"/>
      <c r="CL20" s="155"/>
      <c r="CM20" s="155"/>
      <c r="CN20" s="155"/>
      <c r="CO20" s="155"/>
      <c r="CP20" s="155"/>
      <c r="CQ20" s="155"/>
      <c r="CR20" s="155"/>
      <c r="CS20" s="155"/>
      <c r="CT20" s="155"/>
      <c r="CU20" s="155"/>
      <c r="CV20" s="155"/>
      <c r="CW20" s="155"/>
      <c r="CX20" s="155"/>
      <c r="CY20" s="155"/>
      <c r="CZ20" s="155"/>
      <c r="DA20" s="155"/>
      <c r="DB20" s="155"/>
      <c r="DC20" s="155"/>
      <c r="DD20" s="155"/>
      <c r="DE20" s="155"/>
      <c r="DF20" s="155"/>
      <c r="DG20" s="155"/>
      <c r="DH20" s="155"/>
      <c r="DI20" s="155"/>
      <c r="DJ20" s="155"/>
      <c r="DK20" s="155"/>
      <c r="DL20" s="155"/>
      <c r="DM20" s="155"/>
      <c r="DN20" s="155"/>
      <c r="DO20" s="155"/>
      <c r="DP20" s="155"/>
      <c r="DQ20" s="155"/>
      <c r="DR20" s="155"/>
      <c r="DS20" s="155"/>
      <c r="DT20" s="155"/>
      <c r="DU20" s="155"/>
      <c r="DV20" s="155"/>
      <c r="DW20" s="155"/>
      <c r="DX20" s="155"/>
      <c r="DY20" s="155"/>
      <c r="DZ20" s="155"/>
      <c r="EA20" s="155"/>
      <c r="EB20" s="155"/>
      <c r="EC20" s="155"/>
      <c r="ED20" s="155"/>
      <c r="EE20" s="155"/>
      <c r="EF20" s="155"/>
      <c r="EG20" s="155"/>
      <c r="EH20" s="155"/>
      <c r="EI20" s="155"/>
      <c r="EJ20" s="155"/>
      <c r="EK20" s="155"/>
      <c r="EL20" s="155"/>
      <c r="EM20" s="155"/>
      <c r="EN20" s="155"/>
      <c r="EO20" s="155"/>
      <c r="EP20" s="155"/>
      <c r="EQ20" s="155"/>
      <c r="ER20" s="155"/>
      <c r="ES20" s="155"/>
      <c r="ET20" s="155"/>
      <c r="EU20" s="155"/>
      <c r="EV20" s="155"/>
      <c r="EW20" s="155"/>
      <c r="EX20" s="155"/>
      <c r="EY20" s="155"/>
      <c r="EZ20" s="155"/>
      <c r="FA20" s="155"/>
      <c r="FB20" s="155"/>
      <c r="FC20" s="155"/>
      <c r="FD20" s="155"/>
      <c r="FE20" s="155"/>
      <c r="FF20" s="155"/>
      <c r="FG20" s="155"/>
      <c r="FH20" s="155"/>
      <c r="FI20" s="155"/>
      <c r="FJ20" s="155"/>
      <c r="FK20" s="155"/>
      <c r="FL20" s="155"/>
      <c r="FM20" s="155"/>
      <c r="FN20" s="155"/>
      <c r="FO20" s="155"/>
      <c r="FP20" s="155"/>
      <c r="FQ20" s="155"/>
      <c r="FR20" s="155"/>
      <c r="FS20" s="155"/>
      <c r="FT20" s="155"/>
      <c r="FU20" s="155"/>
      <c r="FV20" s="155"/>
      <c r="FW20" s="155"/>
      <c r="FX20" s="155"/>
      <c r="FY20" s="155"/>
      <c r="FZ20" s="155"/>
      <c r="GA20" s="155"/>
      <c r="GB20" s="155"/>
      <c r="GC20" s="155"/>
      <c r="GD20" s="155"/>
      <c r="GE20" s="155"/>
      <c r="GF20" s="155"/>
      <c r="GG20" s="155"/>
      <c r="GH20" s="155"/>
      <c r="GI20" s="155"/>
      <c r="GJ20" s="155"/>
      <c r="GK20" s="155"/>
      <c r="GL20" s="155"/>
      <c r="GM20" s="155"/>
      <c r="GN20" s="155"/>
      <c r="GO20" s="155"/>
      <c r="GP20" s="155"/>
      <c r="GQ20" s="155"/>
      <c r="GR20" s="155"/>
      <c r="GS20" s="155"/>
      <c r="GT20" s="155"/>
      <c r="GU20" s="155"/>
      <c r="GV20" s="155"/>
      <c r="GW20" s="155"/>
      <c r="GX20" s="155"/>
      <c r="GY20" s="155"/>
      <c r="GZ20" s="155"/>
      <c r="HA20" s="155"/>
      <c r="HB20" s="155"/>
      <c r="HC20" s="155"/>
      <c r="HD20" s="155"/>
      <c r="HE20" s="155"/>
      <c r="HF20" s="155"/>
      <c r="HG20" s="155"/>
      <c r="HH20" s="155"/>
      <c r="HI20" s="155"/>
      <c r="HJ20" s="155"/>
      <c r="HK20" s="155"/>
      <c r="HL20" s="155"/>
      <c r="HM20" s="155"/>
      <c r="HN20" s="155"/>
      <c r="HO20" s="155"/>
      <c r="HP20" s="155"/>
      <c r="HQ20" s="155"/>
      <c r="HR20" s="155"/>
      <c r="HS20" s="155"/>
      <c r="HT20" s="155"/>
      <c r="HU20" s="155"/>
      <c r="HV20" s="155"/>
      <c r="HW20" s="155"/>
      <c r="HX20" s="155"/>
      <c r="HY20" s="155"/>
      <c r="HZ20" s="155"/>
      <c r="IA20" s="155"/>
      <c r="IB20" s="155"/>
      <c r="IC20" s="155"/>
      <c r="ID20" s="155"/>
      <c r="IE20" s="155"/>
      <c r="IF20" s="155"/>
      <c r="IG20" s="155"/>
      <c r="IH20" s="155"/>
      <c r="II20" s="155"/>
      <c r="IJ20" s="155"/>
      <c r="IK20" s="155"/>
      <c r="IL20" s="155"/>
      <c r="IM20" s="155"/>
      <c r="IN20" s="155"/>
      <c r="IO20" s="155"/>
      <c r="IP20" s="155"/>
      <c r="IQ20" s="155"/>
      <c r="IR20" s="155"/>
      <c r="IS20" s="155"/>
      <c r="IT20" s="155"/>
      <c r="IU20" s="155"/>
      <c r="IV20" s="155"/>
    </row>
    <row r="21" s="156" customFormat="true" ht="25.5" hidden="false" customHeight="true" outlineLevel="0" collapsed="false">
      <c r="A21" s="157" t="str">
        <f aca="false">IF(Eingabe!A50="","",Eingabe!A50)</f>
        <v/>
      </c>
      <c r="B21" s="157"/>
      <c r="C21" s="157"/>
      <c r="D21" s="157"/>
      <c r="E21" s="158" t="str">
        <f aca="false">IF(Eingabe!B50="","",Eingabe!B50)</f>
        <v/>
      </c>
      <c r="F21" s="158"/>
      <c r="G21" s="158"/>
      <c r="H21" s="158"/>
      <c r="I21" s="159" t="str">
        <f aca="false">IF(Eingabe!C50="","",Eingabe!C50)</f>
        <v/>
      </c>
      <c r="J21" s="159"/>
      <c r="K21" s="159"/>
      <c r="L21" s="159"/>
      <c r="M21" s="160" t="str">
        <f aca="false">IF(Eingabe!D50&amp;""&amp;Eingabe!E50="","",Eingabe!D50&amp;" 
"&amp;Eingabe!E50)</f>
        <v/>
      </c>
      <c r="N21" s="160"/>
      <c r="O21" s="160"/>
      <c r="P21" s="160"/>
      <c r="Q21" s="160"/>
      <c r="R21" s="160"/>
      <c r="S21" s="160"/>
      <c r="T21" s="160"/>
      <c r="U21" s="160"/>
      <c r="V21" s="160"/>
      <c r="W21" s="160"/>
      <c r="X21" s="160"/>
      <c r="Y21" s="160"/>
      <c r="Z21" s="160"/>
      <c r="AA21" s="160"/>
      <c r="AB21" s="160"/>
      <c r="AC21" s="160"/>
      <c r="AD21" s="160"/>
      <c r="AE21" s="160"/>
      <c r="AF21" s="160"/>
      <c r="AG21" s="159" t="str">
        <f aca="false">IF(Eingabe!F50&amp;""&amp;Eingabe!G50="","",Eingabe!F50&amp;" 
"&amp;Eingabe!G50)</f>
        <v/>
      </c>
      <c r="AH21" s="159"/>
      <c r="AI21" s="159"/>
      <c r="AJ21" s="159"/>
      <c r="AK21" s="159"/>
      <c r="AL21" s="159"/>
      <c r="AM21" s="159"/>
      <c r="AN21" s="159"/>
      <c r="AO21" s="159"/>
      <c r="AP21" s="159"/>
      <c r="AQ21" s="159"/>
      <c r="AR21" s="159"/>
      <c r="AS21" s="159"/>
      <c r="AT21" s="159"/>
      <c r="AU21" s="159"/>
      <c r="AV21" s="159"/>
      <c r="AW21" s="159"/>
      <c r="AX21" s="159" t="str">
        <f aca="false">IF(Eingabe!H50="","",Eingabe!H50)</f>
        <v/>
      </c>
      <c r="AY21" s="159"/>
      <c r="AZ21" s="159"/>
      <c r="BA21" s="159"/>
      <c r="BB21" s="161" t="str">
        <f aca="false">IF(Eingabe!K50="","",Eingabe!K50)</f>
        <v/>
      </c>
      <c r="BC21" s="161"/>
      <c r="BD21" s="161"/>
      <c r="BE21" s="161"/>
      <c r="BF21" s="161"/>
      <c r="BG21" s="161"/>
      <c r="BH21" s="161"/>
      <c r="BI21" s="161"/>
      <c r="BJ21" s="161"/>
      <c r="BK21" s="161"/>
      <c r="BL21" s="161"/>
      <c r="BM21" s="161"/>
      <c r="BN21" s="161"/>
      <c r="BO21" s="155"/>
      <c r="BP21" s="155"/>
      <c r="BQ21" s="155"/>
      <c r="BR21" s="155"/>
      <c r="BS21" s="155"/>
      <c r="BT21" s="155"/>
      <c r="BU21" s="155"/>
      <c r="BV21" s="155"/>
      <c r="BW21" s="155"/>
      <c r="BX21" s="155"/>
      <c r="BY21" s="155"/>
      <c r="BZ21" s="155"/>
      <c r="CA21" s="155"/>
      <c r="CB21" s="155"/>
      <c r="CC21" s="155"/>
      <c r="CD21" s="155"/>
      <c r="CE21" s="155"/>
      <c r="CF21" s="155"/>
      <c r="CG21" s="155"/>
      <c r="CH21" s="155"/>
      <c r="CI21" s="155"/>
      <c r="CJ21" s="155"/>
      <c r="CK21" s="155"/>
      <c r="CL21" s="155"/>
      <c r="CM21" s="155"/>
      <c r="CN21" s="155"/>
      <c r="CO21" s="155"/>
      <c r="CP21" s="155"/>
      <c r="CQ21" s="155"/>
      <c r="CR21" s="155"/>
      <c r="CS21" s="155"/>
      <c r="CT21" s="155"/>
      <c r="CU21" s="155"/>
      <c r="CV21" s="155"/>
      <c r="CW21" s="155"/>
      <c r="CX21" s="155"/>
      <c r="CY21" s="155"/>
      <c r="CZ21" s="155"/>
      <c r="DA21" s="155"/>
      <c r="DB21" s="155"/>
      <c r="DC21" s="155"/>
      <c r="DD21" s="155"/>
      <c r="DE21" s="155"/>
      <c r="DF21" s="155"/>
      <c r="DG21" s="155"/>
      <c r="DH21" s="155"/>
      <c r="DI21" s="155"/>
      <c r="DJ21" s="155"/>
      <c r="DK21" s="155"/>
      <c r="DL21" s="155"/>
      <c r="DM21" s="155"/>
      <c r="DN21" s="155"/>
      <c r="DO21" s="155"/>
      <c r="DP21" s="155"/>
      <c r="DQ21" s="155"/>
      <c r="DR21" s="155"/>
      <c r="DS21" s="155"/>
      <c r="DT21" s="155"/>
      <c r="DU21" s="155"/>
      <c r="DV21" s="155"/>
      <c r="DW21" s="155"/>
      <c r="DX21" s="155"/>
      <c r="DY21" s="155"/>
      <c r="DZ21" s="155"/>
      <c r="EA21" s="155"/>
      <c r="EB21" s="155"/>
      <c r="EC21" s="155"/>
      <c r="ED21" s="155"/>
      <c r="EE21" s="155"/>
      <c r="EF21" s="155"/>
      <c r="EG21" s="155"/>
      <c r="EH21" s="155"/>
      <c r="EI21" s="155"/>
      <c r="EJ21" s="155"/>
      <c r="EK21" s="155"/>
      <c r="EL21" s="155"/>
      <c r="EM21" s="155"/>
      <c r="EN21" s="155"/>
      <c r="EO21" s="155"/>
      <c r="EP21" s="155"/>
      <c r="EQ21" s="155"/>
      <c r="ER21" s="155"/>
      <c r="ES21" s="155"/>
      <c r="ET21" s="155"/>
      <c r="EU21" s="155"/>
      <c r="EV21" s="155"/>
      <c r="EW21" s="155"/>
      <c r="EX21" s="155"/>
      <c r="EY21" s="155"/>
      <c r="EZ21" s="155"/>
      <c r="FA21" s="155"/>
      <c r="FB21" s="155"/>
      <c r="FC21" s="155"/>
      <c r="FD21" s="155"/>
      <c r="FE21" s="155"/>
      <c r="FF21" s="155"/>
      <c r="FG21" s="155"/>
      <c r="FH21" s="155"/>
      <c r="FI21" s="155"/>
      <c r="FJ21" s="155"/>
      <c r="FK21" s="155"/>
      <c r="FL21" s="155"/>
      <c r="FM21" s="155"/>
      <c r="FN21" s="155"/>
      <c r="FO21" s="155"/>
      <c r="FP21" s="155"/>
      <c r="FQ21" s="155"/>
      <c r="FR21" s="155"/>
      <c r="FS21" s="155"/>
      <c r="FT21" s="155"/>
      <c r="FU21" s="155"/>
      <c r="FV21" s="155"/>
      <c r="FW21" s="155"/>
      <c r="FX21" s="155"/>
      <c r="FY21" s="155"/>
      <c r="FZ21" s="155"/>
      <c r="GA21" s="155"/>
      <c r="GB21" s="155"/>
      <c r="GC21" s="155"/>
      <c r="GD21" s="155"/>
      <c r="GE21" s="155"/>
      <c r="GF21" s="155"/>
      <c r="GG21" s="155"/>
      <c r="GH21" s="155"/>
      <c r="GI21" s="155"/>
      <c r="GJ21" s="155"/>
      <c r="GK21" s="155"/>
      <c r="GL21" s="155"/>
      <c r="GM21" s="155"/>
      <c r="GN21" s="155"/>
      <c r="GO21" s="155"/>
      <c r="GP21" s="155"/>
      <c r="GQ21" s="155"/>
      <c r="GR21" s="155"/>
      <c r="GS21" s="155"/>
      <c r="GT21" s="155"/>
      <c r="GU21" s="155"/>
      <c r="GV21" s="155"/>
      <c r="GW21" s="155"/>
      <c r="GX21" s="155"/>
      <c r="GY21" s="155"/>
      <c r="GZ21" s="155"/>
      <c r="HA21" s="155"/>
      <c r="HB21" s="155"/>
      <c r="HC21" s="155"/>
      <c r="HD21" s="155"/>
      <c r="HE21" s="155"/>
      <c r="HF21" s="155"/>
      <c r="HG21" s="155"/>
      <c r="HH21" s="155"/>
      <c r="HI21" s="155"/>
      <c r="HJ21" s="155"/>
      <c r="HK21" s="155"/>
      <c r="HL21" s="155"/>
      <c r="HM21" s="155"/>
      <c r="HN21" s="155"/>
      <c r="HO21" s="155"/>
      <c r="HP21" s="155"/>
      <c r="HQ21" s="155"/>
      <c r="HR21" s="155"/>
      <c r="HS21" s="155"/>
      <c r="HT21" s="155"/>
      <c r="HU21" s="155"/>
      <c r="HV21" s="155"/>
      <c r="HW21" s="155"/>
      <c r="HX21" s="155"/>
      <c r="HY21" s="155"/>
      <c r="HZ21" s="155"/>
      <c r="IA21" s="155"/>
      <c r="IB21" s="155"/>
      <c r="IC21" s="155"/>
      <c r="ID21" s="155"/>
      <c r="IE21" s="155"/>
      <c r="IF21" s="155"/>
      <c r="IG21" s="155"/>
      <c r="IH21" s="155"/>
      <c r="II21" s="155"/>
      <c r="IJ21" s="155"/>
      <c r="IK21" s="155"/>
      <c r="IL21" s="155"/>
      <c r="IM21" s="155"/>
      <c r="IN21" s="155"/>
      <c r="IO21" s="155"/>
      <c r="IP21" s="155"/>
      <c r="IQ21" s="155"/>
      <c r="IR21" s="155"/>
      <c r="IS21" s="155"/>
      <c r="IT21" s="155"/>
      <c r="IU21" s="155"/>
      <c r="IV21" s="155"/>
    </row>
    <row r="22" s="156" customFormat="true" ht="25.5" hidden="false" customHeight="true" outlineLevel="0" collapsed="false">
      <c r="A22" s="157" t="str">
        <f aca="false">IF(Eingabe!A51="","",Eingabe!A51)</f>
        <v/>
      </c>
      <c r="B22" s="157"/>
      <c r="C22" s="157"/>
      <c r="D22" s="157"/>
      <c r="E22" s="158" t="str">
        <f aca="false">IF(Eingabe!B51="","",Eingabe!B51)</f>
        <v/>
      </c>
      <c r="F22" s="158"/>
      <c r="G22" s="158"/>
      <c r="H22" s="158"/>
      <c r="I22" s="159" t="str">
        <f aca="false">IF(Eingabe!C51="","",Eingabe!C51)</f>
        <v/>
      </c>
      <c r="J22" s="159"/>
      <c r="K22" s="159"/>
      <c r="L22" s="159"/>
      <c r="M22" s="160" t="str">
        <f aca="false">IF(Eingabe!D51&amp;""&amp;Eingabe!E51="","",Eingabe!D51&amp;" 
"&amp;Eingabe!E51)</f>
        <v/>
      </c>
      <c r="N22" s="160"/>
      <c r="O22" s="160"/>
      <c r="P22" s="160"/>
      <c r="Q22" s="160"/>
      <c r="R22" s="160"/>
      <c r="S22" s="160"/>
      <c r="T22" s="160"/>
      <c r="U22" s="160"/>
      <c r="V22" s="160"/>
      <c r="W22" s="160"/>
      <c r="X22" s="160"/>
      <c r="Y22" s="160"/>
      <c r="Z22" s="160"/>
      <c r="AA22" s="160"/>
      <c r="AB22" s="160"/>
      <c r="AC22" s="160"/>
      <c r="AD22" s="160"/>
      <c r="AE22" s="160"/>
      <c r="AF22" s="160"/>
      <c r="AG22" s="159" t="str">
        <f aca="false">IF(Eingabe!F51&amp;""&amp;Eingabe!G51="","",Eingabe!F51&amp;" 
"&amp;Eingabe!G51)</f>
        <v/>
      </c>
      <c r="AH22" s="159"/>
      <c r="AI22" s="159"/>
      <c r="AJ22" s="159"/>
      <c r="AK22" s="159"/>
      <c r="AL22" s="159"/>
      <c r="AM22" s="159"/>
      <c r="AN22" s="159"/>
      <c r="AO22" s="159"/>
      <c r="AP22" s="159"/>
      <c r="AQ22" s="159"/>
      <c r="AR22" s="159"/>
      <c r="AS22" s="159"/>
      <c r="AT22" s="159"/>
      <c r="AU22" s="159"/>
      <c r="AV22" s="159"/>
      <c r="AW22" s="159"/>
      <c r="AX22" s="159" t="str">
        <f aca="false">IF(Eingabe!H51="","",Eingabe!H51)</f>
        <v/>
      </c>
      <c r="AY22" s="159"/>
      <c r="AZ22" s="159"/>
      <c r="BA22" s="159"/>
      <c r="BB22" s="161" t="str">
        <f aca="false">IF(Eingabe!K51="","",Eingabe!K51)</f>
        <v/>
      </c>
      <c r="BC22" s="161"/>
      <c r="BD22" s="161"/>
      <c r="BE22" s="161"/>
      <c r="BF22" s="161"/>
      <c r="BG22" s="161"/>
      <c r="BH22" s="161"/>
      <c r="BI22" s="161"/>
      <c r="BJ22" s="161"/>
      <c r="BK22" s="161"/>
      <c r="BL22" s="161"/>
      <c r="BM22" s="161"/>
      <c r="BN22" s="161"/>
      <c r="BO22" s="155"/>
      <c r="BP22" s="155"/>
      <c r="BQ22" s="155"/>
      <c r="BR22" s="155"/>
      <c r="BS22" s="155"/>
      <c r="BT22" s="155"/>
      <c r="BU22" s="155"/>
      <c r="BV22" s="155"/>
      <c r="BW22" s="155"/>
      <c r="BX22" s="155"/>
      <c r="BY22" s="155"/>
      <c r="BZ22" s="155"/>
      <c r="CA22" s="155"/>
      <c r="CB22" s="155"/>
      <c r="CC22" s="155"/>
      <c r="CD22" s="155"/>
      <c r="CE22" s="155"/>
      <c r="CF22" s="155"/>
      <c r="CG22" s="155"/>
      <c r="CH22" s="155"/>
      <c r="CI22" s="155"/>
      <c r="CJ22" s="155"/>
      <c r="CK22" s="155"/>
      <c r="CL22" s="155"/>
      <c r="CM22" s="155"/>
      <c r="CN22" s="155"/>
      <c r="CO22" s="155"/>
      <c r="CP22" s="155"/>
      <c r="CQ22" s="155"/>
      <c r="CR22" s="155"/>
      <c r="CS22" s="155"/>
      <c r="CT22" s="155"/>
      <c r="CU22" s="155"/>
      <c r="CV22" s="155"/>
      <c r="CW22" s="155"/>
      <c r="CX22" s="155"/>
      <c r="CY22" s="155"/>
      <c r="CZ22" s="155"/>
      <c r="DA22" s="155"/>
      <c r="DB22" s="155"/>
      <c r="DC22" s="155"/>
      <c r="DD22" s="155"/>
      <c r="DE22" s="155"/>
      <c r="DF22" s="155"/>
      <c r="DG22" s="155"/>
      <c r="DH22" s="155"/>
      <c r="DI22" s="155"/>
      <c r="DJ22" s="155"/>
      <c r="DK22" s="155"/>
      <c r="DL22" s="155"/>
      <c r="DM22" s="155"/>
      <c r="DN22" s="155"/>
      <c r="DO22" s="155"/>
      <c r="DP22" s="155"/>
      <c r="DQ22" s="155"/>
      <c r="DR22" s="155"/>
      <c r="DS22" s="155"/>
      <c r="DT22" s="155"/>
      <c r="DU22" s="155"/>
      <c r="DV22" s="155"/>
      <c r="DW22" s="155"/>
      <c r="DX22" s="155"/>
      <c r="DY22" s="155"/>
      <c r="DZ22" s="155"/>
      <c r="EA22" s="155"/>
      <c r="EB22" s="155"/>
      <c r="EC22" s="155"/>
      <c r="ED22" s="155"/>
      <c r="EE22" s="155"/>
      <c r="EF22" s="155"/>
      <c r="EG22" s="155"/>
      <c r="EH22" s="155"/>
      <c r="EI22" s="155"/>
      <c r="EJ22" s="155"/>
      <c r="EK22" s="155"/>
      <c r="EL22" s="155"/>
      <c r="EM22" s="155"/>
      <c r="EN22" s="155"/>
      <c r="EO22" s="155"/>
      <c r="EP22" s="155"/>
      <c r="EQ22" s="155"/>
      <c r="ER22" s="155"/>
      <c r="ES22" s="155"/>
      <c r="ET22" s="155"/>
      <c r="EU22" s="155"/>
      <c r="EV22" s="155"/>
      <c r="EW22" s="155"/>
      <c r="EX22" s="155"/>
      <c r="EY22" s="155"/>
      <c r="EZ22" s="155"/>
      <c r="FA22" s="155"/>
      <c r="FB22" s="155"/>
      <c r="FC22" s="155"/>
      <c r="FD22" s="155"/>
      <c r="FE22" s="155"/>
      <c r="FF22" s="155"/>
      <c r="FG22" s="155"/>
      <c r="FH22" s="155"/>
      <c r="FI22" s="155"/>
      <c r="FJ22" s="155"/>
      <c r="FK22" s="155"/>
      <c r="FL22" s="155"/>
      <c r="FM22" s="155"/>
      <c r="FN22" s="155"/>
      <c r="FO22" s="155"/>
      <c r="FP22" s="155"/>
      <c r="FQ22" s="155"/>
      <c r="FR22" s="155"/>
      <c r="FS22" s="155"/>
      <c r="FT22" s="155"/>
      <c r="FU22" s="155"/>
      <c r="FV22" s="155"/>
      <c r="FW22" s="155"/>
      <c r="FX22" s="155"/>
      <c r="FY22" s="155"/>
      <c r="FZ22" s="155"/>
      <c r="GA22" s="155"/>
      <c r="GB22" s="155"/>
      <c r="GC22" s="155"/>
      <c r="GD22" s="155"/>
      <c r="GE22" s="155"/>
      <c r="GF22" s="155"/>
      <c r="GG22" s="155"/>
      <c r="GH22" s="155"/>
      <c r="GI22" s="155"/>
      <c r="GJ22" s="155"/>
      <c r="GK22" s="155"/>
      <c r="GL22" s="155"/>
      <c r="GM22" s="155"/>
      <c r="GN22" s="155"/>
      <c r="GO22" s="155"/>
      <c r="GP22" s="155"/>
      <c r="GQ22" s="155"/>
      <c r="GR22" s="155"/>
      <c r="GS22" s="155"/>
      <c r="GT22" s="155"/>
      <c r="GU22" s="155"/>
      <c r="GV22" s="155"/>
      <c r="GW22" s="155"/>
      <c r="GX22" s="155"/>
      <c r="GY22" s="155"/>
      <c r="GZ22" s="155"/>
      <c r="HA22" s="155"/>
      <c r="HB22" s="155"/>
      <c r="HC22" s="155"/>
      <c r="HD22" s="155"/>
      <c r="HE22" s="155"/>
      <c r="HF22" s="155"/>
      <c r="HG22" s="155"/>
      <c r="HH22" s="155"/>
      <c r="HI22" s="155"/>
      <c r="HJ22" s="155"/>
      <c r="HK22" s="155"/>
      <c r="HL22" s="155"/>
      <c r="HM22" s="155"/>
      <c r="HN22" s="155"/>
      <c r="HO22" s="155"/>
      <c r="HP22" s="155"/>
      <c r="HQ22" s="155"/>
      <c r="HR22" s="155"/>
      <c r="HS22" s="155"/>
      <c r="HT22" s="155"/>
      <c r="HU22" s="155"/>
      <c r="HV22" s="155"/>
      <c r="HW22" s="155"/>
      <c r="HX22" s="155"/>
      <c r="HY22" s="155"/>
      <c r="HZ22" s="155"/>
      <c r="IA22" s="155"/>
      <c r="IB22" s="155"/>
      <c r="IC22" s="155"/>
      <c r="ID22" s="155"/>
      <c r="IE22" s="155"/>
      <c r="IF22" s="155"/>
      <c r="IG22" s="155"/>
      <c r="IH22" s="155"/>
      <c r="II22" s="155"/>
      <c r="IJ22" s="155"/>
      <c r="IK22" s="155"/>
      <c r="IL22" s="155"/>
      <c r="IM22" s="155"/>
      <c r="IN22" s="155"/>
      <c r="IO22" s="155"/>
      <c r="IP22" s="155"/>
      <c r="IQ22" s="155"/>
      <c r="IR22" s="155"/>
      <c r="IS22" s="155"/>
      <c r="IT22" s="155"/>
      <c r="IU22" s="155"/>
      <c r="IV22" s="155"/>
    </row>
    <row r="23" s="156" customFormat="true" ht="25.5" hidden="false" customHeight="true" outlineLevel="0" collapsed="false">
      <c r="A23" s="157" t="str">
        <f aca="false">IF(Eingabe!A52="","",Eingabe!A52)</f>
        <v/>
      </c>
      <c r="B23" s="157"/>
      <c r="C23" s="157"/>
      <c r="D23" s="157"/>
      <c r="E23" s="158" t="str">
        <f aca="false">IF(Eingabe!B52="","",Eingabe!B52)</f>
        <v/>
      </c>
      <c r="F23" s="158"/>
      <c r="G23" s="158"/>
      <c r="H23" s="158"/>
      <c r="I23" s="159" t="str">
        <f aca="false">IF(Eingabe!C52="","",Eingabe!C52)</f>
        <v/>
      </c>
      <c r="J23" s="159"/>
      <c r="K23" s="159"/>
      <c r="L23" s="159"/>
      <c r="M23" s="160" t="str">
        <f aca="false">IF(Eingabe!D52&amp;""&amp;Eingabe!E52="","",Eingabe!D52&amp;" 
"&amp;Eingabe!E52)</f>
        <v/>
      </c>
      <c r="N23" s="160"/>
      <c r="O23" s="160"/>
      <c r="P23" s="160"/>
      <c r="Q23" s="160"/>
      <c r="R23" s="160"/>
      <c r="S23" s="160"/>
      <c r="T23" s="160"/>
      <c r="U23" s="160"/>
      <c r="V23" s="160"/>
      <c r="W23" s="160"/>
      <c r="X23" s="160"/>
      <c r="Y23" s="160"/>
      <c r="Z23" s="160"/>
      <c r="AA23" s="160"/>
      <c r="AB23" s="160"/>
      <c r="AC23" s="160"/>
      <c r="AD23" s="160"/>
      <c r="AE23" s="160"/>
      <c r="AF23" s="160"/>
      <c r="AG23" s="159" t="str">
        <f aca="false">IF(Eingabe!F52&amp;""&amp;Eingabe!G52="","",Eingabe!F52&amp;" 
"&amp;Eingabe!G52)</f>
        <v/>
      </c>
      <c r="AH23" s="159"/>
      <c r="AI23" s="159"/>
      <c r="AJ23" s="159"/>
      <c r="AK23" s="159"/>
      <c r="AL23" s="159"/>
      <c r="AM23" s="159"/>
      <c r="AN23" s="159"/>
      <c r="AO23" s="159"/>
      <c r="AP23" s="159"/>
      <c r="AQ23" s="159"/>
      <c r="AR23" s="159"/>
      <c r="AS23" s="159"/>
      <c r="AT23" s="159"/>
      <c r="AU23" s="159"/>
      <c r="AV23" s="159"/>
      <c r="AW23" s="159"/>
      <c r="AX23" s="159" t="str">
        <f aca="false">IF(Eingabe!H52="","",Eingabe!H52)</f>
        <v/>
      </c>
      <c r="AY23" s="159"/>
      <c r="AZ23" s="159"/>
      <c r="BA23" s="159"/>
      <c r="BB23" s="161" t="str">
        <f aca="false">IF(Eingabe!K52="","",Eingabe!K52)</f>
        <v/>
      </c>
      <c r="BC23" s="161"/>
      <c r="BD23" s="161"/>
      <c r="BE23" s="161"/>
      <c r="BF23" s="161"/>
      <c r="BG23" s="161"/>
      <c r="BH23" s="161"/>
      <c r="BI23" s="161"/>
      <c r="BJ23" s="161"/>
      <c r="BK23" s="161"/>
      <c r="BL23" s="161"/>
      <c r="BM23" s="161"/>
      <c r="BN23" s="161"/>
      <c r="BO23" s="155"/>
      <c r="BP23" s="155"/>
      <c r="BQ23" s="155"/>
      <c r="BR23" s="155"/>
      <c r="BS23" s="155"/>
      <c r="BT23" s="155"/>
      <c r="BU23" s="155"/>
      <c r="BV23" s="155"/>
      <c r="BW23" s="155"/>
      <c r="BX23" s="155"/>
      <c r="BY23" s="155"/>
      <c r="BZ23" s="155"/>
      <c r="CA23" s="155"/>
      <c r="CB23" s="155"/>
      <c r="CC23" s="155"/>
      <c r="CD23" s="155"/>
      <c r="CE23" s="155"/>
      <c r="CF23" s="155"/>
      <c r="CG23" s="155"/>
      <c r="CH23" s="155"/>
      <c r="CI23" s="155"/>
      <c r="CJ23" s="155"/>
      <c r="CK23" s="155"/>
      <c r="CL23" s="155"/>
      <c r="CM23" s="155"/>
      <c r="CN23" s="155"/>
      <c r="CO23" s="155"/>
      <c r="CP23" s="155"/>
      <c r="CQ23" s="155"/>
      <c r="CR23" s="155"/>
      <c r="CS23" s="155"/>
      <c r="CT23" s="155"/>
      <c r="CU23" s="155"/>
      <c r="CV23" s="155"/>
      <c r="CW23" s="155"/>
      <c r="CX23" s="155"/>
      <c r="CY23" s="155"/>
      <c r="CZ23" s="155"/>
      <c r="DA23" s="155"/>
      <c r="DB23" s="155"/>
      <c r="DC23" s="155"/>
      <c r="DD23" s="155"/>
      <c r="DE23" s="155"/>
      <c r="DF23" s="155"/>
      <c r="DG23" s="155"/>
      <c r="DH23" s="155"/>
      <c r="DI23" s="155"/>
      <c r="DJ23" s="155"/>
      <c r="DK23" s="155"/>
      <c r="DL23" s="155"/>
      <c r="DM23" s="155"/>
      <c r="DN23" s="155"/>
      <c r="DO23" s="155"/>
      <c r="DP23" s="155"/>
      <c r="DQ23" s="155"/>
      <c r="DR23" s="155"/>
      <c r="DS23" s="155"/>
      <c r="DT23" s="155"/>
      <c r="DU23" s="155"/>
      <c r="DV23" s="155"/>
      <c r="DW23" s="155"/>
      <c r="DX23" s="155"/>
      <c r="DY23" s="155"/>
      <c r="DZ23" s="155"/>
      <c r="EA23" s="155"/>
      <c r="EB23" s="155"/>
      <c r="EC23" s="155"/>
      <c r="ED23" s="155"/>
      <c r="EE23" s="155"/>
      <c r="EF23" s="155"/>
      <c r="EG23" s="155"/>
      <c r="EH23" s="155"/>
      <c r="EI23" s="155"/>
      <c r="EJ23" s="155"/>
      <c r="EK23" s="155"/>
      <c r="EL23" s="155"/>
      <c r="EM23" s="155"/>
      <c r="EN23" s="155"/>
      <c r="EO23" s="155"/>
      <c r="EP23" s="155"/>
      <c r="EQ23" s="155"/>
      <c r="ER23" s="155"/>
      <c r="ES23" s="155"/>
      <c r="ET23" s="155"/>
      <c r="EU23" s="155"/>
      <c r="EV23" s="155"/>
      <c r="EW23" s="155"/>
      <c r="EX23" s="155"/>
      <c r="EY23" s="155"/>
      <c r="EZ23" s="155"/>
      <c r="FA23" s="155"/>
      <c r="FB23" s="155"/>
      <c r="FC23" s="155"/>
      <c r="FD23" s="155"/>
      <c r="FE23" s="155"/>
      <c r="FF23" s="155"/>
      <c r="FG23" s="155"/>
      <c r="FH23" s="155"/>
      <c r="FI23" s="155"/>
      <c r="FJ23" s="155"/>
      <c r="FK23" s="155"/>
      <c r="FL23" s="155"/>
      <c r="FM23" s="155"/>
      <c r="FN23" s="155"/>
      <c r="FO23" s="155"/>
      <c r="FP23" s="155"/>
      <c r="FQ23" s="155"/>
      <c r="FR23" s="155"/>
      <c r="FS23" s="155"/>
      <c r="FT23" s="155"/>
      <c r="FU23" s="155"/>
      <c r="FV23" s="155"/>
      <c r="FW23" s="155"/>
      <c r="FX23" s="155"/>
      <c r="FY23" s="155"/>
      <c r="FZ23" s="155"/>
      <c r="GA23" s="155"/>
      <c r="GB23" s="155"/>
      <c r="GC23" s="155"/>
      <c r="GD23" s="155"/>
      <c r="GE23" s="155"/>
      <c r="GF23" s="155"/>
      <c r="GG23" s="155"/>
      <c r="GH23" s="155"/>
      <c r="GI23" s="155"/>
      <c r="GJ23" s="155"/>
      <c r="GK23" s="155"/>
      <c r="GL23" s="155"/>
      <c r="GM23" s="155"/>
      <c r="GN23" s="155"/>
      <c r="GO23" s="155"/>
      <c r="GP23" s="155"/>
      <c r="GQ23" s="155"/>
      <c r="GR23" s="155"/>
      <c r="GS23" s="155"/>
      <c r="GT23" s="155"/>
      <c r="GU23" s="155"/>
      <c r="GV23" s="155"/>
      <c r="GW23" s="155"/>
      <c r="GX23" s="155"/>
      <c r="GY23" s="155"/>
      <c r="GZ23" s="155"/>
      <c r="HA23" s="155"/>
      <c r="HB23" s="155"/>
      <c r="HC23" s="155"/>
      <c r="HD23" s="155"/>
      <c r="HE23" s="155"/>
      <c r="HF23" s="155"/>
      <c r="HG23" s="155"/>
      <c r="HH23" s="155"/>
      <c r="HI23" s="155"/>
      <c r="HJ23" s="155"/>
      <c r="HK23" s="155"/>
      <c r="HL23" s="155"/>
      <c r="HM23" s="155"/>
      <c r="HN23" s="155"/>
      <c r="HO23" s="155"/>
      <c r="HP23" s="155"/>
      <c r="HQ23" s="155"/>
      <c r="HR23" s="155"/>
      <c r="HS23" s="155"/>
      <c r="HT23" s="155"/>
      <c r="HU23" s="155"/>
      <c r="HV23" s="155"/>
      <c r="HW23" s="155"/>
      <c r="HX23" s="155"/>
      <c r="HY23" s="155"/>
      <c r="HZ23" s="155"/>
      <c r="IA23" s="155"/>
      <c r="IB23" s="155"/>
      <c r="IC23" s="155"/>
      <c r="ID23" s="155"/>
      <c r="IE23" s="155"/>
      <c r="IF23" s="155"/>
      <c r="IG23" s="155"/>
      <c r="IH23" s="155"/>
      <c r="II23" s="155"/>
      <c r="IJ23" s="155"/>
      <c r="IK23" s="155"/>
      <c r="IL23" s="155"/>
      <c r="IM23" s="155"/>
      <c r="IN23" s="155"/>
      <c r="IO23" s="155"/>
      <c r="IP23" s="155"/>
      <c r="IQ23" s="155"/>
      <c r="IR23" s="155"/>
      <c r="IS23" s="155"/>
      <c r="IT23" s="155"/>
      <c r="IU23" s="155"/>
      <c r="IV23" s="155"/>
    </row>
    <row r="24" s="156" customFormat="true" ht="25.5" hidden="false" customHeight="true" outlineLevel="0" collapsed="false">
      <c r="A24" s="157" t="str">
        <f aca="false">IF(Eingabe!A53="","",Eingabe!A53)</f>
        <v/>
      </c>
      <c r="B24" s="157"/>
      <c r="C24" s="157"/>
      <c r="D24" s="157"/>
      <c r="E24" s="158" t="str">
        <f aca="false">IF(Eingabe!B53="","",Eingabe!B53)</f>
        <v/>
      </c>
      <c r="F24" s="158"/>
      <c r="G24" s="158"/>
      <c r="H24" s="158"/>
      <c r="I24" s="159" t="str">
        <f aca="false">IF(Eingabe!C53="","",Eingabe!C53)</f>
        <v/>
      </c>
      <c r="J24" s="159"/>
      <c r="K24" s="159"/>
      <c r="L24" s="159"/>
      <c r="M24" s="160" t="str">
        <f aca="false">IF(Eingabe!D53&amp;""&amp;Eingabe!E53="","",Eingabe!D53&amp;" 
"&amp;Eingabe!E53)</f>
        <v/>
      </c>
      <c r="N24" s="160"/>
      <c r="O24" s="160"/>
      <c r="P24" s="160"/>
      <c r="Q24" s="160"/>
      <c r="R24" s="160"/>
      <c r="S24" s="160"/>
      <c r="T24" s="160"/>
      <c r="U24" s="160"/>
      <c r="V24" s="160"/>
      <c r="W24" s="160"/>
      <c r="X24" s="160"/>
      <c r="Y24" s="160"/>
      <c r="Z24" s="160"/>
      <c r="AA24" s="160"/>
      <c r="AB24" s="160"/>
      <c r="AC24" s="160"/>
      <c r="AD24" s="160"/>
      <c r="AE24" s="160"/>
      <c r="AF24" s="160"/>
      <c r="AG24" s="159" t="str">
        <f aca="false">IF(Eingabe!F53&amp;""&amp;Eingabe!G53="","",Eingabe!F53&amp;" 
"&amp;Eingabe!G53)</f>
        <v/>
      </c>
      <c r="AH24" s="159"/>
      <c r="AI24" s="159"/>
      <c r="AJ24" s="159"/>
      <c r="AK24" s="159"/>
      <c r="AL24" s="159"/>
      <c r="AM24" s="159"/>
      <c r="AN24" s="159"/>
      <c r="AO24" s="159"/>
      <c r="AP24" s="159"/>
      <c r="AQ24" s="159"/>
      <c r="AR24" s="159"/>
      <c r="AS24" s="159"/>
      <c r="AT24" s="159"/>
      <c r="AU24" s="159"/>
      <c r="AV24" s="159"/>
      <c r="AW24" s="159"/>
      <c r="AX24" s="159" t="str">
        <f aca="false">IF(Eingabe!H53="","",Eingabe!H53)</f>
        <v/>
      </c>
      <c r="AY24" s="159"/>
      <c r="AZ24" s="159"/>
      <c r="BA24" s="159"/>
      <c r="BB24" s="161" t="str">
        <f aca="false">IF(Eingabe!K53="","",Eingabe!K53)</f>
        <v/>
      </c>
      <c r="BC24" s="161"/>
      <c r="BD24" s="161"/>
      <c r="BE24" s="161"/>
      <c r="BF24" s="161"/>
      <c r="BG24" s="161"/>
      <c r="BH24" s="161"/>
      <c r="BI24" s="161"/>
      <c r="BJ24" s="161"/>
      <c r="BK24" s="161"/>
      <c r="BL24" s="161"/>
      <c r="BM24" s="161"/>
      <c r="BN24" s="161"/>
      <c r="BO24" s="155"/>
      <c r="BP24" s="155"/>
      <c r="BQ24" s="155"/>
      <c r="BR24" s="155"/>
      <c r="BS24" s="155"/>
      <c r="BT24" s="155"/>
      <c r="BU24" s="155"/>
      <c r="BV24" s="155"/>
      <c r="BW24" s="155"/>
      <c r="BX24" s="155"/>
      <c r="BY24" s="155"/>
      <c r="BZ24" s="155"/>
      <c r="CA24" s="155"/>
      <c r="CB24" s="155"/>
      <c r="CC24" s="155"/>
      <c r="CD24" s="155"/>
      <c r="CE24" s="155"/>
      <c r="CF24" s="155"/>
      <c r="CG24" s="155"/>
      <c r="CH24" s="155"/>
      <c r="CI24" s="155"/>
      <c r="CJ24" s="155"/>
      <c r="CK24" s="155"/>
      <c r="CL24" s="155"/>
      <c r="CM24" s="155"/>
      <c r="CN24" s="155"/>
      <c r="CO24" s="155"/>
      <c r="CP24" s="155"/>
      <c r="CQ24" s="155"/>
      <c r="CR24" s="155"/>
      <c r="CS24" s="155"/>
      <c r="CT24" s="155"/>
      <c r="CU24" s="155"/>
      <c r="CV24" s="155"/>
      <c r="CW24" s="155"/>
      <c r="CX24" s="155"/>
      <c r="CY24" s="155"/>
      <c r="CZ24" s="155"/>
      <c r="DA24" s="155"/>
      <c r="DB24" s="155"/>
      <c r="DC24" s="155"/>
      <c r="DD24" s="155"/>
      <c r="DE24" s="155"/>
      <c r="DF24" s="155"/>
      <c r="DG24" s="155"/>
      <c r="DH24" s="155"/>
      <c r="DI24" s="155"/>
      <c r="DJ24" s="155"/>
      <c r="DK24" s="155"/>
      <c r="DL24" s="155"/>
      <c r="DM24" s="155"/>
      <c r="DN24" s="155"/>
      <c r="DO24" s="155"/>
      <c r="DP24" s="155"/>
      <c r="DQ24" s="155"/>
      <c r="DR24" s="155"/>
      <c r="DS24" s="155"/>
      <c r="DT24" s="155"/>
      <c r="DU24" s="155"/>
      <c r="DV24" s="155"/>
      <c r="DW24" s="155"/>
      <c r="DX24" s="155"/>
      <c r="DY24" s="155"/>
      <c r="DZ24" s="155"/>
      <c r="EA24" s="155"/>
      <c r="EB24" s="155"/>
      <c r="EC24" s="155"/>
      <c r="ED24" s="155"/>
      <c r="EE24" s="155"/>
      <c r="EF24" s="155"/>
      <c r="EG24" s="155"/>
      <c r="EH24" s="155"/>
      <c r="EI24" s="155"/>
      <c r="EJ24" s="155"/>
      <c r="EK24" s="155"/>
      <c r="EL24" s="155"/>
      <c r="EM24" s="155"/>
      <c r="EN24" s="155"/>
      <c r="EO24" s="155"/>
      <c r="EP24" s="155"/>
      <c r="EQ24" s="155"/>
      <c r="ER24" s="155"/>
      <c r="ES24" s="155"/>
      <c r="ET24" s="155"/>
      <c r="EU24" s="155"/>
      <c r="EV24" s="155"/>
      <c r="EW24" s="155"/>
      <c r="EX24" s="155"/>
      <c r="EY24" s="155"/>
      <c r="EZ24" s="155"/>
      <c r="FA24" s="155"/>
      <c r="FB24" s="155"/>
      <c r="FC24" s="155"/>
      <c r="FD24" s="155"/>
      <c r="FE24" s="155"/>
      <c r="FF24" s="155"/>
      <c r="FG24" s="155"/>
      <c r="FH24" s="155"/>
      <c r="FI24" s="155"/>
      <c r="FJ24" s="155"/>
      <c r="FK24" s="155"/>
      <c r="FL24" s="155"/>
      <c r="FM24" s="155"/>
      <c r="FN24" s="155"/>
      <c r="FO24" s="155"/>
      <c r="FP24" s="155"/>
      <c r="FQ24" s="155"/>
      <c r="FR24" s="155"/>
      <c r="FS24" s="155"/>
      <c r="FT24" s="155"/>
      <c r="FU24" s="155"/>
      <c r="FV24" s="155"/>
      <c r="FW24" s="155"/>
      <c r="FX24" s="155"/>
      <c r="FY24" s="155"/>
      <c r="FZ24" s="155"/>
      <c r="GA24" s="155"/>
      <c r="GB24" s="155"/>
      <c r="GC24" s="155"/>
      <c r="GD24" s="155"/>
      <c r="GE24" s="155"/>
      <c r="GF24" s="155"/>
      <c r="GG24" s="155"/>
      <c r="GH24" s="155"/>
      <c r="GI24" s="155"/>
      <c r="GJ24" s="155"/>
      <c r="GK24" s="155"/>
      <c r="GL24" s="155"/>
      <c r="GM24" s="155"/>
      <c r="GN24" s="155"/>
      <c r="GO24" s="155"/>
      <c r="GP24" s="155"/>
      <c r="GQ24" s="155"/>
      <c r="GR24" s="155"/>
      <c r="GS24" s="155"/>
      <c r="GT24" s="155"/>
      <c r="GU24" s="155"/>
      <c r="GV24" s="155"/>
      <c r="GW24" s="155"/>
      <c r="GX24" s="155"/>
      <c r="GY24" s="155"/>
      <c r="GZ24" s="155"/>
      <c r="HA24" s="155"/>
      <c r="HB24" s="155"/>
      <c r="HC24" s="155"/>
      <c r="HD24" s="155"/>
      <c r="HE24" s="155"/>
      <c r="HF24" s="155"/>
      <c r="HG24" s="155"/>
      <c r="HH24" s="155"/>
      <c r="HI24" s="155"/>
      <c r="HJ24" s="155"/>
      <c r="HK24" s="155"/>
      <c r="HL24" s="155"/>
      <c r="HM24" s="155"/>
      <c r="HN24" s="155"/>
      <c r="HO24" s="155"/>
      <c r="HP24" s="155"/>
      <c r="HQ24" s="155"/>
      <c r="HR24" s="155"/>
      <c r="HS24" s="155"/>
      <c r="HT24" s="155"/>
      <c r="HU24" s="155"/>
      <c r="HV24" s="155"/>
      <c r="HW24" s="155"/>
      <c r="HX24" s="155"/>
      <c r="HY24" s="155"/>
      <c r="HZ24" s="155"/>
      <c r="IA24" s="155"/>
      <c r="IB24" s="155"/>
      <c r="IC24" s="155"/>
      <c r="ID24" s="155"/>
      <c r="IE24" s="155"/>
      <c r="IF24" s="155"/>
      <c r="IG24" s="155"/>
      <c r="IH24" s="155"/>
      <c r="II24" s="155"/>
      <c r="IJ24" s="155"/>
      <c r="IK24" s="155"/>
      <c r="IL24" s="155"/>
      <c r="IM24" s="155"/>
      <c r="IN24" s="155"/>
      <c r="IO24" s="155"/>
      <c r="IP24" s="155"/>
      <c r="IQ24" s="155"/>
      <c r="IR24" s="155"/>
      <c r="IS24" s="155"/>
      <c r="IT24" s="155"/>
      <c r="IU24" s="155"/>
      <c r="IV24" s="155"/>
    </row>
    <row r="25" s="156" customFormat="true" ht="25.5" hidden="false" customHeight="true" outlineLevel="0" collapsed="false">
      <c r="A25" s="157" t="str">
        <f aca="false">IF(Eingabe!A54="","",Eingabe!A54)</f>
        <v/>
      </c>
      <c r="B25" s="157"/>
      <c r="C25" s="157"/>
      <c r="D25" s="157"/>
      <c r="E25" s="158" t="str">
        <f aca="false">IF(Eingabe!B54="","",Eingabe!B54)</f>
        <v/>
      </c>
      <c r="F25" s="158"/>
      <c r="G25" s="158"/>
      <c r="H25" s="158"/>
      <c r="I25" s="159" t="str">
        <f aca="false">IF(Eingabe!C54="","",Eingabe!C54)</f>
        <v/>
      </c>
      <c r="J25" s="159"/>
      <c r="K25" s="159"/>
      <c r="L25" s="159"/>
      <c r="M25" s="160" t="str">
        <f aca="false">IF(Eingabe!D54&amp;""&amp;Eingabe!E54="","",Eingabe!D54&amp;" 
"&amp;Eingabe!E54)</f>
        <v/>
      </c>
      <c r="N25" s="160"/>
      <c r="O25" s="160"/>
      <c r="P25" s="160"/>
      <c r="Q25" s="160"/>
      <c r="R25" s="160"/>
      <c r="S25" s="160"/>
      <c r="T25" s="160"/>
      <c r="U25" s="160"/>
      <c r="V25" s="160"/>
      <c r="W25" s="160"/>
      <c r="X25" s="160"/>
      <c r="Y25" s="160"/>
      <c r="Z25" s="160"/>
      <c r="AA25" s="160"/>
      <c r="AB25" s="160"/>
      <c r="AC25" s="160"/>
      <c r="AD25" s="160"/>
      <c r="AE25" s="160"/>
      <c r="AF25" s="160"/>
      <c r="AG25" s="159" t="str">
        <f aca="false">IF(Eingabe!F54&amp;""&amp;Eingabe!G54="","",Eingabe!F54&amp;" 
"&amp;Eingabe!G54)</f>
        <v/>
      </c>
      <c r="AH25" s="159"/>
      <c r="AI25" s="159"/>
      <c r="AJ25" s="159"/>
      <c r="AK25" s="159"/>
      <c r="AL25" s="159"/>
      <c r="AM25" s="159"/>
      <c r="AN25" s="159"/>
      <c r="AO25" s="159"/>
      <c r="AP25" s="159"/>
      <c r="AQ25" s="159"/>
      <c r="AR25" s="159"/>
      <c r="AS25" s="159"/>
      <c r="AT25" s="159"/>
      <c r="AU25" s="159"/>
      <c r="AV25" s="159"/>
      <c r="AW25" s="159"/>
      <c r="AX25" s="159" t="str">
        <f aca="false">IF(Eingabe!H54="","",Eingabe!H54)</f>
        <v/>
      </c>
      <c r="AY25" s="159"/>
      <c r="AZ25" s="159"/>
      <c r="BA25" s="159"/>
      <c r="BB25" s="161" t="str">
        <f aca="false">IF(Eingabe!K54="","",Eingabe!K54)</f>
        <v/>
      </c>
      <c r="BC25" s="161"/>
      <c r="BD25" s="161"/>
      <c r="BE25" s="161"/>
      <c r="BF25" s="161"/>
      <c r="BG25" s="161"/>
      <c r="BH25" s="161"/>
      <c r="BI25" s="161"/>
      <c r="BJ25" s="161"/>
      <c r="BK25" s="161"/>
      <c r="BL25" s="161"/>
      <c r="BM25" s="161"/>
      <c r="BN25" s="161"/>
      <c r="BO25" s="155"/>
      <c r="BP25" s="155"/>
      <c r="BQ25" s="155"/>
      <c r="BR25" s="155"/>
      <c r="BS25" s="155"/>
      <c r="BT25" s="155"/>
      <c r="BU25" s="155"/>
      <c r="BV25" s="155"/>
      <c r="BW25" s="155"/>
      <c r="BX25" s="155"/>
      <c r="BY25" s="155"/>
      <c r="BZ25" s="155"/>
      <c r="CA25" s="155"/>
      <c r="CB25" s="155"/>
      <c r="CC25" s="155"/>
      <c r="CD25" s="155"/>
      <c r="CE25" s="155"/>
      <c r="CF25" s="155"/>
      <c r="CG25" s="155"/>
      <c r="CH25" s="155"/>
      <c r="CI25" s="155"/>
      <c r="CJ25" s="155"/>
      <c r="CK25" s="155"/>
      <c r="CL25" s="155"/>
      <c r="CM25" s="155"/>
      <c r="CN25" s="155"/>
      <c r="CO25" s="155"/>
      <c r="CP25" s="155"/>
      <c r="CQ25" s="155"/>
      <c r="CR25" s="155"/>
      <c r="CS25" s="155"/>
      <c r="CT25" s="155"/>
      <c r="CU25" s="155"/>
      <c r="CV25" s="155"/>
      <c r="CW25" s="155"/>
      <c r="CX25" s="155"/>
      <c r="CY25" s="155"/>
      <c r="CZ25" s="155"/>
      <c r="DA25" s="155"/>
      <c r="DB25" s="155"/>
      <c r="DC25" s="155"/>
      <c r="DD25" s="155"/>
      <c r="DE25" s="155"/>
      <c r="DF25" s="155"/>
      <c r="DG25" s="155"/>
      <c r="DH25" s="155"/>
      <c r="DI25" s="155"/>
      <c r="DJ25" s="155"/>
      <c r="DK25" s="155"/>
      <c r="DL25" s="155"/>
      <c r="DM25" s="155"/>
      <c r="DN25" s="155"/>
      <c r="DO25" s="155"/>
      <c r="DP25" s="155"/>
      <c r="DQ25" s="155"/>
      <c r="DR25" s="155"/>
      <c r="DS25" s="155"/>
      <c r="DT25" s="155"/>
      <c r="DU25" s="155"/>
      <c r="DV25" s="155"/>
      <c r="DW25" s="155"/>
      <c r="DX25" s="155"/>
      <c r="DY25" s="155"/>
      <c r="DZ25" s="155"/>
      <c r="EA25" s="155"/>
      <c r="EB25" s="155"/>
      <c r="EC25" s="155"/>
      <c r="ED25" s="155"/>
      <c r="EE25" s="155"/>
      <c r="EF25" s="155"/>
      <c r="EG25" s="155"/>
      <c r="EH25" s="155"/>
      <c r="EI25" s="155"/>
      <c r="EJ25" s="155"/>
      <c r="EK25" s="155"/>
      <c r="EL25" s="155"/>
      <c r="EM25" s="155"/>
      <c r="EN25" s="155"/>
      <c r="EO25" s="155"/>
      <c r="EP25" s="155"/>
      <c r="EQ25" s="155"/>
      <c r="ER25" s="155"/>
      <c r="ES25" s="155"/>
      <c r="ET25" s="155"/>
      <c r="EU25" s="155"/>
      <c r="EV25" s="155"/>
      <c r="EW25" s="155"/>
      <c r="EX25" s="155"/>
      <c r="EY25" s="155"/>
      <c r="EZ25" s="155"/>
      <c r="FA25" s="155"/>
      <c r="FB25" s="155"/>
      <c r="FC25" s="155"/>
      <c r="FD25" s="155"/>
      <c r="FE25" s="155"/>
      <c r="FF25" s="155"/>
      <c r="FG25" s="155"/>
      <c r="FH25" s="155"/>
      <c r="FI25" s="155"/>
      <c r="FJ25" s="155"/>
      <c r="FK25" s="155"/>
      <c r="FL25" s="155"/>
      <c r="FM25" s="155"/>
      <c r="FN25" s="155"/>
      <c r="FO25" s="155"/>
      <c r="FP25" s="155"/>
      <c r="FQ25" s="155"/>
      <c r="FR25" s="155"/>
      <c r="FS25" s="155"/>
      <c r="FT25" s="155"/>
      <c r="FU25" s="155"/>
      <c r="FV25" s="155"/>
      <c r="FW25" s="155"/>
      <c r="FX25" s="155"/>
      <c r="FY25" s="155"/>
      <c r="FZ25" s="155"/>
      <c r="GA25" s="155"/>
      <c r="GB25" s="155"/>
      <c r="GC25" s="155"/>
      <c r="GD25" s="155"/>
      <c r="GE25" s="155"/>
      <c r="GF25" s="155"/>
      <c r="GG25" s="155"/>
      <c r="GH25" s="155"/>
      <c r="GI25" s="155"/>
      <c r="GJ25" s="155"/>
      <c r="GK25" s="155"/>
      <c r="GL25" s="155"/>
      <c r="GM25" s="155"/>
      <c r="GN25" s="155"/>
      <c r="GO25" s="155"/>
      <c r="GP25" s="155"/>
      <c r="GQ25" s="155"/>
      <c r="GR25" s="155"/>
      <c r="GS25" s="155"/>
      <c r="GT25" s="155"/>
      <c r="GU25" s="155"/>
      <c r="GV25" s="155"/>
      <c r="GW25" s="155"/>
      <c r="GX25" s="155"/>
      <c r="GY25" s="155"/>
      <c r="GZ25" s="155"/>
      <c r="HA25" s="155"/>
      <c r="HB25" s="155"/>
      <c r="HC25" s="155"/>
      <c r="HD25" s="155"/>
      <c r="HE25" s="155"/>
      <c r="HF25" s="155"/>
      <c r="HG25" s="155"/>
      <c r="HH25" s="155"/>
      <c r="HI25" s="155"/>
      <c r="HJ25" s="155"/>
      <c r="HK25" s="155"/>
      <c r="HL25" s="155"/>
      <c r="HM25" s="155"/>
      <c r="HN25" s="155"/>
      <c r="HO25" s="155"/>
      <c r="HP25" s="155"/>
      <c r="HQ25" s="155"/>
      <c r="HR25" s="155"/>
      <c r="HS25" s="155"/>
      <c r="HT25" s="155"/>
      <c r="HU25" s="155"/>
      <c r="HV25" s="155"/>
      <c r="HW25" s="155"/>
      <c r="HX25" s="155"/>
      <c r="HY25" s="155"/>
      <c r="HZ25" s="155"/>
      <c r="IA25" s="155"/>
      <c r="IB25" s="155"/>
      <c r="IC25" s="155"/>
      <c r="ID25" s="155"/>
      <c r="IE25" s="155"/>
      <c r="IF25" s="155"/>
      <c r="IG25" s="155"/>
      <c r="IH25" s="155"/>
      <c r="II25" s="155"/>
      <c r="IJ25" s="155"/>
      <c r="IK25" s="155"/>
      <c r="IL25" s="155"/>
      <c r="IM25" s="155"/>
      <c r="IN25" s="155"/>
      <c r="IO25" s="155"/>
      <c r="IP25" s="155"/>
      <c r="IQ25" s="155"/>
      <c r="IR25" s="155"/>
      <c r="IS25" s="155"/>
      <c r="IT25" s="155"/>
      <c r="IU25" s="155"/>
      <c r="IV25" s="155"/>
    </row>
    <row r="26" s="156" customFormat="true" ht="25.5" hidden="false" customHeight="true" outlineLevel="0" collapsed="false">
      <c r="A26" s="157" t="str">
        <f aca="false">IF(Eingabe!A55="","",Eingabe!A55)</f>
        <v/>
      </c>
      <c r="B26" s="157"/>
      <c r="C26" s="157"/>
      <c r="D26" s="157"/>
      <c r="E26" s="158" t="str">
        <f aca="false">IF(Eingabe!B55="","",Eingabe!B55)</f>
        <v/>
      </c>
      <c r="F26" s="158"/>
      <c r="G26" s="158"/>
      <c r="H26" s="158"/>
      <c r="I26" s="159" t="str">
        <f aca="false">IF(Eingabe!C55="","",Eingabe!C55)</f>
        <v/>
      </c>
      <c r="J26" s="159"/>
      <c r="K26" s="159"/>
      <c r="L26" s="159"/>
      <c r="M26" s="160" t="str">
        <f aca="false">IF(Eingabe!D55&amp;""&amp;Eingabe!E55="","",Eingabe!D55&amp;" 
"&amp;Eingabe!E55)</f>
        <v/>
      </c>
      <c r="N26" s="160"/>
      <c r="O26" s="160"/>
      <c r="P26" s="160"/>
      <c r="Q26" s="160"/>
      <c r="R26" s="160"/>
      <c r="S26" s="160"/>
      <c r="T26" s="160"/>
      <c r="U26" s="160"/>
      <c r="V26" s="160"/>
      <c r="W26" s="160"/>
      <c r="X26" s="160"/>
      <c r="Y26" s="160"/>
      <c r="Z26" s="160"/>
      <c r="AA26" s="160"/>
      <c r="AB26" s="160"/>
      <c r="AC26" s="160"/>
      <c r="AD26" s="160"/>
      <c r="AE26" s="160"/>
      <c r="AF26" s="160"/>
      <c r="AG26" s="159" t="str">
        <f aca="false">IF(Eingabe!F55&amp;""&amp;Eingabe!G55="","",Eingabe!F55&amp;" 
"&amp;Eingabe!G55)</f>
        <v/>
      </c>
      <c r="AH26" s="159"/>
      <c r="AI26" s="159"/>
      <c r="AJ26" s="159"/>
      <c r="AK26" s="159"/>
      <c r="AL26" s="159"/>
      <c r="AM26" s="159"/>
      <c r="AN26" s="159"/>
      <c r="AO26" s="159"/>
      <c r="AP26" s="159"/>
      <c r="AQ26" s="159"/>
      <c r="AR26" s="159"/>
      <c r="AS26" s="159"/>
      <c r="AT26" s="159"/>
      <c r="AU26" s="159"/>
      <c r="AV26" s="159"/>
      <c r="AW26" s="159"/>
      <c r="AX26" s="159" t="str">
        <f aca="false">IF(Eingabe!H55="","",Eingabe!H55)</f>
        <v/>
      </c>
      <c r="AY26" s="159"/>
      <c r="AZ26" s="159"/>
      <c r="BA26" s="159"/>
      <c r="BB26" s="161" t="str">
        <f aca="false">IF(Eingabe!K55="","",Eingabe!K55)</f>
        <v/>
      </c>
      <c r="BC26" s="161"/>
      <c r="BD26" s="161"/>
      <c r="BE26" s="161"/>
      <c r="BF26" s="161"/>
      <c r="BG26" s="161"/>
      <c r="BH26" s="161"/>
      <c r="BI26" s="161"/>
      <c r="BJ26" s="161"/>
      <c r="BK26" s="161"/>
      <c r="BL26" s="161"/>
      <c r="BM26" s="161"/>
      <c r="BN26" s="161"/>
      <c r="BO26" s="155"/>
      <c r="BP26" s="155"/>
      <c r="BQ26" s="155"/>
      <c r="BR26" s="155"/>
      <c r="BS26" s="155"/>
      <c r="BT26" s="155"/>
      <c r="BU26" s="155"/>
      <c r="BV26" s="155"/>
      <c r="BW26" s="155"/>
      <c r="BX26" s="155"/>
      <c r="BY26" s="155"/>
      <c r="BZ26" s="155"/>
      <c r="CA26" s="155"/>
      <c r="CB26" s="155"/>
      <c r="CC26" s="155"/>
      <c r="CD26" s="155"/>
      <c r="CE26" s="155"/>
      <c r="CF26" s="155"/>
      <c r="CG26" s="155"/>
      <c r="CH26" s="155"/>
      <c r="CI26" s="155"/>
      <c r="CJ26" s="155"/>
      <c r="CK26" s="155"/>
      <c r="CL26" s="155"/>
      <c r="CM26" s="155"/>
      <c r="CN26" s="155"/>
      <c r="CO26" s="155"/>
      <c r="CP26" s="155"/>
      <c r="CQ26" s="155"/>
      <c r="CR26" s="155"/>
      <c r="CS26" s="155"/>
      <c r="CT26" s="155"/>
      <c r="CU26" s="155"/>
      <c r="CV26" s="155"/>
      <c r="CW26" s="155"/>
      <c r="CX26" s="155"/>
      <c r="CY26" s="155"/>
      <c r="CZ26" s="155"/>
      <c r="DA26" s="155"/>
      <c r="DB26" s="155"/>
      <c r="DC26" s="155"/>
      <c r="DD26" s="155"/>
      <c r="DE26" s="155"/>
      <c r="DF26" s="155"/>
      <c r="DG26" s="155"/>
      <c r="DH26" s="155"/>
      <c r="DI26" s="155"/>
      <c r="DJ26" s="155"/>
      <c r="DK26" s="155"/>
      <c r="DL26" s="155"/>
      <c r="DM26" s="155"/>
      <c r="DN26" s="155"/>
      <c r="DO26" s="155"/>
      <c r="DP26" s="155"/>
      <c r="DQ26" s="155"/>
      <c r="DR26" s="155"/>
      <c r="DS26" s="155"/>
      <c r="DT26" s="155"/>
      <c r="DU26" s="155"/>
      <c r="DV26" s="155"/>
      <c r="DW26" s="155"/>
      <c r="DX26" s="155"/>
      <c r="DY26" s="155"/>
      <c r="DZ26" s="155"/>
      <c r="EA26" s="155"/>
      <c r="EB26" s="155"/>
      <c r="EC26" s="155"/>
      <c r="ED26" s="155"/>
      <c r="EE26" s="155"/>
      <c r="EF26" s="155"/>
      <c r="EG26" s="155"/>
      <c r="EH26" s="155"/>
      <c r="EI26" s="155"/>
      <c r="EJ26" s="155"/>
      <c r="EK26" s="155"/>
      <c r="EL26" s="155"/>
      <c r="EM26" s="155"/>
      <c r="EN26" s="155"/>
      <c r="EO26" s="155"/>
      <c r="EP26" s="155"/>
      <c r="EQ26" s="155"/>
      <c r="ER26" s="155"/>
      <c r="ES26" s="155"/>
      <c r="ET26" s="155"/>
      <c r="EU26" s="155"/>
      <c r="EV26" s="155"/>
      <c r="EW26" s="155"/>
      <c r="EX26" s="155"/>
      <c r="EY26" s="155"/>
      <c r="EZ26" s="155"/>
      <c r="FA26" s="155"/>
      <c r="FB26" s="155"/>
      <c r="FC26" s="155"/>
      <c r="FD26" s="155"/>
      <c r="FE26" s="155"/>
      <c r="FF26" s="155"/>
      <c r="FG26" s="155"/>
      <c r="FH26" s="155"/>
      <c r="FI26" s="155"/>
      <c r="FJ26" s="155"/>
      <c r="FK26" s="155"/>
      <c r="FL26" s="155"/>
      <c r="FM26" s="155"/>
      <c r="FN26" s="155"/>
      <c r="FO26" s="155"/>
      <c r="FP26" s="155"/>
      <c r="FQ26" s="155"/>
      <c r="FR26" s="155"/>
      <c r="FS26" s="155"/>
      <c r="FT26" s="155"/>
      <c r="FU26" s="155"/>
      <c r="FV26" s="155"/>
      <c r="FW26" s="155"/>
      <c r="FX26" s="155"/>
      <c r="FY26" s="155"/>
      <c r="FZ26" s="155"/>
      <c r="GA26" s="155"/>
      <c r="GB26" s="155"/>
      <c r="GC26" s="155"/>
      <c r="GD26" s="155"/>
      <c r="GE26" s="155"/>
      <c r="GF26" s="155"/>
      <c r="GG26" s="155"/>
      <c r="GH26" s="155"/>
      <c r="GI26" s="155"/>
      <c r="GJ26" s="155"/>
      <c r="GK26" s="155"/>
      <c r="GL26" s="155"/>
      <c r="GM26" s="155"/>
      <c r="GN26" s="155"/>
      <c r="GO26" s="155"/>
      <c r="GP26" s="155"/>
      <c r="GQ26" s="155"/>
      <c r="GR26" s="155"/>
      <c r="GS26" s="155"/>
      <c r="GT26" s="155"/>
      <c r="GU26" s="155"/>
      <c r="GV26" s="155"/>
      <c r="GW26" s="155"/>
      <c r="GX26" s="155"/>
      <c r="GY26" s="155"/>
      <c r="GZ26" s="155"/>
      <c r="HA26" s="155"/>
      <c r="HB26" s="155"/>
      <c r="HC26" s="155"/>
      <c r="HD26" s="155"/>
      <c r="HE26" s="155"/>
      <c r="HF26" s="155"/>
      <c r="HG26" s="155"/>
      <c r="HH26" s="155"/>
      <c r="HI26" s="155"/>
      <c r="HJ26" s="155"/>
      <c r="HK26" s="155"/>
      <c r="HL26" s="155"/>
      <c r="HM26" s="155"/>
      <c r="HN26" s="155"/>
      <c r="HO26" s="155"/>
      <c r="HP26" s="155"/>
      <c r="HQ26" s="155"/>
      <c r="HR26" s="155"/>
      <c r="HS26" s="155"/>
      <c r="HT26" s="155"/>
      <c r="HU26" s="155"/>
      <c r="HV26" s="155"/>
      <c r="HW26" s="155"/>
      <c r="HX26" s="155"/>
      <c r="HY26" s="155"/>
      <c r="HZ26" s="155"/>
      <c r="IA26" s="155"/>
      <c r="IB26" s="155"/>
      <c r="IC26" s="155"/>
      <c r="ID26" s="155"/>
      <c r="IE26" s="155"/>
      <c r="IF26" s="155"/>
      <c r="IG26" s="155"/>
      <c r="IH26" s="155"/>
      <c r="II26" s="155"/>
      <c r="IJ26" s="155"/>
      <c r="IK26" s="155"/>
      <c r="IL26" s="155"/>
      <c r="IM26" s="155"/>
      <c r="IN26" s="155"/>
      <c r="IO26" s="155"/>
      <c r="IP26" s="155"/>
      <c r="IQ26" s="155"/>
      <c r="IR26" s="155"/>
      <c r="IS26" s="155"/>
      <c r="IT26" s="155"/>
      <c r="IU26" s="155"/>
      <c r="IV26" s="155"/>
    </row>
    <row r="27" s="156" customFormat="true" ht="25.5" hidden="false" customHeight="true" outlineLevel="0" collapsed="false">
      <c r="A27" s="157" t="str">
        <f aca="false">IF(Eingabe!A56="","",Eingabe!A56)</f>
        <v/>
      </c>
      <c r="B27" s="157"/>
      <c r="C27" s="157"/>
      <c r="D27" s="157"/>
      <c r="E27" s="158" t="str">
        <f aca="false">IF(Eingabe!B56="","",Eingabe!B56)</f>
        <v/>
      </c>
      <c r="F27" s="158"/>
      <c r="G27" s="158"/>
      <c r="H27" s="158"/>
      <c r="I27" s="159" t="str">
        <f aca="false">IF(Eingabe!C56="","",Eingabe!C56)</f>
        <v/>
      </c>
      <c r="J27" s="159"/>
      <c r="K27" s="159"/>
      <c r="L27" s="159"/>
      <c r="M27" s="160" t="str">
        <f aca="false">IF(Eingabe!D56&amp;""&amp;Eingabe!E56="","",Eingabe!D56&amp;" 
"&amp;Eingabe!E56)</f>
        <v/>
      </c>
      <c r="N27" s="160"/>
      <c r="O27" s="160"/>
      <c r="P27" s="160"/>
      <c r="Q27" s="160"/>
      <c r="R27" s="160"/>
      <c r="S27" s="160"/>
      <c r="T27" s="160"/>
      <c r="U27" s="160"/>
      <c r="V27" s="160"/>
      <c r="W27" s="160"/>
      <c r="X27" s="160"/>
      <c r="Y27" s="160"/>
      <c r="Z27" s="160"/>
      <c r="AA27" s="160"/>
      <c r="AB27" s="160"/>
      <c r="AC27" s="160"/>
      <c r="AD27" s="160"/>
      <c r="AE27" s="160"/>
      <c r="AF27" s="160"/>
      <c r="AG27" s="159" t="str">
        <f aca="false">IF(Eingabe!F56&amp;""&amp;Eingabe!G56="","",Eingabe!F56&amp;" 
"&amp;Eingabe!G56)</f>
        <v/>
      </c>
      <c r="AH27" s="159"/>
      <c r="AI27" s="159"/>
      <c r="AJ27" s="159"/>
      <c r="AK27" s="159"/>
      <c r="AL27" s="159"/>
      <c r="AM27" s="159"/>
      <c r="AN27" s="159"/>
      <c r="AO27" s="159"/>
      <c r="AP27" s="159"/>
      <c r="AQ27" s="159"/>
      <c r="AR27" s="159"/>
      <c r="AS27" s="159"/>
      <c r="AT27" s="159"/>
      <c r="AU27" s="159"/>
      <c r="AV27" s="159"/>
      <c r="AW27" s="159"/>
      <c r="AX27" s="159" t="str">
        <f aca="false">IF(Eingabe!H56="","",Eingabe!H56)</f>
        <v/>
      </c>
      <c r="AY27" s="159"/>
      <c r="AZ27" s="159"/>
      <c r="BA27" s="159"/>
      <c r="BB27" s="161" t="str">
        <f aca="false">IF(Eingabe!K56="","",Eingabe!K56)</f>
        <v/>
      </c>
      <c r="BC27" s="161"/>
      <c r="BD27" s="161"/>
      <c r="BE27" s="161"/>
      <c r="BF27" s="161"/>
      <c r="BG27" s="161"/>
      <c r="BH27" s="161"/>
      <c r="BI27" s="161"/>
      <c r="BJ27" s="161"/>
      <c r="BK27" s="161"/>
      <c r="BL27" s="161"/>
      <c r="BM27" s="161"/>
      <c r="BN27" s="161"/>
      <c r="BO27" s="155"/>
      <c r="BP27" s="155"/>
      <c r="BQ27" s="155"/>
      <c r="BR27" s="155"/>
      <c r="BS27" s="155"/>
      <c r="BT27" s="155"/>
      <c r="BU27" s="155"/>
      <c r="BV27" s="155"/>
      <c r="BW27" s="155"/>
      <c r="BX27" s="155"/>
      <c r="BY27" s="155"/>
      <c r="BZ27" s="155"/>
      <c r="CA27" s="155"/>
      <c r="CB27" s="155"/>
      <c r="CC27" s="155"/>
      <c r="CD27" s="155"/>
      <c r="CE27" s="155"/>
      <c r="CF27" s="155"/>
      <c r="CG27" s="155"/>
      <c r="CH27" s="155"/>
      <c r="CI27" s="155"/>
      <c r="CJ27" s="155"/>
      <c r="CK27" s="155"/>
      <c r="CL27" s="155"/>
      <c r="CM27" s="155"/>
      <c r="CN27" s="155"/>
      <c r="CO27" s="155"/>
      <c r="CP27" s="155"/>
      <c r="CQ27" s="155"/>
      <c r="CR27" s="155"/>
      <c r="CS27" s="155"/>
      <c r="CT27" s="155"/>
      <c r="CU27" s="155"/>
      <c r="CV27" s="155"/>
      <c r="CW27" s="155"/>
      <c r="CX27" s="155"/>
      <c r="CY27" s="155"/>
      <c r="CZ27" s="155"/>
      <c r="DA27" s="155"/>
      <c r="DB27" s="155"/>
      <c r="DC27" s="155"/>
      <c r="DD27" s="155"/>
      <c r="DE27" s="155"/>
      <c r="DF27" s="155"/>
      <c r="DG27" s="155"/>
      <c r="DH27" s="155"/>
      <c r="DI27" s="155"/>
      <c r="DJ27" s="155"/>
      <c r="DK27" s="155"/>
      <c r="DL27" s="155"/>
      <c r="DM27" s="155"/>
      <c r="DN27" s="155"/>
      <c r="DO27" s="155"/>
      <c r="DP27" s="155"/>
      <c r="DQ27" s="155"/>
      <c r="DR27" s="155"/>
      <c r="DS27" s="155"/>
      <c r="DT27" s="155"/>
      <c r="DU27" s="155"/>
      <c r="DV27" s="155"/>
      <c r="DW27" s="155"/>
      <c r="DX27" s="155"/>
      <c r="DY27" s="155"/>
      <c r="DZ27" s="155"/>
      <c r="EA27" s="155"/>
      <c r="EB27" s="155"/>
      <c r="EC27" s="155"/>
      <c r="ED27" s="155"/>
      <c r="EE27" s="155"/>
      <c r="EF27" s="155"/>
      <c r="EG27" s="155"/>
      <c r="EH27" s="155"/>
      <c r="EI27" s="155"/>
      <c r="EJ27" s="155"/>
      <c r="EK27" s="155"/>
      <c r="EL27" s="155"/>
      <c r="EM27" s="155"/>
      <c r="EN27" s="155"/>
      <c r="EO27" s="155"/>
      <c r="EP27" s="155"/>
      <c r="EQ27" s="155"/>
      <c r="ER27" s="155"/>
      <c r="ES27" s="155"/>
      <c r="ET27" s="155"/>
      <c r="EU27" s="155"/>
      <c r="EV27" s="155"/>
      <c r="EW27" s="155"/>
      <c r="EX27" s="155"/>
      <c r="EY27" s="155"/>
      <c r="EZ27" s="155"/>
      <c r="FA27" s="155"/>
      <c r="FB27" s="155"/>
      <c r="FC27" s="155"/>
      <c r="FD27" s="155"/>
      <c r="FE27" s="155"/>
      <c r="FF27" s="155"/>
      <c r="FG27" s="155"/>
      <c r="FH27" s="155"/>
      <c r="FI27" s="155"/>
      <c r="FJ27" s="155"/>
      <c r="FK27" s="155"/>
      <c r="FL27" s="155"/>
      <c r="FM27" s="155"/>
      <c r="FN27" s="155"/>
      <c r="FO27" s="155"/>
      <c r="FP27" s="155"/>
      <c r="FQ27" s="155"/>
      <c r="FR27" s="155"/>
      <c r="FS27" s="155"/>
      <c r="FT27" s="155"/>
      <c r="FU27" s="155"/>
      <c r="FV27" s="155"/>
      <c r="FW27" s="155"/>
      <c r="FX27" s="155"/>
      <c r="FY27" s="155"/>
      <c r="FZ27" s="155"/>
      <c r="GA27" s="155"/>
      <c r="GB27" s="155"/>
      <c r="GC27" s="155"/>
      <c r="GD27" s="155"/>
      <c r="GE27" s="155"/>
      <c r="GF27" s="155"/>
      <c r="GG27" s="155"/>
      <c r="GH27" s="155"/>
      <c r="GI27" s="155"/>
      <c r="GJ27" s="155"/>
      <c r="GK27" s="155"/>
      <c r="GL27" s="155"/>
      <c r="GM27" s="155"/>
      <c r="GN27" s="155"/>
      <c r="GO27" s="155"/>
      <c r="GP27" s="155"/>
      <c r="GQ27" s="155"/>
      <c r="GR27" s="155"/>
      <c r="GS27" s="155"/>
      <c r="GT27" s="155"/>
      <c r="GU27" s="155"/>
      <c r="GV27" s="155"/>
      <c r="GW27" s="155"/>
      <c r="GX27" s="155"/>
      <c r="GY27" s="155"/>
      <c r="GZ27" s="155"/>
      <c r="HA27" s="155"/>
      <c r="HB27" s="155"/>
      <c r="HC27" s="155"/>
      <c r="HD27" s="155"/>
      <c r="HE27" s="155"/>
      <c r="HF27" s="155"/>
      <c r="HG27" s="155"/>
      <c r="HH27" s="155"/>
      <c r="HI27" s="155"/>
      <c r="HJ27" s="155"/>
      <c r="HK27" s="155"/>
      <c r="HL27" s="155"/>
      <c r="HM27" s="155"/>
      <c r="HN27" s="155"/>
      <c r="HO27" s="155"/>
      <c r="HP27" s="155"/>
      <c r="HQ27" s="155"/>
      <c r="HR27" s="155"/>
      <c r="HS27" s="155"/>
      <c r="HT27" s="155"/>
      <c r="HU27" s="155"/>
      <c r="HV27" s="155"/>
      <c r="HW27" s="155"/>
      <c r="HX27" s="155"/>
      <c r="HY27" s="155"/>
      <c r="HZ27" s="155"/>
      <c r="IA27" s="155"/>
      <c r="IB27" s="155"/>
      <c r="IC27" s="155"/>
      <c r="ID27" s="155"/>
      <c r="IE27" s="155"/>
      <c r="IF27" s="155"/>
      <c r="IG27" s="155"/>
      <c r="IH27" s="155"/>
      <c r="II27" s="155"/>
      <c r="IJ27" s="155"/>
      <c r="IK27" s="155"/>
      <c r="IL27" s="155"/>
      <c r="IM27" s="155"/>
      <c r="IN27" s="155"/>
      <c r="IO27" s="155"/>
      <c r="IP27" s="155"/>
      <c r="IQ27" s="155"/>
      <c r="IR27" s="155"/>
      <c r="IS27" s="155"/>
      <c r="IT27" s="155"/>
      <c r="IU27" s="155"/>
      <c r="IV27" s="155"/>
    </row>
    <row r="28" customFormat="false" ht="25.5" hidden="false" customHeight="true" outlineLevel="0" collapsed="false">
      <c r="A28" s="162" t="str">
        <f aca="false">IF(Eingabe!A57="","",Eingabe!A57)</f>
        <v/>
      </c>
      <c r="B28" s="162"/>
      <c r="C28" s="162"/>
      <c r="D28" s="162"/>
      <c r="E28" s="163" t="str">
        <f aca="false">IF(Eingabe!B57="","",Eingabe!B57)</f>
        <v/>
      </c>
      <c r="F28" s="163"/>
      <c r="G28" s="163"/>
      <c r="H28" s="163"/>
      <c r="I28" s="164" t="str">
        <f aca="false">IF(Eingabe!C57="","",Eingabe!C57)</f>
        <v/>
      </c>
      <c r="J28" s="164"/>
      <c r="K28" s="164"/>
      <c r="L28" s="164"/>
      <c r="M28" s="160" t="str">
        <f aca="false">IF(Eingabe!D57&amp;""&amp;Eingabe!E57="","",Eingabe!D57&amp;" 
"&amp;Eingabe!E57)</f>
        <v/>
      </c>
      <c r="N28" s="160"/>
      <c r="O28" s="160"/>
      <c r="P28" s="160"/>
      <c r="Q28" s="160"/>
      <c r="R28" s="160"/>
      <c r="S28" s="160"/>
      <c r="T28" s="160"/>
      <c r="U28" s="160"/>
      <c r="V28" s="160"/>
      <c r="W28" s="160"/>
      <c r="X28" s="160"/>
      <c r="Y28" s="160"/>
      <c r="Z28" s="160"/>
      <c r="AA28" s="160"/>
      <c r="AB28" s="160"/>
      <c r="AC28" s="160"/>
      <c r="AD28" s="160"/>
      <c r="AE28" s="160"/>
      <c r="AF28" s="160"/>
      <c r="AG28" s="159" t="str">
        <f aca="false">IF(Eingabe!F57&amp;""&amp;Eingabe!G57="","",Eingabe!F57&amp;" 
"&amp;Eingabe!G57)</f>
        <v/>
      </c>
      <c r="AH28" s="159"/>
      <c r="AI28" s="159"/>
      <c r="AJ28" s="159"/>
      <c r="AK28" s="159"/>
      <c r="AL28" s="159"/>
      <c r="AM28" s="159"/>
      <c r="AN28" s="159"/>
      <c r="AO28" s="159"/>
      <c r="AP28" s="159"/>
      <c r="AQ28" s="159"/>
      <c r="AR28" s="159"/>
      <c r="AS28" s="159"/>
      <c r="AT28" s="159"/>
      <c r="AU28" s="159"/>
      <c r="AV28" s="159"/>
      <c r="AW28" s="159"/>
      <c r="AX28" s="164" t="str">
        <f aca="false">IF(Eingabe!H57="","",Eingabe!H57)</f>
        <v/>
      </c>
      <c r="AY28" s="164"/>
      <c r="AZ28" s="164"/>
      <c r="BA28" s="164"/>
      <c r="BB28" s="165" t="str">
        <f aca="false">IF(Eingabe!K57="","",Eingabe!K57)</f>
        <v/>
      </c>
      <c r="BC28" s="165"/>
      <c r="BD28" s="165"/>
      <c r="BE28" s="165"/>
      <c r="BF28" s="165"/>
      <c r="BG28" s="165"/>
      <c r="BH28" s="165"/>
      <c r="BI28" s="165"/>
      <c r="BJ28" s="165"/>
      <c r="BK28" s="165"/>
      <c r="BL28" s="165"/>
      <c r="BM28" s="165"/>
      <c r="BN28" s="165"/>
      <c r="BO28" s="155"/>
      <c r="BP28" s="155"/>
      <c r="BQ28" s="155"/>
      <c r="BR28" s="155"/>
      <c r="BS28" s="155"/>
      <c r="BT28" s="155"/>
      <c r="BU28" s="155"/>
      <c r="BV28" s="155"/>
      <c r="BW28" s="155"/>
      <c r="BX28" s="155"/>
      <c r="BY28" s="155"/>
      <c r="BZ28" s="155"/>
      <c r="CA28" s="155"/>
      <c r="CB28" s="155"/>
      <c r="CC28" s="155"/>
      <c r="CD28" s="155"/>
      <c r="CE28" s="155"/>
      <c r="CF28" s="155"/>
      <c r="CG28" s="155"/>
      <c r="CH28" s="155"/>
      <c r="CI28" s="155"/>
      <c r="CJ28" s="155"/>
      <c r="CK28" s="155"/>
      <c r="CL28" s="155"/>
      <c r="CM28" s="155"/>
      <c r="CN28" s="155"/>
      <c r="CO28" s="155"/>
      <c r="CP28" s="155"/>
      <c r="CQ28" s="155"/>
      <c r="CR28" s="155"/>
      <c r="CS28" s="155"/>
      <c r="CT28" s="155"/>
      <c r="CU28" s="155"/>
      <c r="CV28" s="155"/>
      <c r="CW28" s="155"/>
      <c r="CX28" s="155"/>
      <c r="CY28" s="155"/>
      <c r="CZ28" s="155"/>
      <c r="DA28" s="155"/>
      <c r="DB28" s="155"/>
      <c r="DC28" s="155"/>
      <c r="DD28" s="155"/>
      <c r="DE28" s="155"/>
      <c r="DF28" s="155"/>
      <c r="DG28" s="155"/>
      <c r="DH28" s="155"/>
      <c r="DI28" s="155"/>
      <c r="DJ28" s="155"/>
      <c r="DK28" s="155"/>
      <c r="DL28" s="155"/>
      <c r="DM28" s="155"/>
      <c r="DN28" s="155"/>
      <c r="DO28" s="155"/>
      <c r="DP28" s="155"/>
      <c r="DQ28" s="155"/>
      <c r="DR28" s="155"/>
      <c r="DS28" s="155"/>
      <c r="DT28" s="155"/>
      <c r="DU28" s="155"/>
      <c r="DV28" s="155"/>
      <c r="DW28" s="155"/>
      <c r="DX28" s="155"/>
      <c r="DY28" s="155"/>
      <c r="DZ28" s="155"/>
      <c r="EA28" s="155"/>
      <c r="EB28" s="155"/>
      <c r="EC28" s="155"/>
      <c r="ED28" s="155"/>
      <c r="EE28" s="155"/>
      <c r="EF28" s="155"/>
      <c r="EG28" s="155"/>
      <c r="EH28" s="155"/>
      <c r="EI28" s="155"/>
      <c r="EJ28" s="155"/>
      <c r="EK28" s="155"/>
      <c r="EL28" s="155"/>
      <c r="EM28" s="155"/>
      <c r="EN28" s="155"/>
      <c r="EO28" s="155"/>
      <c r="EP28" s="155"/>
      <c r="EQ28" s="155"/>
      <c r="ER28" s="155"/>
      <c r="ES28" s="155"/>
      <c r="ET28" s="155"/>
      <c r="EU28" s="155"/>
      <c r="EV28" s="155"/>
      <c r="EW28" s="155"/>
      <c r="EX28" s="155"/>
      <c r="EY28" s="155"/>
      <c r="EZ28" s="155"/>
      <c r="FA28" s="155"/>
      <c r="FB28" s="155"/>
      <c r="FC28" s="155"/>
      <c r="FD28" s="155"/>
      <c r="FE28" s="155"/>
      <c r="FF28" s="155"/>
      <c r="FG28" s="155"/>
      <c r="FH28" s="155"/>
      <c r="FI28" s="155"/>
      <c r="FJ28" s="155"/>
      <c r="FK28" s="155"/>
      <c r="FL28" s="155"/>
      <c r="FM28" s="155"/>
      <c r="FN28" s="155"/>
      <c r="FO28" s="155"/>
      <c r="FP28" s="155"/>
      <c r="FQ28" s="155"/>
      <c r="FR28" s="155"/>
      <c r="FS28" s="155"/>
      <c r="FT28" s="155"/>
      <c r="FU28" s="155"/>
      <c r="FV28" s="155"/>
      <c r="FW28" s="155"/>
      <c r="FX28" s="155"/>
      <c r="FY28" s="155"/>
      <c r="FZ28" s="155"/>
      <c r="GA28" s="155"/>
      <c r="GB28" s="155"/>
      <c r="GC28" s="155"/>
      <c r="GD28" s="155"/>
      <c r="GE28" s="155"/>
      <c r="GF28" s="155"/>
      <c r="GG28" s="155"/>
      <c r="GH28" s="155"/>
      <c r="GI28" s="155"/>
      <c r="GJ28" s="155"/>
      <c r="GK28" s="155"/>
      <c r="GL28" s="155"/>
      <c r="GM28" s="155"/>
      <c r="GN28" s="155"/>
      <c r="GO28" s="155"/>
      <c r="GP28" s="155"/>
      <c r="GQ28" s="155"/>
      <c r="GR28" s="155"/>
      <c r="GS28" s="155"/>
      <c r="GT28" s="155"/>
      <c r="GU28" s="155"/>
      <c r="GV28" s="155"/>
      <c r="GW28" s="155"/>
      <c r="GX28" s="155"/>
      <c r="GY28" s="155"/>
      <c r="GZ28" s="155"/>
      <c r="HA28" s="155"/>
      <c r="HB28" s="155"/>
      <c r="HC28" s="155"/>
      <c r="HD28" s="155"/>
      <c r="HE28" s="155"/>
      <c r="HF28" s="155"/>
      <c r="HG28" s="155"/>
      <c r="HH28" s="155"/>
      <c r="HI28" s="155"/>
      <c r="HJ28" s="155"/>
      <c r="HK28" s="155"/>
      <c r="HL28" s="155"/>
      <c r="HM28" s="155"/>
      <c r="HN28" s="155"/>
      <c r="HO28" s="155"/>
      <c r="HP28" s="155"/>
      <c r="HQ28" s="155"/>
      <c r="HR28" s="155"/>
      <c r="HS28" s="155"/>
      <c r="HT28" s="155"/>
      <c r="HU28" s="155"/>
      <c r="HV28" s="155"/>
      <c r="HW28" s="155"/>
      <c r="HX28" s="155"/>
      <c r="HY28" s="155"/>
      <c r="HZ28" s="155"/>
      <c r="IA28" s="155"/>
      <c r="IB28" s="155"/>
      <c r="IC28" s="155"/>
      <c r="ID28" s="155"/>
      <c r="IE28" s="155"/>
      <c r="IF28" s="155"/>
      <c r="IG28" s="155"/>
      <c r="IH28" s="155"/>
      <c r="II28" s="155"/>
      <c r="IJ28" s="155"/>
      <c r="IK28" s="155"/>
      <c r="IL28" s="155"/>
      <c r="IM28" s="155"/>
      <c r="IN28" s="155"/>
      <c r="IO28" s="155"/>
      <c r="IP28" s="155"/>
      <c r="IQ28" s="155"/>
      <c r="IR28" s="155"/>
      <c r="IS28" s="155"/>
      <c r="IT28" s="155"/>
      <c r="IU28" s="155"/>
      <c r="IV28" s="155"/>
    </row>
    <row r="29" customFormat="false" ht="10.5" hidden="false" customHeight="true" outlineLevel="0" collapsed="false">
      <c r="A29" s="166" t="s">
        <v>84</v>
      </c>
      <c r="B29" s="166"/>
      <c r="C29" s="166"/>
      <c r="D29" s="166"/>
      <c r="E29" s="166"/>
      <c r="F29" s="166"/>
      <c r="G29" s="166"/>
      <c r="H29" s="166"/>
      <c r="I29" s="166"/>
      <c r="J29" s="166"/>
      <c r="K29" s="166"/>
      <c r="L29" s="166"/>
      <c r="M29" s="166"/>
      <c r="N29" s="166"/>
      <c r="O29" s="166"/>
      <c r="P29" s="166"/>
      <c r="Q29" s="166"/>
      <c r="R29" s="166"/>
      <c r="S29" s="166"/>
      <c r="T29" s="166"/>
      <c r="U29" s="166"/>
      <c r="V29" s="166"/>
      <c r="W29" s="166" t="s">
        <v>85</v>
      </c>
      <c r="X29" s="166"/>
      <c r="Y29" s="166"/>
      <c r="Z29" s="166"/>
      <c r="AA29" s="166"/>
      <c r="AB29" s="166"/>
      <c r="AC29" s="166"/>
      <c r="AD29" s="166"/>
      <c r="AE29" s="166"/>
      <c r="AF29" s="166"/>
      <c r="AG29" s="166"/>
      <c r="AH29" s="166"/>
      <c r="AI29" s="166"/>
      <c r="AJ29" s="166"/>
      <c r="AK29" s="166"/>
      <c r="AL29" s="166"/>
      <c r="AM29" s="166"/>
      <c r="AN29" s="166"/>
      <c r="AO29" s="166"/>
      <c r="AP29" s="166"/>
      <c r="AQ29" s="166"/>
      <c r="AR29" s="166"/>
      <c r="AS29" s="166" t="s">
        <v>86</v>
      </c>
      <c r="AT29" s="166"/>
      <c r="AU29" s="166"/>
      <c r="AV29" s="166"/>
      <c r="AW29" s="166"/>
      <c r="AX29" s="166"/>
      <c r="AY29" s="166"/>
      <c r="AZ29" s="166"/>
      <c r="BA29" s="166"/>
      <c r="BB29" s="166" t="s">
        <v>87</v>
      </c>
      <c r="BC29" s="166"/>
      <c r="BD29" s="166"/>
      <c r="BE29" s="166"/>
      <c r="BF29" s="166"/>
      <c r="BG29" s="166"/>
      <c r="BH29" s="166"/>
      <c r="BI29" s="166"/>
      <c r="BJ29" s="166"/>
      <c r="BK29" s="166"/>
      <c r="BL29" s="166"/>
      <c r="BM29" s="166"/>
      <c r="BN29" s="166"/>
    </row>
    <row r="30" customFormat="false" ht="10.5" hidden="false" customHeight="true" outlineLevel="0" collapsed="false">
      <c r="A30" s="167" t="str">
        <f aca="false">IF(Eingabe!O2="","",Eingabe!O2)</f>
        <v/>
      </c>
      <c r="B30" s="167"/>
      <c r="C30" s="167"/>
      <c r="D30" s="167"/>
      <c r="E30" s="167"/>
      <c r="F30" s="167"/>
      <c r="G30" s="167"/>
      <c r="H30" s="167"/>
      <c r="I30" s="167"/>
      <c r="J30" s="167"/>
      <c r="K30" s="167"/>
      <c r="L30" s="167"/>
      <c r="M30" s="167"/>
      <c r="N30" s="167"/>
      <c r="O30" s="167"/>
      <c r="P30" s="167"/>
      <c r="Q30" s="167"/>
      <c r="R30" s="167"/>
      <c r="S30" s="167"/>
      <c r="T30" s="167"/>
      <c r="U30" s="167"/>
      <c r="V30" s="167"/>
      <c r="W30" s="168" t="str">
        <f aca="false">IF(Eingabe!E3="","",Eingabe!E3)</f>
        <v>Simon Grundner</v>
      </c>
      <c r="X30" s="168"/>
      <c r="Y30" s="168"/>
      <c r="Z30" s="168"/>
      <c r="AA30" s="168"/>
      <c r="AB30" s="168"/>
      <c r="AC30" s="168"/>
      <c r="AD30" s="168"/>
      <c r="AE30" s="168"/>
      <c r="AF30" s="168"/>
      <c r="AG30" s="168"/>
      <c r="AH30" s="168"/>
      <c r="AI30" s="168"/>
      <c r="AJ30" s="168"/>
      <c r="AK30" s="168"/>
      <c r="AL30" s="168"/>
      <c r="AM30" s="168"/>
      <c r="AN30" s="168"/>
      <c r="AO30" s="168"/>
      <c r="AP30" s="168"/>
      <c r="AQ30" s="168"/>
      <c r="AR30" s="168"/>
      <c r="AS30" s="169" t="str">
        <f aca="false">IF(Eingabe!I1="","",Eingabe!I1)</f>
        <v/>
      </c>
      <c r="AT30" s="169"/>
      <c r="AU30" s="169"/>
      <c r="AV30" s="169"/>
      <c r="AW30" s="169"/>
      <c r="AX30" s="169"/>
      <c r="AY30" s="169"/>
      <c r="AZ30" s="169"/>
      <c r="BA30" s="169"/>
      <c r="BB30" s="170" t="str">
        <f aca="false">IF(Eingabe!I2="","",Eingabe!I2)</f>
        <v>FR4</v>
      </c>
      <c r="BC30" s="170"/>
      <c r="BD30" s="170"/>
      <c r="BE30" s="170"/>
      <c r="BF30" s="170"/>
      <c r="BG30" s="170"/>
      <c r="BH30" s="170"/>
      <c r="BI30" s="170"/>
      <c r="BJ30" s="170"/>
      <c r="BK30" s="170"/>
      <c r="BL30" s="170"/>
      <c r="BM30" s="170"/>
      <c r="BN30" s="170"/>
    </row>
    <row r="31" customFormat="false" ht="10.5" hidden="false" customHeight="true" outlineLevel="0" collapsed="false">
      <c r="A31" s="167"/>
      <c r="B31" s="167"/>
      <c r="C31" s="167"/>
      <c r="D31" s="167"/>
      <c r="E31" s="167"/>
      <c r="F31" s="167"/>
      <c r="G31" s="167"/>
      <c r="H31" s="167"/>
      <c r="I31" s="167"/>
      <c r="J31" s="167"/>
      <c r="K31" s="167"/>
      <c r="L31" s="167"/>
      <c r="M31" s="167"/>
      <c r="N31" s="167"/>
      <c r="O31" s="167"/>
      <c r="P31" s="167"/>
      <c r="Q31" s="167"/>
      <c r="R31" s="167"/>
      <c r="S31" s="167"/>
      <c r="T31" s="167"/>
      <c r="U31" s="167"/>
      <c r="V31" s="167"/>
      <c r="W31" s="168"/>
      <c r="X31" s="168"/>
      <c r="Y31" s="168"/>
      <c r="Z31" s="168"/>
      <c r="AA31" s="168"/>
      <c r="AB31" s="168"/>
      <c r="AC31" s="168"/>
      <c r="AD31" s="168"/>
      <c r="AE31" s="168"/>
      <c r="AF31" s="168"/>
      <c r="AG31" s="168"/>
      <c r="AH31" s="168"/>
      <c r="AI31" s="168"/>
      <c r="AJ31" s="168"/>
      <c r="AK31" s="168"/>
      <c r="AL31" s="168"/>
      <c r="AM31" s="168"/>
      <c r="AN31" s="168"/>
      <c r="AO31" s="168"/>
      <c r="AP31" s="168"/>
      <c r="AQ31" s="168"/>
      <c r="AR31" s="168"/>
      <c r="AS31" s="169"/>
      <c r="AT31" s="169"/>
      <c r="AU31" s="169"/>
      <c r="AV31" s="169"/>
      <c r="AW31" s="169"/>
      <c r="AX31" s="169"/>
      <c r="AY31" s="169"/>
      <c r="AZ31" s="169"/>
      <c r="BA31" s="169"/>
      <c r="BB31" s="170"/>
      <c r="BC31" s="170"/>
      <c r="BD31" s="170"/>
      <c r="BE31" s="170"/>
      <c r="BF31" s="170"/>
      <c r="BG31" s="170"/>
      <c r="BH31" s="170"/>
      <c r="BI31" s="170"/>
      <c r="BJ31" s="170"/>
      <c r="BK31" s="170"/>
      <c r="BL31" s="170"/>
      <c r="BM31" s="170"/>
      <c r="BN31" s="170"/>
    </row>
    <row r="32" customFormat="false" ht="10.5" hidden="false" customHeight="true" outlineLevel="0" collapsed="false">
      <c r="A32" s="171"/>
      <c r="B32" s="171"/>
      <c r="C32" s="171"/>
      <c r="D32" s="171"/>
      <c r="E32" s="171"/>
      <c r="F32" s="171"/>
      <c r="G32" s="171"/>
      <c r="H32" s="171"/>
      <c r="I32" s="171"/>
      <c r="J32" s="171"/>
      <c r="K32" s="171"/>
      <c r="L32" s="171"/>
      <c r="M32" s="171"/>
      <c r="N32" s="171"/>
      <c r="O32" s="171"/>
      <c r="P32" s="171"/>
      <c r="Q32" s="171"/>
      <c r="R32" s="171"/>
      <c r="S32" s="171"/>
      <c r="T32" s="171"/>
      <c r="U32" s="171"/>
      <c r="V32" s="171"/>
      <c r="W32" s="166" t="s">
        <v>88</v>
      </c>
      <c r="X32" s="166"/>
      <c r="Y32" s="166"/>
      <c r="Z32" s="166"/>
      <c r="AA32" s="166"/>
      <c r="AB32" s="166"/>
      <c r="AC32" s="166"/>
      <c r="AD32" s="166"/>
      <c r="AE32" s="166"/>
      <c r="AF32" s="166"/>
      <c r="AG32" s="166" t="s">
        <v>89</v>
      </c>
      <c r="AH32" s="166"/>
      <c r="AI32" s="166"/>
      <c r="AJ32" s="166"/>
      <c r="AK32" s="166" t="s">
        <v>90</v>
      </c>
      <c r="AL32" s="166"/>
      <c r="AM32" s="166"/>
      <c r="AN32" s="166"/>
      <c r="AO32" s="166" t="s">
        <v>91</v>
      </c>
      <c r="AP32" s="166"/>
      <c r="AQ32" s="166"/>
      <c r="AR32" s="166"/>
      <c r="AS32" s="172" t="s">
        <v>92</v>
      </c>
      <c r="AT32" s="172"/>
      <c r="AU32" s="172"/>
      <c r="AV32" s="172"/>
      <c r="AW32" s="172"/>
      <c r="AX32" s="172"/>
      <c r="AY32" s="172"/>
      <c r="AZ32" s="172"/>
      <c r="BA32" s="172"/>
      <c r="BB32" s="172"/>
      <c r="BC32" s="172"/>
      <c r="BD32" s="172"/>
      <c r="BE32" s="172"/>
      <c r="BF32" s="172"/>
      <c r="BG32" s="172"/>
      <c r="BH32" s="172"/>
      <c r="BI32" s="166" t="s">
        <v>93</v>
      </c>
      <c r="BJ32" s="166"/>
      <c r="BK32" s="166"/>
      <c r="BL32" s="166"/>
      <c r="BM32" s="166"/>
      <c r="BN32" s="166"/>
    </row>
    <row r="33" customFormat="false" ht="10.5" hidden="false" customHeight="true" outlineLevel="0" collapsed="false">
      <c r="A33" s="171"/>
      <c r="B33" s="171"/>
      <c r="C33" s="171"/>
      <c r="D33" s="171"/>
      <c r="E33" s="171"/>
      <c r="F33" s="171"/>
      <c r="G33" s="171"/>
      <c r="H33" s="171"/>
      <c r="I33" s="171"/>
      <c r="J33" s="171"/>
      <c r="K33" s="171"/>
      <c r="L33" s="171"/>
      <c r="M33" s="171"/>
      <c r="N33" s="171"/>
      <c r="O33" s="171"/>
      <c r="P33" s="171"/>
      <c r="Q33" s="171"/>
      <c r="R33" s="171"/>
      <c r="S33" s="171"/>
      <c r="T33" s="171"/>
      <c r="U33" s="171"/>
      <c r="V33" s="171"/>
      <c r="W33" s="167" t="str">
        <f aca="false">IF(CONCATENATE(Eingabe!E1," ", Eingabe!E2)="","",CONCATENATE(Eingabe!E1," ", Eingabe!E2))</f>
        <v> </v>
      </c>
      <c r="X33" s="167"/>
      <c r="Y33" s="167"/>
      <c r="Z33" s="167"/>
      <c r="AA33" s="167"/>
      <c r="AB33" s="167"/>
      <c r="AC33" s="167"/>
      <c r="AD33" s="167"/>
      <c r="AE33" s="167"/>
      <c r="AF33" s="167"/>
      <c r="AG33" s="167" t="str">
        <f aca="false">IF(Eingabe!E4="","",Eingabe!E4)</f>
        <v>GruS</v>
      </c>
      <c r="AH33" s="167"/>
      <c r="AI33" s="167"/>
      <c r="AJ33" s="167"/>
      <c r="AK33" s="173" t="str">
        <f aca="false">IF(Eingabe!I3="","",Eingabe!I3)</f>
        <v/>
      </c>
      <c r="AL33" s="173"/>
      <c r="AM33" s="173"/>
      <c r="AN33" s="173"/>
      <c r="AO33" s="173" t="str">
        <f aca="false">IF(Eingabe!I4="","",Eingabe!I4)</f>
        <v/>
      </c>
      <c r="AP33" s="173"/>
      <c r="AQ33" s="173"/>
      <c r="AR33" s="173"/>
      <c r="AS33" s="174" t="str">
        <f aca="false">IF(Eingabe!L1="","",Eingabe!L1)</f>
        <v>Stückliste</v>
      </c>
      <c r="AT33" s="174"/>
      <c r="AU33" s="174"/>
      <c r="AV33" s="174"/>
      <c r="AW33" s="174"/>
      <c r="AX33" s="174"/>
      <c r="AY33" s="174"/>
      <c r="AZ33" s="174"/>
      <c r="BA33" s="174"/>
      <c r="BB33" s="174"/>
      <c r="BC33" s="174"/>
      <c r="BD33" s="174"/>
      <c r="BE33" s="174"/>
      <c r="BF33" s="174"/>
      <c r="BG33" s="174"/>
      <c r="BH33" s="174"/>
      <c r="BI33" s="167" t="str">
        <f aca="false">IF(Eingabe!I5="","",Eingabe!I5)</f>
        <v/>
      </c>
      <c r="BJ33" s="167"/>
      <c r="BK33" s="167"/>
      <c r="BL33" s="167"/>
      <c r="BM33" s="167"/>
      <c r="BN33" s="167"/>
    </row>
    <row r="34" customFormat="false" ht="10.5" hidden="false" customHeight="true" outlineLevel="0" collapsed="false">
      <c r="A34" s="171"/>
      <c r="B34" s="171"/>
      <c r="C34" s="171"/>
      <c r="D34" s="171"/>
      <c r="E34" s="171"/>
      <c r="F34" s="171"/>
      <c r="G34" s="171"/>
      <c r="H34" s="171"/>
      <c r="I34" s="171"/>
      <c r="J34" s="171"/>
      <c r="K34" s="171"/>
      <c r="L34" s="171"/>
      <c r="M34" s="171"/>
      <c r="N34" s="171"/>
      <c r="O34" s="171"/>
      <c r="P34" s="171"/>
      <c r="Q34" s="171"/>
      <c r="R34" s="171"/>
      <c r="S34" s="171"/>
      <c r="T34" s="171"/>
      <c r="U34" s="171"/>
      <c r="V34" s="171"/>
      <c r="W34" s="167"/>
      <c r="X34" s="167"/>
      <c r="Y34" s="167"/>
      <c r="Z34" s="167"/>
      <c r="AA34" s="167"/>
      <c r="AB34" s="167"/>
      <c r="AC34" s="167"/>
      <c r="AD34" s="167"/>
      <c r="AE34" s="167"/>
      <c r="AF34" s="167"/>
      <c r="AG34" s="167"/>
      <c r="AH34" s="167"/>
      <c r="AI34" s="167"/>
      <c r="AJ34" s="167"/>
      <c r="AK34" s="173"/>
      <c r="AL34" s="173"/>
      <c r="AM34" s="173"/>
      <c r="AN34" s="173"/>
      <c r="AO34" s="173"/>
      <c r="AP34" s="173"/>
      <c r="AQ34" s="173"/>
      <c r="AR34" s="173"/>
      <c r="AS34" s="174"/>
      <c r="AT34" s="174"/>
      <c r="AU34" s="174"/>
      <c r="AV34" s="174"/>
      <c r="AW34" s="174"/>
      <c r="AX34" s="174"/>
      <c r="AY34" s="174"/>
      <c r="AZ34" s="174"/>
      <c r="BA34" s="174"/>
      <c r="BB34" s="174"/>
      <c r="BC34" s="174"/>
      <c r="BD34" s="174"/>
      <c r="BE34" s="174"/>
      <c r="BF34" s="174"/>
      <c r="BG34" s="174"/>
      <c r="BH34" s="174"/>
      <c r="BI34" s="167"/>
      <c r="BJ34" s="167"/>
      <c r="BK34" s="167"/>
      <c r="BL34" s="167"/>
      <c r="BM34" s="167"/>
      <c r="BN34" s="167"/>
    </row>
    <row r="35" customFormat="false" ht="10.5" hidden="false" customHeight="true" outlineLevel="0" collapsed="false">
      <c r="A35" s="171"/>
      <c r="B35" s="171"/>
      <c r="C35" s="171"/>
      <c r="D35" s="171"/>
      <c r="E35" s="171"/>
      <c r="F35" s="171"/>
      <c r="G35" s="171"/>
      <c r="H35" s="171"/>
      <c r="I35" s="171"/>
      <c r="J35" s="171"/>
      <c r="K35" s="171"/>
      <c r="L35" s="171"/>
      <c r="M35" s="171"/>
      <c r="N35" s="171"/>
      <c r="O35" s="171"/>
      <c r="P35" s="171"/>
      <c r="Q35" s="171"/>
      <c r="R35" s="171"/>
      <c r="S35" s="171"/>
      <c r="T35" s="171"/>
      <c r="U35" s="171"/>
      <c r="V35" s="171"/>
      <c r="W35" s="166" t="s">
        <v>94</v>
      </c>
      <c r="X35" s="166"/>
      <c r="Y35" s="166"/>
      <c r="Z35" s="166"/>
      <c r="AA35" s="166"/>
      <c r="AB35" s="166"/>
      <c r="AC35" s="166"/>
      <c r="AD35" s="166"/>
      <c r="AE35" s="166"/>
      <c r="AF35" s="166"/>
      <c r="AG35" s="166"/>
      <c r="AH35" s="166"/>
      <c r="AI35" s="166"/>
      <c r="AJ35" s="166"/>
      <c r="AK35" s="166"/>
      <c r="AL35" s="166"/>
      <c r="AM35" s="166"/>
      <c r="AN35" s="166"/>
      <c r="AO35" s="166"/>
      <c r="AP35" s="166"/>
      <c r="AQ35" s="166"/>
      <c r="AR35" s="166"/>
      <c r="AS35" s="166" t="s">
        <v>95</v>
      </c>
      <c r="AT35" s="166"/>
      <c r="AU35" s="166"/>
      <c r="AV35" s="166"/>
      <c r="AW35" s="166"/>
      <c r="AX35" s="166"/>
      <c r="AY35" s="166"/>
      <c r="AZ35" s="166" t="s">
        <v>96</v>
      </c>
      <c r="BA35" s="166"/>
      <c r="BB35" s="166"/>
      <c r="BC35" s="166"/>
      <c r="BD35" s="166"/>
      <c r="BE35" s="166" t="s">
        <v>97</v>
      </c>
      <c r="BF35" s="166"/>
      <c r="BG35" s="166"/>
      <c r="BH35" s="166"/>
      <c r="BI35" s="166"/>
      <c r="BJ35" s="166"/>
      <c r="BK35" s="166"/>
      <c r="BL35" s="166"/>
      <c r="BM35" s="166"/>
      <c r="BN35" s="166"/>
    </row>
    <row r="36" customFormat="false" ht="10.5" hidden="false" customHeight="true" outlineLevel="0" collapsed="false">
      <c r="A36" s="171"/>
      <c r="B36" s="171"/>
      <c r="C36" s="171"/>
      <c r="D36" s="171"/>
      <c r="E36" s="171"/>
      <c r="F36" s="171"/>
      <c r="G36" s="171"/>
      <c r="H36" s="171"/>
      <c r="I36" s="171"/>
      <c r="J36" s="171"/>
      <c r="K36" s="171"/>
      <c r="L36" s="171"/>
      <c r="M36" s="171"/>
      <c r="N36" s="171"/>
      <c r="O36" s="171"/>
      <c r="P36" s="171"/>
      <c r="Q36" s="171"/>
      <c r="R36" s="171"/>
      <c r="S36" s="171"/>
      <c r="T36" s="171"/>
      <c r="U36" s="171"/>
      <c r="V36" s="171"/>
      <c r="W36" s="175" t="str">
        <f aca="false">IF(Eingabe!E5="","",Eingabe!E5)</f>
        <v>TOTEM - Bluetooth</v>
      </c>
      <c r="X36" s="175"/>
      <c r="Y36" s="175"/>
      <c r="Z36" s="175"/>
      <c r="AA36" s="175"/>
      <c r="AB36" s="175"/>
      <c r="AC36" s="175"/>
      <c r="AD36" s="175"/>
      <c r="AE36" s="175"/>
      <c r="AF36" s="175"/>
      <c r="AG36" s="175"/>
      <c r="AH36" s="175"/>
      <c r="AI36" s="175"/>
      <c r="AJ36" s="175"/>
      <c r="AK36" s="175"/>
      <c r="AL36" s="175"/>
      <c r="AM36" s="175"/>
      <c r="AN36" s="175"/>
      <c r="AO36" s="175"/>
      <c r="AP36" s="175"/>
      <c r="AQ36" s="175"/>
      <c r="AR36" s="175"/>
      <c r="AS36" s="170" t="str">
        <f aca="false">IF(Eingabe!L3="","",Eingabe!L3)</f>
        <v>1.0</v>
      </c>
      <c r="AT36" s="170"/>
      <c r="AU36" s="170"/>
      <c r="AV36" s="170"/>
      <c r="AW36" s="170"/>
      <c r="AX36" s="170"/>
      <c r="AY36" s="170"/>
      <c r="AZ36" s="170" t="str">
        <f aca="false">IF(Eingabe!L4="","",Eingabe!L4)</f>
        <v>1</v>
      </c>
      <c r="BA36" s="170"/>
      <c r="BB36" s="170"/>
      <c r="BC36" s="170"/>
      <c r="BD36" s="170"/>
      <c r="BE36" s="174" t="str">
        <f aca="false">IF(Eingabe!L5="","",Eingabe!L5)</f>
        <v>Fertigung</v>
      </c>
      <c r="BF36" s="174"/>
      <c r="BG36" s="174"/>
      <c r="BH36" s="174"/>
      <c r="BI36" s="174"/>
      <c r="BJ36" s="174"/>
      <c r="BK36" s="174"/>
      <c r="BL36" s="174"/>
      <c r="BM36" s="174"/>
      <c r="BN36" s="174"/>
    </row>
    <row r="37" customFormat="false" ht="10.5" hidden="false" customHeight="true" outlineLevel="0" collapsed="false">
      <c r="A37" s="176" t="s">
        <v>98</v>
      </c>
      <c r="B37" s="176"/>
      <c r="C37" s="176"/>
      <c r="D37" s="176"/>
      <c r="E37" s="176"/>
      <c r="F37" s="176"/>
      <c r="G37" s="176"/>
      <c r="H37" s="176"/>
      <c r="I37" s="176"/>
      <c r="J37" s="176"/>
      <c r="K37" s="176"/>
      <c r="L37" s="176"/>
      <c r="M37" s="176"/>
      <c r="N37" s="176"/>
      <c r="O37" s="176"/>
      <c r="P37" s="176"/>
      <c r="Q37" s="176"/>
      <c r="R37" s="176"/>
      <c r="S37" s="176"/>
      <c r="T37" s="176"/>
      <c r="U37" s="176"/>
      <c r="V37" s="176"/>
      <c r="W37" s="175"/>
      <c r="X37" s="175"/>
      <c r="Y37" s="175"/>
      <c r="Z37" s="175"/>
      <c r="AA37" s="175"/>
      <c r="AB37" s="175"/>
      <c r="AC37" s="175"/>
      <c r="AD37" s="175"/>
      <c r="AE37" s="175"/>
      <c r="AF37" s="175"/>
      <c r="AG37" s="175"/>
      <c r="AH37" s="175"/>
      <c r="AI37" s="175"/>
      <c r="AJ37" s="175"/>
      <c r="AK37" s="175"/>
      <c r="AL37" s="175"/>
      <c r="AM37" s="175"/>
      <c r="AN37" s="175"/>
      <c r="AO37" s="175"/>
      <c r="AP37" s="175"/>
      <c r="AQ37" s="175"/>
      <c r="AR37" s="175"/>
      <c r="AS37" s="170"/>
      <c r="AT37" s="170"/>
      <c r="AU37" s="170"/>
      <c r="AV37" s="170"/>
      <c r="AW37" s="170"/>
      <c r="AX37" s="170"/>
      <c r="AY37" s="170"/>
      <c r="AZ37" s="170"/>
      <c r="BA37" s="170"/>
      <c r="BB37" s="170"/>
      <c r="BC37" s="170"/>
      <c r="BD37" s="170"/>
      <c r="BE37" s="174"/>
      <c r="BF37" s="174"/>
      <c r="BG37" s="174"/>
      <c r="BH37" s="174"/>
      <c r="BI37" s="174"/>
      <c r="BJ37" s="174"/>
      <c r="BK37" s="174"/>
      <c r="BL37" s="174"/>
      <c r="BM37" s="174"/>
      <c r="BN37" s="174"/>
    </row>
    <row r="38" customFormat="false" ht="10.5" hidden="false" customHeight="true" outlineLevel="0" collapsed="false">
      <c r="A38" s="176"/>
      <c r="B38" s="176"/>
      <c r="C38" s="176"/>
      <c r="D38" s="176"/>
      <c r="E38" s="176"/>
      <c r="F38" s="176"/>
      <c r="G38" s="176"/>
      <c r="H38" s="176"/>
      <c r="I38" s="176"/>
      <c r="J38" s="176"/>
      <c r="K38" s="176"/>
      <c r="L38" s="176"/>
      <c r="M38" s="176"/>
      <c r="N38" s="176"/>
      <c r="O38" s="176"/>
      <c r="P38" s="176"/>
      <c r="Q38" s="176"/>
      <c r="R38" s="176"/>
      <c r="S38" s="176"/>
      <c r="T38" s="176"/>
      <c r="U38" s="176"/>
      <c r="V38" s="176"/>
      <c r="W38" s="175"/>
      <c r="X38" s="175"/>
      <c r="Y38" s="175"/>
      <c r="Z38" s="175"/>
      <c r="AA38" s="175"/>
      <c r="AB38" s="175"/>
      <c r="AC38" s="175"/>
      <c r="AD38" s="175"/>
      <c r="AE38" s="175"/>
      <c r="AF38" s="175"/>
      <c r="AG38" s="175"/>
      <c r="AH38" s="175"/>
      <c r="AI38" s="175"/>
      <c r="AJ38" s="175"/>
      <c r="AK38" s="175"/>
      <c r="AL38" s="175"/>
      <c r="AM38" s="175"/>
      <c r="AN38" s="175"/>
      <c r="AO38" s="175"/>
      <c r="AP38" s="175"/>
      <c r="AQ38" s="175"/>
      <c r="AR38" s="175"/>
      <c r="AS38" s="177" t="s">
        <v>99</v>
      </c>
      <c r="AT38" s="177"/>
      <c r="AU38" s="177"/>
      <c r="AV38" s="177"/>
      <c r="AW38" s="178" t="s">
        <v>100</v>
      </c>
      <c r="AX38" s="178"/>
      <c r="AY38" s="178"/>
      <c r="AZ38" s="166" t="s">
        <v>101</v>
      </c>
      <c r="BA38" s="166"/>
      <c r="BB38" s="166"/>
      <c r="BC38" s="166"/>
      <c r="BD38" s="166"/>
      <c r="BE38" s="166"/>
      <c r="BF38" s="166"/>
      <c r="BG38" s="166"/>
      <c r="BH38" s="166"/>
      <c r="BI38" s="166" t="s">
        <v>102</v>
      </c>
      <c r="BJ38" s="166"/>
      <c r="BK38" s="166"/>
      <c r="BL38" s="179" t="s">
        <v>103</v>
      </c>
      <c r="BM38" s="180"/>
      <c r="BN38" s="181"/>
    </row>
    <row r="39" customFormat="false" ht="10.5" hidden="false" customHeight="true" outlineLevel="0" collapsed="false">
      <c r="A39" s="182" t="str">
        <f aca="false">IF(Eingabe!M6="","",Eingabe!M6)</f>
        <v>Technische Informatik</v>
      </c>
      <c r="B39" s="182"/>
      <c r="C39" s="182"/>
      <c r="D39" s="182"/>
      <c r="E39" s="182"/>
      <c r="F39" s="182"/>
      <c r="G39" s="182"/>
      <c r="H39" s="182"/>
      <c r="I39" s="182"/>
      <c r="J39" s="182"/>
      <c r="K39" s="182"/>
      <c r="L39" s="182"/>
      <c r="M39" s="182"/>
      <c r="N39" s="182"/>
      <c r="O39" s="182"/>
      <c r="P39" s="182"/>
      <c r="Q39" s="182"/>
      <c r="R39" s="182"/>
      <c r="S39" s="182"/>
      <c r="T39" s="182"/>
      <c r="U39" s="182"/>
      <c r="V39" s="182"/>
      <c r="W39" s="174" t="str">
        <f aca="false">IF(Eingabe!E6="","",Eingabe!E6)</f>
        <v>40 Key Split Ergomech KB</v>
      </c>
      <c r="X39" s="174"/>
      <c r="Y39" s="174"/>
      <c r="Z39" s="174"/>
      <c r="AA39" s="174"/>
      <c r="AB39" s="174"/>
      <c r="AC39" s="174"/>
      <c r="AD39" s="174"/>
      <c r="AE39" s="174"/>
      <c r="AF39" s="174"/>
      <c r="AG39" s="174"/>
      <c r="AH39" s="174"/>
      <c r="AI39" s="174"/>
      <c r="AJ39" s="174"/>
      <c r="AK39" s="174"/>
      <c r="AL39" s="174"/>
      <c r="AM39" s="174"/>
      <c r="AN39" s="174"/>
      <c r="AO39" s="174"/>
      <c r="AP39" s="174"/>
      <c r="AQ39" s="174"/>
      <c r="AR39" s="174"/>
      <c r="AS39" s="173" t="str">
        <f aca="false">IF(Eingabe!L6="","",Eingabe!L6)</f>
        <v>ohne</v>
      </c>
      <c r="AT39" s="173"/>
      <c r="AU39" s="173"/>
      <c r="AV39" s="173"/>
      <c r="AW39" s="183" t="str">
        <f aca="false">IF(Eingabe!I6="","",Eingabe!I6)</f>
        <v>DE</v>
      </c>
      <c r="AX39" s="183"/>
      <c r="AY39" s="183"/>
      <c r="AZ39" s="184" t="n">
        <f aca="false">IF(Eingabe!L2="","",Eingabe!L2)</f>
        <v>45824</v>
      </c>
      <c r="BA39" s="184"/>
      <c r="BB39" s="184"/>
      <c r="BC39" s="184"/>
      <c r="BD39" s="184"/>
      <c r="BE39" s="184"/>
      <c r="BF39" s="184"/>
      <c r="BG39" s="184"/>
      <c r="BH39" s="184"/>
      <c r="BI39" s="173" t="n">
        <v>2</v>
      </c>
      <c r="BJ39" s="173"/>
      <c r="BK39" s="173"/>
      <c r="BL39" s="173" t="n">
        <f aca="false">(5-(IF(Eingabe!$C$33="","1","0"))-(IF(Eingabe!$C$58="","1","0"))-(IF(Eingabe!$C$83="","1","0"))-(IF(Eingabe!$C$108="","1","0")))</f>
        <v>1</v>
      </c>
      <c r="BM39" s="173"/>
      <c r="BN39" s="173"/>
    </row>
    <row r="40" customFormat="false" ht="10.5" hidden="false" customHeight="true" outlineLevel="0" collapsed="false">
      <c r="A40" s="182"/>
      <c r="B40" s="182"/>
      <c r="C40" s="182"/>
      <c r="D40" s="182"/>
      <c r="E40" s="182"/>
      <c r="F40" s="182"/>
      <c r="G40" s="182"/>
      <c r="H40" s="182"/>
      <c r="I40" s="182"/>
      <c r="J40" s="182"/>
      <c r="K40" s="182"/>
      <c r="L40" s="182"/>
      <c r="M40" s="182"/>
      <c r="N40" s="182"/>
      <c r="O40" s="182"/>
      <c r="P40" s="182"/>
      <c r="Q40" s="182"/>
      <c r="R40" s="182"/>
      <c r="S40" s="182"/>
      <c r="T40" s="182"/>
      <c r="U40" s="182"/>
      <c r="V40" s="182"/>
      <c r="W40" s="174"/>
      <c r="X40" s="174"/>
      <c r="Y40" s="174"/>
      <c r="Z40" s="174"/>
      <c r="AA40" s="174"/>
      <c r="AB40" s="174"/>
      <c r="AC40" s="174"/>
      <c r="AD40" s="174"/>
      <c r="AE40" s="174"/>
      <c r="AF40" s="174"/>
      <c r="AG40" s="174"/>
      <c r="AH40" s="174"/>
      <c r="AI40" s="174"/>
      <c r="AJ40" s="174"/>
      <c r="AK40" s="174"/>
      <c r="AL40" s="174"/>
      <c r="AM40" s="174"/>
      <c r="AN40" s="174"/>
      <c r="AO40" s="174"/>
      <c r="AP40" s="174"/>
      <c r="AQ40" s="174"/>
      <c r="AR40" s="174"/>
      <c r="AS40" s="173"/>
      <c r="AT40" s="173"/>
      <c r="AU40" s="173"/>
      <c r="AV40" s="173"/>
      <c r="AW40" s="183"/>
      <c r="AX40" s="183"/>
      <c r="AY40" s="183"/>
      <c r="AZ40" s="184"/>
      <c r="BA40" s="184"/>
      <c r="BB40" s="184"/>
      <c r="BC40" s="184"/>
      <c r="BD40" s="184"/>
      <c r="BE40" s="184"/>
      <c r="BF40" s="184"/>
      <c r="BG40" s="184"/>
      <c r="BH40" s="184"/>
      <c r="BI40" s="173"/>
      <c r="BJ40" s="173"/>
      <c r="BK40" s="173"/>
      <c r="BL40" s="173"/>
      <c r="BM40" s="173"/>
      <c r="BN40" s="173"/>
    </row>
    <row r="41" customFormat="false" ht="14.25" hidden="false" customHeight="false" outlineLevel="0" collapsed="false">
      <c r="A41" s="185"/>
      <c r="B41" s="185"/>
      <c r="C41" s="185"/>
      <c r="D41" s="185"/>
      <c r="E41" s="185"/>
      <c r="F41" s="185"/>
      <c r="G41" s="185"/>
      <c r="H41" s="185"/>
      <c r="I41" s="185"/>
      <c r="J41" s="185"/>
      <c r="K41" s="185"/>
      <c r="L41" s="185"/>
      <c r="M41" s="185"/>
      <c r="N41" s="185"/>
      <c r="O41" s="185"/>
      <c r="P41" s="185"/>
      <c r="Q41" s="185"/>
      <c r="R41" s="185"/>
      <c r="S41" s="185"/>
      <c r="T41" s="185"/>
      <c r="U41" s="185"/>
      <c r="V41" s="185"/>
      <c r="W41" s="185"/>
      <c r="X41" s="185"/>
      <c r="Y41" s="185"/>
      <c r="Z41" s="185"/>
      <c r="AA41" s="185"/>
      <c r="AB41" s="185"/>
      <c r="AC41" s="185"/>
      <c r="AD41" s="185"/>
      <c r="AE41" s="185"/>
      <c r="AF41" s="185"/>
      <c r="AG41" s="185"/>
      <c r="AH41" s="185"/>
      <c r="AI41" s="185"/>
      <c r="AJ41" s="185"/>
      <c r="AK41" s="185"/>
      <c r="AL41" s="185"/>
      <c r="AM41" s="185"/>
      <c r="AN41" s="185"/>
      <c r="AO41" s="185"/>
      <c r="AP41" s="185"/>
      <c r="AQ41" s="185"/>
      <c r="AR41" s="185"/>
      <c r="AS41" s="185"/>
      <c r="AT41" s="185"/>
      <c r="AU41" s="185"/>
      <c r="AV41" s="185"/>
      <c r="AW41" s="185"/>
      <c r="AX41" s="185"/>
      <c r="AY41" s="185"/>
      <c r="AZ41" s="185"/>
      <c r="BA41" s="185"/>
      <c r="BB41" s="185"/>
      <c r="BC41" s="185"/>
      <c r="BD41" s="185"/>
      <c r="BE41" s="185"/>
      <c r="BF41" s="185"/>
      <c r="BG41" s="185"/>
      <c r="BH41" s="185"/>
      <c r="BI41" s="185"/>
      <c r="BJ41" s="185"/>
      <c r="BK41" s="185"/>
      <c r="BL41" s="185"/>
      <c r="BM41" s="185"/>
      <c r="BN41" s="185"/>
    </row>
  </sheetData>
  <sheetProtection sheet="true" objects="true" scenarios="true" selectLockedCells="true"/>
  <mergeCells count="230">
    <mergeCell ref="A1:D1"/>
    <mergeCell ref="E1:H1"/>
    <mergeCell ref="I1:L1"/>
    <mergeCell ref="M1:AF1"/>
    <mergeCell ref="AG1:AW1"/>
    <mergeCell ref="AX1:BA1"/>
    <mergeCell ref="BB1:BN1"/>
    <mergeCell ref="A2:D3"/>
    <mergeCell ref="E2:H3"/>
    <mergeCell ref="I2:L3"/>
    <mergeCell ref="M2:AF3"/>
    <mergeCell ref="AG2:AW3"/>
    <mergeCell ref="AX2:BA3"/>
    <mergeCell ref="BB2:BN3"/>
    <mergeCell ref="A4:D4"/>
    <mergeCell ref="E4:H4"/>
    <mergeCell ref="I4:L4"/>
    <mergeCell ref="M4:AF4"/>
    <mergeCell ref="AG4:AW4"/>
    <mergeCell ref="AX4:BA4"/>
    <mergeCell ref="BB4:BN4"/>
    <mergeCell ref="A5:D5"/>
    <mergeCell ref="E5:H5"/>
    <mergeCell ref="I5:L5"/>
    <mergeCell ref="M5:AF5"/>
    <mergeCell ref="AG5:AW5"/>
    <mergeCell ref="AX5:BA5"/>
    <mergeCell ref="BB5:BN5"/>
    <mergeCell ref="A6:D6"/>
    <mergeCell ref="E6:H6"/>
    <mergeCell ref="I6:L6"/>
    <mergeCell ref="M6:AF6"/>
    <mergeCell ref="AG6:AW6"/>
    <mergeCell ref="AX6:BA6"/>
    <mergeCell ref="BB6:BN6"/>
    <mergeCell ref="A7:D7"/>
    <mergeCell ref="E7:H7"/>
    <mergeCell ref="I7:L7"/>
    <mergeCell ref="M7:AF7"/>
    <mergeCell ref="AG7:AW7"/>
    <mergeCell ref="AX7:BA7"/>
    <mergeCell ref="BB7:BN7"/>
    <mergeCell ref="A8:D8"/>
    <mergeCell ref="E8:H8"/>
    <mergeCell ref="I8:L8"/>
    <mergeCell ref="M8:AF8"/>
    <mergeCell ref="AG8:AW8"/>
    <mergeCell ref="AX8:BA8"/>
    <mergeCell ref="BB8:BN8"/>
    <mergeCell ref="A9:D9"/>
    <mergeCell ref="E9:H9"/>
    <mergeCell ref="I9:L9"/>
    <mergeCell ref="M9:AF9"/>
    <mergeCell ref="AG9:AW9"/>
    <mergeCell ref="AX9:BA9"/>
    <mergeCell ref="BB9:BN9"/>
    <mergeCell ref="A10:D10"/>
    <mergeCell ref="E10:H10"/>
    <mergeCell ref="I10:L10"/>
    <mergeCell ref="M10:AF10"/>
    <mergeCell ref="AG10:AW10"/>
    <mergeCell ref="AX10:BA10"/>
    <mergeCell ref="BB10:BN10"/>
    <mergeCell ref="A11:D11"/>
    <mergeCell ref="E11:H11"/>
    <mergeCell ref="I11:L11"/>
    <mergeCell ref="M11:AF11"/>
    <mergeCell ref="AG11:AW11"/>
    <mergeCell ref="AX11:BA11"/>
    <mergeCell ref="BB11:BN11"/>
    <mergeCell ref="A12:D12"/>
    <mergeCell ref="E12:H12"/>
    <mergeCell ref="I12:L12"/>
    <mergeCell ref="M12:AF12"/>
    <mergeCell ref="AG12:AW12"/>
    <mergeCell ref="AX12:BA12"/>
    <mergeCell ref="BB12:BN12"/>
    <mergeCell ref="A13:D13"/>
    <mergeCell ref="E13:H13"/>
    <mergeCell ref="I13:L13"/>
    <mergeCell ref="M13:AF13"/>
    <mergeCell ref="AG13:AW13"/>
    <mergeCell ref="AX13:BA13"/>
    <mergeCell ref="BB13:BN13"/>
    <mergeCell ref="A14:D14"/>
    <mergeCell ref="E14:H14"/>
    <mergeCell ref="I14:L14"/>
    <mergeCell ref="M14:AF14"/>
    <mergeCell ref="AG14:AW14"/>
    <mergeCell ref="AX14:BA14"/>
    <mergeCell ref="BB14:BN14"/>
    <mergeCell ref="A15:D15"/>
    <mergeCell ref="E15:H15"/>
    <mergeCell ref="I15:L15"/>
    <mergeCell ref="M15:AF15"/>
    <mergeCell ref="AG15:AW15"/>
    <mergeCell ref="AX15:BA15"/>
    <mergeCell ref="BB15:BN15"/>
    <mergeCell ref="A16:D16"/>
    <mergeCell ref="E16:H16"/>
    <mergeCell ref="I16:L16"/>
    <mergeCell ref="M16:AF16"/>
    <mergeCell ref="AG16:AW16"/>
    <mergeCell ref="AX16:BA16"/>
    <mergeCell ref="BB16:BN16"/>
    <mergeCell ref="A17:D17"/>
    <mergeCell ref="E17:H17"/>
    <mergeCell ref="I17:L17"/>
    <mergeCell ref="M17:AF17"/>
    <mergeCell ref="AG17:AW17"/>
    <mergeCell ref="AX17:BA17"/>
    <mergeCell ref="BB17:BN17"/>
    <mergeCell ref="A18:D18"/>
    <mergeCell ref="E18:H18"/>
    <mergeCell ref="I18:L18"/>
    <mergeCell ref="M18:AF18"/>
    <mergeCell ref="AG18:AW18"/>
    <mergeCell ref="AX18:BA18"/>
    <mergeCell ref="BB18:BN18"/>
    <mergeCell ref="A19:D19"/>
    <mergeCell ref="E19:H19"/>
    <mergeCell ref="I19:L19"/>
    <mergeCell ref="M19:AF19"/>
    <mergeCell ref="AG19:AW19"/>
    <mergeCell ref="AX19:BA19"/>
    <mergeCell ref="BB19:BN19"/>
    <mergeCell ref="A20:D20"/>
    <mergeCell ref="E20:H20"/>
    <mergeCell ref="I20:L20"/>
    <mergeCell ref="M20:AF20"/>
    <mergeCell ref="AG20:AW20"/>
    <mergeCell ref="AX20:BA20"/>
    <mergeCell ref="BB20:BN20"/>
    <mergeCell ref="A21:D21"/>
    <mergeCell ref="E21:H21"/>
    <mergeCell ref="I21:L21"/>
    <mergeCell ref="M21:AF21"/>
    <mergeCell ref="AG21:AW21"/>
    <mergeCell ref="AX21:BA21"/>
    <mergeCell ref="BB21:BN21"/>
    <mergeCell ref="A22:D22"/>
    <mergeCell ref="E22:H22"/>
    <mergeCell ref="I22:L22"/>
    <mergeCell ref="M22:AF22"/>
    <mergeCell ref="AG22:AW22"/>
    <mergeCell ref="AX22:BA22"/>
    <mergeCell ref="BB22:BN22"/>
    <mergeCell ref="A23:D23"/>
    <mergeCell ref="E23:H23"/>
    <mergeCell ref="I23:L23"/>
    <mergeCell ref="M23:AF23"/>
    <mergeCell ref="AG23:AW23"/>
    <mergeCell ref="AX23:BA23"/>
    <mergeCell ref="BB23:BN23"/>
    <mergeCell ref="A24:D24"/>
    <mergeCell ref="E24:H24"/>
    <mergeCell ref="I24:L24"/>
    <mergeCell ref="M24:AF24"/>
    <mergeCell ref="AG24:AW24"/>
    <mergeCell ref="AX24:BA24"/>
    <mergeCell ref="BB24:BN24"/>
    <mergeCell ref="A25:D25"/>
    <mergeCell ref="E25:H25"/>
    <mergeCell ref="I25:L25"/>
    <mergeCell ref="M25:AF25"/>
    <mergeCell ref="AG25:AW25"/>
    <mergeCell ref="AX25:BA25"/>
    <mergeCell ref="BB25:BN25"/>
    <mergeCell ref="A26:D26"/>
    <mergeCell ref="E26:H26"/>
    <mergeCell ref="I26:L26"/>
    <mergeCell ref="M26:AF26"/>
    <mergeCell ref="AG26:AW26"/>
    <mergeCell ref="AX26:BA26"/>
    <mergeCell ref="BB26:BN26"/>
    <mergeCell ref="A27:D27"/>
    <mergeCell ref="E27:H27"/>
    <mergeCell ref="I27:L27"/>
    <mergeCell ref="M27:AF27"/>
    <mergeCell ref="AG27:AW27"/>
    <mergeCell ref="AX27:BA27"/>
    <mergeCell ref="BB27:BN27"/>
    <mergeCell ref="A28:D28"/>
    <mergeCell ref="E28:H28"/>
    <mergeCell ref="I28:L28"/>
    <mergeCell ref="M28:AF28"/>
    <mergeCell ref="AG28:AW28"/>
    <mergeCell ref="AX28:BA28"/>
    <mergeCell ref="BB28:BN28"/>
    <mergeCell ref="A29:V29"/>
    <mergeCell ref="W29:AR29"/>
    <mergeCell ref="AS29:BA29"/>
    <mergeCell ref="BB29:BN29"/>
    <mergeCell ref="A30:V31"/>
    <mergeCell ref="W30:AR31"/>
    <mergeCell ref="AS30:BA31"/>
    <mergeCell ref="BB30:BN31"/>
    <mergeCell ref="A32:V36"/>
    <mergeCell ref="W32:AF32"/>
    <mergeCell ref="AG32:AJ32"/>
    <mergeCell ref="AK32:AN32"/>
    <mergeCell ref="AO32:AR32"/>
    <mergeCell ref="AS32:BH32"/>
    <mergeCell ref="BI32:BN32"/>
    <mergeCell ref="W33:AF34"/>
    <mergeCell ref="AG33:AJ34"/>
    <mergeCell ref="AK33:AN34"/>
    <mergeCell ref="AO33:AR34"/>
    <mergeCell ref="AS33:BH34"/>
    <mergeCell ref="BI33:BN34"/>
    <mergeCell ref="W35:AR35"/>
    <mergeCell ref="AS35:AY35"/>
    <mergeCell ref="AZ35:BD35"/>
    <mergeCell ref="BE35:BN35"/>
    <mergeCell ref="W36:AR38"/>
    <mergeCell ref="AS36:AY37"/>
    <mergeCell ref="AZ36:BD37"/>
    <mergeCell ref="BE36:BN37"/>
    <mergeCell ref="A37:V38"/>
    <mergeCell ref="AS38:AV38"/>
    <mergeCell ref="AW38:AY38"/>
    <mergeCell ref="AZ38:BH38"/>
    <mergeCell ref="BI38:BK38"/>
    <mergeCell ref="A39:V40"/>
    <mergeCell ref="W39:AR40"/>
    <mergeCell ref="AS39:AV40"/>
    <mergeCell ref="AW39:AY40"/>
    <mergeCell ref="AZ39:BH40"/>
    <mergeCell ref="BI39:BK40"/>
    <mergeCell ref="BL39:BN40"/>
  </mergeCells>
  <printOptions headings="false" gridLines="false" gridLinesSet="true" horizontalCentered="false" verticalCentered="false"/>
  <pageMargins left="0.7875" right="0.39375" top="0.39375" bottom="0.39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41"/>
  <sheetViews>
    <sheetView showFormulas="false" showGridLines="true" showRowColHeaders="true" showZeros="true" rightToLeft="false" tabSelected="false" showOutlineSymbols="true" defaultGridColor="true" view="pageBreakPreview" topLeftCell="A1" colorId="64" zoomScale="100" zoomScaleNormal="57" zoomScalePageLayoutView="100" workbookViewId="0">
      <selection pane="topLeft" activeCell="A4" activeCellId="0" sqref="A4"/>
    </sheetView>
  </sheetViews>
  <sheetFormatPr defaultColWidth="10.625" defaultRowHeight="14.25" customHeight="true" zeroHeight="false" outlineLevelRow="0" outlineLevelCol="0"/>
  <cols>
    <col collapsed="false" customWidth="true" hidden="false" outlineLevel="0" max="66" min="1" style="1" width="1.25"/>
    <col collapsed="false" customWidth="false" hidden="false" outlineLevel="0" max="16384" min="67" style="1" width="10.62"/>
  </cols>
  <sheetData>
    <row r="1" customFormat="false" ht="15.75" hidden="false" customHeight="true" outlineLevel="0" collapsed="false">
      <c r="A1" s="142" t="n">
        <v>1</v>
      </c>
      <c r="B1" s="142"/>
      <c r="C1" s="142"/>
      <c r="D1" s="142"/>
      <c r="E1" s="143" t="n">
        <v>2</v>
      </c>
      <c r="F1" s="143"/>
      <c r="G1" s="143"/>
      <c r="H1" s="143"/>
      <c r="I1" s="143" t="n">
        <v>3</v>
      </c>
      <c r="J1" s="143"/>
      <c r="K1" s="143"/>
      <c r="L1" s="143"/>
      <c r="M1" s="143" t="n">
        <v>4</v>
      </c>
      <c r="N1" s="143"/>
      <c r="O1" s="143"/>
      <c r="P1" s="143"/>
      <c r="Q1" s="143"/>
      <c r="R1" s="143"/>
      <c r="S1" s="143"/>
      <c r="T1" s="143"/>
      <c r="U1" s="143"/>
      <c r="V1" s="143"/>
      <c r="W1" s="143"/>
      <c r="X1" s="143"/>
      <c r="Y1" s="143"/>
      <c r="Z1" s="143"/>
      <c r="AA1" s="143"/>
      <c r="AB1" s="143"/>
      <c r="AC1" s="143"/>
      <c r="AD1" s="143"/>
      <c r="AE1" s="143"/>
      <c r="AF1" s="143"/>
      <c r="AG1" s="143" t="n">
        <v>5</v>
      </c>
      <c r="AH1" s="143"/>
      <c r="AI1" s="143"/>
      <c r="AJ1" s="143"/>
      <c r="AK1" s="143"/>
      <c r="AL1" s="143"/>
      <c r="AM1" s="143"/>
      <c r="AN1" s="143"/>
      <c r="AO1" s="143"/>
      <c r="AP1" s="143"/>
      <c r="AQ1" s="143"/>
      <c r="AR1" s="143"/>
      <c r="AS1" s="143"/>
      <c r="AT1" s="143"/>
      <c r="AU1" s="143"/>
      <c r="AV1" s="143"/>
      <c r="AW1" s="143"/>
      <c r="AX1" s="143" t="n">
        <v>6</v>
      </c>
      <c r="AY1" s="143"/>
      <c r="AZ1" s="143"/>
      <c r="BA1" s="143"/>
      <c r="BB1" s="144" t="n">
        <v>7</v>
      </c>
      <c r="BC1" s="144"/>
      <c r="BD1" s="144"/>
      <c r="BE1" s="144"/>
      <c r="BF1" s="144"/>
      <c r="BG1" s="144"/>
      <c r="BH1" s="144"/>
      <c r="BI1" s="144"/>
      <c r="BJ1" s="144"/>
      <c r="BK1" s="144"/>
      <c r="BL1" s="144"/>
      <c r="BM1" s="144"/>
      <c r="BN1" s="144"/>
    </row>
    <row r="2" customFormat="false" ht="18.75" hidden="false" customHeight="true" outlineLevel="0" collapsed="false">
      <c r="A2" s="145" t="str">
        <f aca="false">Eingabe!A7</f>
        <v>Lfd. 
Nr.</v>
      </c>
      <c r="B2" s="145"/>
      <c r="C2" s="145"/>
      <c r="D2" s="145"/>
      <c r="E2" s="146" t="str">
        <f aca="false">Eingabe!B7</f>
        <v>Stück-
zahl</v>
      </c>
      <c r="F2" s="146"/>
      <c r="G2" s="146"/>
      <c r="H2" s="146"/>
      <c r="I2" s="146" t="str">
        <f aca="false">Eingabe!C7</f>
        <v>Ein-
heit</v>
      </c>
      <c r="J2" s="146"/>
      <c r="K2" s="146"/>
      <c r="L2" s="146"/>
      <c r="M2" s="147" t="str">
        <f aca="false">Eingabe!D7</f>
        <v>Benennung</v>
      </c>
      <c r="N2" s="147"/>
      <c r="O2" s="147"/>
      <c r="P2" s="147"/>
      <c r="Q2" s="147"/>
      <c r="R2" s="147"/>
      <c r="S2" s="147"/>
      <c r="T2" s="147"/>
      <c r="U2" s="147"/>
      <c r="V2" s="147"/>
      <c r="W2" s="147"/>
      <c r="X2" s="147"/>
      <c r="Y2" s="147"/>
      <c r="Z2" s="147"/>
      <c r="AA2" s="147"/>
      <c r="AB2" s="147"/>
      <c r="AC2" s="147"/>
      <c r="AD2" s="147"/>
      <c r="AE2" s="147"/>
      <c r="AF2" s="147"/>
      <c r="AG2" s="147" t="str">
        <f aca="false">Eingabe!F7&amp;" / "&amp;Eingabe!G7</f>
        <v>Lieferant / Bestellnummer</v>
      </c>
      <c r="AH2" s="147"/>
      <c r="AI2" s="147"/>
      <c r="AJ2" s="147"/>
      <c r="AK2" s="147"/>
      <c r="AL2" s="147"/>
      <c r="AM2" s="147"/>
      <c r="AN2" s="147"/>
      <c r="AO2" s="147"/>
      <c r="AP2" s="147"/>
      <c r="AQ2" s="147"/>
      <c r="AR2" s="147"/>
      <c r="AS2" s="147"/>
      <c r="AT2" s="147"/>
      <c r="AU2" s="147"/>
      <c r="AV2" s="147"/>
      <c r="AW2" s="147"/>
      <c r="AX2" s="148" t="str">
        <f aca="false">Eingabe!H7</f>
        <v>MCd</v>
      </c>
      <c r="AY2" s="148"/>
      <c r="AZ2" s="148"/>
      <c r="BA2" s="148"/>
      <c r="BB2" s="149" t="str">
        <f aca="false">Eingabe!K7</f>
        <v>Bemerkung</v>
      </c>
      <c r="BC2" s="149"/>
      <c r="BD2" s="149"/>
      <c r="BE2" s="149"/>
      <c r="BF2" s="149"/>
      <c r="BG2" s="149"/>
      <c r="BH2" s="149"/>
      <c r="BI2" s="149"/>
      <c r="BJ2" s="149"/>
      <c r="BK2" s="149"/>
      <c r="BL2" s="149"/>
      <c r="BM2" s="149"/>
      <c r="BN2" s="149"/>
    </row>
    <row r="3" customFormat="false" ht="18.75" hidden="false" customHeight="true" outlineLevel="0" collapsed="false">
      <c r="A3" s="145"/>
      <c r="B3" s="145"/>
      <c r="C3" s="145"/>
      <c r="D3" s="145"/>
      <c r="E3" s="146"/>
      <c r="F3" s="146"/>
      <c r="G3" s="146"/>
      <c r="H3" s="146"/>
      <c r="I3" s="146"/>
      <c r="J3" s="146"/>
      <c r="K3" s="146"/>
      <c r="L3" s="146"/>
      <c r="M3" s="147"/>
      <c r="N3" s="147"/>
      <c r="O3" s="147"/>
      <c r="P3" s="147"/>
      <c r="Q3" s="147"/>
      <c r="R3" s="147"/>
      <c r="S3" s="147"/>
      <c r="T3" s="147"/>
      <c r="U3" s="147"/>
      <c r="V3" s="147"/>
      <c r="W3" s="147"/>
      <c r="X3" s="147"/>
      <c r="Y3" s="147"/>
      <c r="Z3" s="147"/>
      <c r="AA3" s="147"/>
      <c r="AB3" s="147"/>
      <c r="AC3" s="147"/>
      <c r="AD3" s="147"/>
      <c r="AE3" s="147"/>
      <c r="AF3" s="147"/>
      <c r="AG3" s="147"/>
      <c r="AH3" s="147"/>
      <c r="AI3" s="147"/>
      <c r="AJ3" s="147"/>
      <c r="AK3" s="147"/>
      <c r="AL3" s="147"/>
      <c r="AM3" s="147"/>
      <c r="AN3" s="147"/>
      <c r="AO3" s="147"/>
      <c r="AP3" s="147"/>
      <c r="AQ3" s="147"/>
      <c r="AR3" s="147"/>
      <c r="AS3" s="147"/>
      <c r="AT3" s="147"/>
      <c r="AU3" s="147"/>
      <c r="AV3" s="147"/>
      <c r="AW3" s="147"/>
      <c r="AX3" s="148"/>
      <c r="AY3" s="148"/>
      <c r="AZ3" s="148"/>
      <c r="BA3" s="148"/>
      <c r="BB3" s="149"/>
      <c r="BC3" s="149"/>
      <c r="BD3" s="149"/>
      <c r="BE3" s="149"/>
      <c r="BF3" s="149"/>
      <c r="BG3" s="149"/>
      <c r="BH3" s="149"/>
      <c r="BI3" s="149"/>
      <c r="BJ3" s="149"/>
      <c r="BK3" s="149"/>
      <c r="BL3" s="149"/>
      <c r="BM3" s="149"/>
      <c r="BN3" s="149"/>
    </row>
    <row r="4" s="156" customFormat="true" ht="25.5" hidden="false" customHeight="true" outlineLevel="0" collapsed="false">
      <c r="A4" s="150" t="str">
        <f aca="false">IF(Eingabe!A58="","",Eingabe!A58)</f>
        <v/>
      </c>
      <c r="B4" s="150"/>
      <c r="C4" s="150"/>
      <c r="D4" s="150"/>
      <c r="E4" s="151" t="str">
        <f aca="false">IF(Eingabe!B58="","",Eingabe!B58)</f>
        <v/>
      </c>
      <c r="F4" s="151"/>
      <c r="G4" s="151"/>
      <c r="H4" s="151"/>
      <c r="I4" s="152" t="str">
        <f aca="false">IF(Eingabe!C58="","",Eingabe!C58)</f>
        <v/>
      </c>
      <c r="J4" s="152"/>
      <c r="K4" s="152"/>
      <c r="L4" s="152"/>
      <c r="M4" s="153" t="str">
        <f aca="false">IF(Eingabe!D58&amp;""&amp;Eingabe!E58="","",Eingabe!D58&amp;" 
"&amp;Eingabe!E58)</f>
        <v/>
      </c>
      <c r="N4" s="153"/>
      <c r="O4" s="153"/>
      <c r="P4" s="153"/>
      <c r="Q4" s="153"/>
      <c r="R4" s="153"/>
      <c r="S4" s="153"/>
      <c r="T4" s="153"/>
      <c r="U4" s="153"/>
      <c r="V4" s="153"/>
      <c r="W4" s="153"/>
      <c r="X4" s="153"/>
      <c r="Y4" s="153"/>
      <c r="Z4" s="153"/>
      <c r="AA4" s="153"/>
      <c r="AB4" s="153"/>
      <c r="AC4" s="153"/>
      <c r="AD4" s="153"/>
      <c r="AE4" s="153"/>
      <c r="AF4" s="153"/>
      <c r="AG4" s="152" t="str">
        <f aca="false">IF(Eingabe!F58&amp;""&amp;Eingabe!G58="","",Eingabe!F58&amp;" 
"&amp;Eingabe!G58)</f>
        <v/>
      </c>
      <c r="AH4" s="152"/>
      <c r="AI4" s="152"/>
      <c r="AJ4" s="152"/>
      <c r="AK4" s="152"/>
      <c r="AL4" s="152"/>
      <c r="AM4" s="152"/>
      <c r="AN4" s="152"/>
      <c r="AO4" s="152"/>
      <c r="AP4" s="152"/>
      <c r="AQ4" s="152"/>
      <c r="AR4" s="152"/>
      <c r="AS4" s="152"/>
      <c r="AT4" s="152"/>
      <c r="AU4" s="152"/>
      <c r="AV4" s="152"/>
      <c r="AW4" s="152"/>
      <c r="AX4" s="152" t="str">
        <f aca="false">IF(Eingabe!H58="","",Eingabe!H58)</f>
        <v/>
      </c>
      <c r="AY4" s="152"/>
      <c r="AZ4" s="152"/>
      <c r="BA4" s="152"/>
      <c r="BB4" s="154" t="str">
        <f aca="false">IF(Eingabe!K58="","",Eingabe!K58)</f>
        <v/>
      </c>
      <c r="BC4" s="154"/>
      <c r="BD4" s="154"/>
      <c r="BE4" s="154"/>
      <c r="BF4" s="154"/>
      <c r="BG4" s="154"/>
      <c r="BH4" s="154"/>
      <c r="BI4" s="154"/>
      <c r="BJ4" s="154"/>
      <c r="BK4" s="154"/>
      <c r="BL4" s="154"/>
      <c r="BM4" s="154"/>
      <c r="BN4" s="154"/>
      <c r="BO4" s="155"/>
      <c r="BP4" s="155"/>
      <c r="BQ4" s="155"/>
      <c r="BR4" s="155"/>
      <c r="BS4" s="155"/>
      <c r="BT4" s="155"/>
      <c r="BU4" s="155"/>
      <c r="BV4" s="155"/>
      <c r="BW4" s="155"/>
      <c r="BX4" s="155"/>
      <c r="BY4" s="155"/>
      <c r="BZ4" s="155"/>
      <c r="CA4" s="155"/>
      <c r="CB4" s="155"/>
      <c r="CC4" s="155"/>
      <c r="CD4" s="155"/>
      <c r="CE4" s="155"/>
      <c r="CF4" s="155"/>
      <c r="CG4" s="155"/>
      <c r="CH4" s="155"/>
      <c r="CI4" s="155"/>
      <c r="CJ4" s="155"/>
      <c r="CK4" s="155"/>
      <c r="CL4" s="155"/>
      <c r="CM4" s="155"/>
      <c r="CN4" s="155"/>
      <c r="CO4" s="155"/>
      <c r="CP4" s="155"/>
      <c r="CQ4" s="155"/>
      <c r="CR4" s="155"/>
      <c r="CS4" s="155"/>
      <c r="CT4" s="155"/>
      <c r="CU4" s="155"/>
      <c r="CV4" s="155"/>
      <c r="CW4" s="155"/>
      <c r="CX4" s="155"/>
      <c r="CY4" s="155"/>
      <c r="CZ4" s="155"/>
      <c r="DA4" s="155"/>
      <c r="DB4" s="155"/>
      <c r="DC4" s="155"/>
      <c r="DD4" s="155"/>
      <c r="DE4" s="155"/>
      <c r="DF4" s="155"/>
      <c r="DG4" s="155"/>
      <c r="DH4" s="155"/>
      <c r="DI4" s="155"/>
      <c r="DJ4" s="155"/>
      <c r="DK4" s="155"/>
      <c r="DL4" s="155"/>
      <c r="DM4" s="155"/>
      <c r="DN4" s="155"/>
      <c r="DO4" s="155"/>
      <c r="DP4" s="155"/>
      <c r="DQ4" s="155"/>
      <c r="DR4" s="155"/>
      <c r="DS4" s="155"/>
      <c r="DT4" s="155"/>
      <c r="DU4" s="155"/>
      <c r="DV4" s="155"/>
      <c r="DW4" s="155"/>
      <c r="DX4" s="155"/>
      <c r="DY4" s="155"/>
      <c r="DZ4" s="155"/>
      <c r="EA4" s="155"/>
      <c r="EB4" s="155"/>
      <c r="EC4" s="155"/>
      <c r="ED4" s="155"/>
      <c r="EE4" s="155"/>
      <c r="EF4" s="155"/>
      <c r="EG4" s="155"/>
      <c r="EH4" s="155"/>
      <c r="EI4" s="155"/>
      <c r="EJ4" s="155"/>
      <c r="EK4" s="155"/>
      <c r="EL4" s="155"/>
      <c r="EM4" s="155"/>
      <c r="EN4" s="155"/>
      <c r="EO4" s="155"/>
      <c r="EP4" s="155"/>
      <c r="EQ4" s="155"/>
      <c r="ER4" s="155"/>
      <c r="ES4" s="155"/>
      <c r="ET4" s="155"/>
      <c r="EU4" s="155"/>
      <c r="EV4" s="155"/>
      <c r="EW4" s="155"/>
      <c r="EX4" s="155"/>
      <c r="EY4" s="155"/>
      <c r="EZ4" s="155"/>
      <c r="FA4" s="155"/>
      <c r="FB4" s="155"/>
      <c r="FC4" s="155"/>
      <c r="FD4" s="155"/>
      <c r="FE4" s="155"/>
      <c r="FF4" s="155"/>
      <c r="FG4" s="155"/>
      <c r="FH4" s="155"/>
      <c r="FI4" s="155"/>
      <c r="FJ4" s="155"/>
      <c r="FK4" s="155"/>
      <c r="FL4" s="155"/>
      <c r="FM4" s="155"/>
      <c r="FN4" s="155"/>
      <c r="FO4" s="155"/>
      <c r="FP4" s="155"/>
      <c r="FQ4" s="155"/>
      <c r="FR4" s="155"/>
      <c r="FS4" s="155"/>
      <c r="FT4" s="155"/>
      <c r="FU4" s="155"/>
      <c r="FV4" s="155"/>
      <c r="FW4" s="155"/>
      <c r="FX4" s="155"/>
      <c r="FY4" s="155"/>
      <c r="FZ4" s="155"/>
      <c r="GA4" s="155"/>
      <c r="GB4" s="155"/>
      <c r="GC4" s="155"/>
      <c r="GD4" s="155"/>
      <c r="GE4" s="155"/>
      <c r="GF4" s="155"/>
      <c r="GG4" s="155"/>
      <c r="GH4" s="155"/>
      <c r="GI4" s="155"/>
      <c r="GJ4" s="155"/>
      <c r="GK4" s="155"/>
      <c r="GL4" s="155"/>
      <c r="GM4" s="155"/>
      <c r="GN4" s="155"/>
      <c r="GO4" s="155"/>
      <c r="GP4" s="155"/>
      <c r="GQ4" s="155"/>
      <c r="GR4" s="155"/>
      <c r="GS4" s="155"/>
      <c r="GT4" s="155"/>
      <c r="GU4" s="155"/>
      <c r="GV4" s="155"/>
      <c r="GW4" s="155"/>
      <c r="GX4" s="155"/>
      <c r="GY4" s="155"/>
      <c r="GZ4" s="155"/>
      <c r="HA4" s="155"/>
      <c r="HB4" s="155"/>
      <c r="HC4" s="155"/>
      <c r="HD4" s="155"/>
      <c r="HE4" s="155"/>
      <c r="HF4" s="155"/>
      <c r="HG4" s="155"/>
      <c r="HH4" s="155"/>
      <c r="HI4" s="155"/>
      <c r="HJ4" s="155"/>
      <c r="HK4" s="155"/>
      <c r="HL4" s="155"/>
      <c r="HM4" s="155"/>
      <c r="HN4" s="155"/>
      <c r="HO4" s="155"/>
      <c r="HP4" s="155"/>
      <c r="HQ4" s="155"/>
      <c r="HR4" s="155"/>
      <c r="HS4" s="155"/>
      <c r="HT4" s="155"/>
      <c r="HU4" s="155"/>
      <c r="HV4" s="155"/>
      <c r="HW4" s="155"/>
      <c r="HX4" s="155"/>
      <c r="HY4" s="155"/>
      <c r="HZ4" s="155"/>
      <c r="IA4" s="155"/>
      <c r="IB4" s="155"/>
      <c r="IC4" s="155"/>
      <c r="ID4" s="155"/>
      <c r="IE4" s="155"/>
      <c r="IF4" s="155"/>
      <c r="IG4" s="155"/>
      <c r="IH4" s="155"/>
      <c r="II4" s="155"/>
      <c r="IJ4" s="155"/>
      <c r="IK4" s="155"/>
      <c r="IL4" s="155"/>
      <c r="IM4" s="155"/>
      <c r="IN4" s="155"/>
      <c r="IO4" s="155"/>
      <c r="IP4" s="155"/>
      <c r="IQ4" s="155"/>
      <c r="IR4" s="155"/>
      <c r="IS4" s="155"/>
      <c r="IT4" s="155"/>
      <c r="IU4" s="155"/>
      <c r="IV4" s="155"/>
    </row>
    <row r="5" s="156" customFormat="true" ht="25.5" hidden="false" customHeight="true" outlineLevel="0" collapsed="false">
      <c r="A5" s="157" t="str">
        <f aca="false">IF(Eingabe!A59="","",Eingabe!A59)</f>
        <v/>
      </c>
      <c r="B5" s="157"/>
      <c r="C5" s="157"/>
      <c r="D5" s="157"/>
      <c r="E5" s="158" t="str">
        <f aca="false">IF(Eingabe!B59="","",Eingabe!B59)</f>
        <v/>
      </c>
      <c r="F5" s="158"/>
      <c r="G5" s="158"/>
      <c r="H5" s="158"/>
      <c r="I5" s="159" t="str">
        <f aca="false">IF(Eingabe!C59="","",Eingabe!C59)</f>
        <v/>
      </c>
      <c r="J5" s="159"/>
      <c r="K5" s="159"/>
      <c r="L5" s="159"/>
      <c r="M5" s="160" t="str">
        <f aca="false">IF(Eingabe!D59&amp;""&amp;Eingabe!E59="","",Eingabe!D59&amp;" 
"&amp;Eingabe!E59)</f>
        <v/>
      </c>
      <c r="N5" s="160"/>
      <c r="O5" s="160"/>
      <c r="P5" s="160"/>
      <c r="Q5" s="160"/>
      <c r="R5" s="160"/>
      <c r="S5" s="160"/>
      <c r="T5" s="160"/>
      <c r="U5" s="160"/>
      <c r="V5" s="160"/>
      <c r="W5" s="160"/>
      <c r="X5" s="160"/>
      <c r="Y5" s="160"/>
      <c r="Z5" s="160"/>
      <c r="AA5" s="160"/>
      <c r="AB5" s="160"/>
      <c r="AC5" s="160"/>
      <c r="AD5" s="160"/>
      <c r="AE5" s="160"/>
      <c r="AF5" s="160"/>
      <c r="AG5" s="159" t="str">
        <f aca="false">IF(Eingabe!F59&amp;""&amp;Eingabe!G59="","",Eingabe!F59&amp;" 
"&amp;Eingabe!G59)</f>
        <v/>
      </c>
      <c r="AH5" s="159"/>
      <c r="AI5" s="159"/>
      <c r="AJ5" s="159"/>
      <c r="AK5" s="159"/>
      <c r="AL5" s="159"/>
      <c r="AM5" s="159"/>
      <c r="AN5" s="159"/>
      <c r="AO5" s="159"/>
      <c r="AP5" s="159"/>
      <c r="AQ5" s="159"/>
      <c r="AR5" s="159"/>
      <c r="AS5" s="159"/>
      <c r="AT5" s="159"/>
      <c r="AU5" s="159"/>
      <c r="AV5" s="159"/>
      <c r="AW5" s="159"/>
      <c r="AX5" s="159" t="str">
        <f aca="false">IF(Eingabe!H59="","",Eingabe!H59)</f>
        <v/>
      </c>
      <c r="AY5" s="159"/>
      <c r="AZ5" s="159"/>
      <c r="BA5" s="159"/>
      <c r="BB5" s="161" t="str">
        <f aca="false">IF(Eingabe!K59="","",Eingabe!K59)</f>
        <v/>
      </c>
      <c r="BC5" s="161"/>
      <c r="BD5" s="161"/>
      <c r="BE5" s="161"/>
      <c r="BF5" s="161"/>
      <c r="BG5" s="161"/>
      <c r="BH5" s="161"/>
      <c r="BI5" s="161"/>
      <c r="BJ5" s="161"/>
      <c r="BK5" s="161"/>
      <c r="BL5" s="161"/>
      <c r="BM5" s="161"/>
      <c r="BN5" s="161"/>
      <c r="BO5" s="155"/>
      <c r="BP5" s="155"/>
      <c r="BQ5" s="155"/>
      <c r="BR5" s="155"/>
      <c r="BS5" s="155"/>
      <c r="BT5" s="155"/>
      <c r="BU5" s="155"/>
      <c r="BV5" s="155"/>
      <c r="BW5" s="155"/>
      <c r="BX5" s="155"/>
      <c r="BY5" s="155"/>
      <c r="BZ5" s="155"/>
      <c r="CA5" s="155"/>
      <c r="CB5" s="155"/>
      <c r="CC5" s="155"/>
      <c r="CD5" s="155"/>
      <c r="CE5" s="155"/>
      <c r="CF5" s="155"/>
      <c r="CG5" s="155"/>
      <c r="CH5" s="155"/>
      <c r="CI5" s="155"/>
      <c r="CJ5" s="155"/>
      <c r="CK5" s="155"/>
      <c r="CL5" s="155"/>
      <c r="CM5" s="155"/>
      <c r="CN5" s="155"/>
      <c r="CO5" s="155"/>
      <c r="CP5" s="155"/>
      <c r="CQ5" s="155"/>
      <c r="CR5" s="155"/>
      <c r="CS5" s="155"/>
      <c r="CT5" s="155"/>
      <c r="CU5" s="155"/>
      <c r="CV5" s="155"/>
      <c r="CW5" s="155"/>
      <c r="CX5" s="155"/>
      <c r="CY5" s="155"/>
      <c r="CZ5" s="155"/>
      <c r="DA5" s="155"/>
      <c r="DB5" s="155"/>
      <c r="DC5" s="155"/>
      <c r="DD5" s="155"/>
      <c r="DE5" s="155"/>
      <c r="DF5" s="155"/>
      <c r="DG5" s="155"/>
      <c r="DH5" s="155"/>
      <c r="DI5" s="155"/>
      <c r="DJ5" s="155"/>
      <c r="DK5" s="155"/>
      <c r="DL5" s="155"/>
      <c r="DM5" s="155"/>
      <c r="DN5" s="155"/>
      <c r="DO5" s="155"/>
      <c r="DP5" s="155"/>
      <c r="DQ5" s="155"/>
      <c r="DR5" s="155"/>
      <c r="DS5" s="155"/>
      <c r="DT5" s="155"/>
      <c r="DU5" s="155"/>
      <c r="DV5" s="155"/>
      <c r="DW5" s="155"/>
      <c r="DX5" s="155"/>
      <c r="DY5" s="155"/>
      <c r="DZ5" s="155"/>
      <c r="EA5" s="155"/>
      <c r="EB5" s="155"/>
      <c r="EC5" s="155"/>
      <c r="ED5" s="155"/>
      <c r="EE5" s="155"/>
      <c r="EF5" s="155"/>
      <c r="EG5" s="155"/>
      <c r="EH5" s="155"/>
      <c r="EI5" s="155"/>
      <c r="EJ5" s="155"/>
      <c r="EK5" s="155"/>
      <c r="EL5" s="155"/>
      <c r="EM5" s="155"/>
      <c r="EN5" s="155"/>
      <c r="EO5" s="155"/>
      <c r="EP5" s="155"/>
      <c r="EQ5" s="155"/>
      <c r="ER5" s="155"/>
      <c r="ES5" s="155"/>
      <c r="ET5" s="155"/>
      <c r="EU5" s="155"/>
      <c r="EV5" s="155"/>
      <c r="EW5" s="155"/>
      <c r="EX5" s="155"/>
      <c r="EY5" s="155"/>
      <c r="EZ5" s="155"/>
      <c r="FA5" s="155"/>
      <c r="FB5" s="155"/>
      <c r="FC5" s="155"/>
      <c r="FD5" s="155"/>
      <c r="FE5" s="155"/>
      <c r="FF5" s="155"/>
      <c r="FG5" s="155"/>
      <c r="FH5" s="155"/>
      <c r="FI5" s="155"/>
      <c r="FJ5" s="155"/>
      <c r="FK5" s="155"/>
      <c r="FL5" s="155"/>
      <c r="FM5" s="155"/>
      <c r="FN5" s="155"/>
      <c r="FO5" s="155"/>
      <c r="FP5" s="155"/>
      <c r="FQ5" s="155"/>
      <c r="FR5" s="155"/>
      <c r="FS5" s="155"/>
      <c r="FT5" s="155"/>
      <c r="FU5" s="155"/>
      <c r="FV5" s="155"/>
      <c r="FW5" s="155"/>
      <c r="FX5" s="155"/>
      <c r="FY5" s="155"/>
      <c r="FZ5" s="155"/>
      <c r="GA5" s="155"/>
      <c r="GB5" s="155"/>
      <c r="GC5" s="155"/>
      <c r="GD5" s="155"/>
      <c r="GE5" s="155"/>
      <c r="GF5" s="155"/>
      <c r="GG5" s="155"/>
      <c r="GH5" s="155"/>
      <c r="GI5" s="155"/>
      <c r="GJ5" s="155"/>
      <c r="GK5" s="155"/>
      <c r="GL5" s="155"/>
      <c r="GM5" s="155"/>
      <c r="GN5" s="155"/>
      <c r="GO5" s="155"/>
      <c r="GP5" s="155"/>
      <c r="GQ5" s="155"/>
      <c r="GR5" s="155"/>
      <c r="GS5" s="155"/>
      <c r="GT5" s="155"/>
      <c r="GU5" s="155"/>
      <c r="GV5" s="155"/>
      <c r="GW5" s="155"/>
      <c r="GX5" s="155"/>
      <c r="GY5" s="155"/>
      <c r="GZ5" s="155"/>
      <c r="HA5" s="155"/>
      <c r="HB5" s="155"/>
      <c r="HC5" s="155"/>
      <c r="HD5" s="155"/>
      <c r="HE5" s="155"/>
      <c r="HF5" s="155"/>
      <c r="HG5" s="155"/>
      <c r="HH5" s="155"/>
      <c r="HI5" s="155"/>
      <c r="HJ5" s="155"/>
      <c r="HK5" s="155"/>
      <c r="HL5" s="155"/>
      <c r="HM5" s="155"/>
      <c r="HN5" s="155"/>
      <c r="HO5" s="155"/>
      <c r="HP5" s="155"/>
      <c r="HQ5" s="155"/>
      <c r="HR5" s="155"/>
      <c r="HS5" s="155"/>
      <c r="HT5" s="155"/>
      <c r="HU5" s="155"/>
      <c r="HV5" s="155"/>
      <c r="HW5" s="155"/>
      <c r="HX5" s="155"/>
      <c r="HY5" s="155"/>
      <c r="HZ5" s="155"/>
      <c r="IA5" s="155"/>
      <c r="IB5" s="155"/>
      <c r="IC5" s="155"/>
      <c r="ID5" s="155"/>
      <c r="IE5" s="155"/>
      <c r="IF5" s="155"/>
      <c r="IG5" s="155"/>
      <c r="IH5" s="155"/>
      <c r="II5" s="155"/>
      <c r="IJ5" s="155"/>
      <c r="IK5" s="155"/>
      <c r="IL5" s="155"/>
      <c r="IM5" s="155"/>
      <c r="IN5" s="155"/>
      <c r="IO5" s="155"/>
      <c r="IP5" s="155"/>
      <c r="IQ5" s="155"/>
      <c r="IR5" s="155"/>
      <c r="IS5" s="155"/>
      <c r="IT5" s="155"/>
      <c r="IU5" s="155"/>
      <c r="IV5" s="155"/>
    </row>
    <row r="6" s="156" customFormat="true" ht="25.5" hidden="false" customHeight="true" outlineLevel="0" collapsed="false">
      <c r="A6" s="157" t="str">
        <f aca="false">IF(Eingabe!A60="","",Eingabe!A60)</f>
        <v/>
      </c>
      <c r="B6" s="157"/>
      <c r="C6" s="157"/>
      <c r="D6" s="157"/>
      <c r="E6" s="158" t="str">
        <f aca="false">IF(Eingabe!B60="","",Eingabe!B60)</f>
        <v/>
      </c>
      <c r="F6" s="158"/>
      <c r="G6" s="158"/>
      <c r="H6" s="158"/>
      <c r="I6" s="159" t="str">
        <f aca="false">IF(Eingabe!C60="","",Eingabe!C60)</f>
        <v/>
      </c>
      <c r="J6" s="159"/>
      <c r="K6" s="159"/>
      <c r="L6" s="159"/>
      <c r="M6" s="160" t="str">
        <f aca="false">IF(Eingabe!D60&amp;""&amp;Eingabe!E60="","",Eingabe!D60&amp;" 
"&amp;Eingabe!E60)</f>
        <v/>
      </c>
      <c r="N6" s="160"/>
      <c r="O6" s="160"/>
      <c r="P6" s="160"/>
      <c r="Q6" s="160"/>
      <c r="R6" s="160"/>
      <c r="S6" s="160"/>
      <c r="T6" s="160"/>
      <c r="U6" s="160"/>
      <c r="V6" s="160"/>
      <c r="W6" s="160"/>
      <c r="X6" s="160"/>
      <c r="Y6" s="160"/>
      <c r="Z6" s="160"/>
      <c r="AA6" s="160"/>
      <c r="AB6" s="160"/>
      <c r="AC6" s="160"/>
      <c r="AD6" s="160"/>
      <c r="AE6" s="160"/>
      <c r="AF6" s="160"/>
      <c r="AG6" s="159" t="str">
        <f aca="false">IF(Eingabe!F60&amp;""&amp;Eingabe!G60="","",Eingabe!F60&amp;" 
"&amp;Eingabe!G60)</f>
        <v/>
      </c>
      <c r="AH6" s="159"/>
      <c r="AI6" s="159"/>
      <c r="AJ6" s="159"/>
      <c r="AK6" s="159"/>
      <c r="AL6" s="159"/>
      <c r="AM6" s="159"/>
      <c r="AN6" s="159"/>
      <c r="AO6" s="159"/>
      <c r="AP6" s="159"/>
      <c r="AQ6" s="159"/>
      <c r="AR6" s="159"/>
      <c r="AS6" s="159"/>
      <c r="AT6" s="159"/>
      <c r="AU6" s="159"/>
      <c r="AV6" s="159"/>
      <c r="AW6" s="159"/>
      <c r="AX6" s="159" t="str">
        <f aca="false">IF(Eingabe!H60="","",Eingabe!H60)</f>
        <v/>
      </c>
      <c r="AY6" s="159"/>
      <c r="AZ6" s="159"/>
      <c r="BA6" s="159"/>
      <c r="BB6" s="161" t="str">
        <f aca="false">IF(Eingabe!K60="","",Eingabe!K60)</f>
        <v/>
      </c>
      <c r="BC6" s="161"/>
      <c r="BD6" s="161"/>
      <c r="BE6" s="161"/>
      <c r="BF6" s="161"/>
      <c r="BG6" s="161"/>
      <c r="BH6" s="161"/>
      <c r="BI6" s="161"/>
      <c r="BJ6" s="161"/>
      <c r="BK6" s="161"/>
      <c r="BL6" s="161"/>
      <c r="BM6" s="161"/>
      <c r="BN6" s="161"/>
      <c r="BO6" s="155"/>
      <c r="BP6" s="155"/>
      <c r="BQ6" s="155"/>
      <c r="BR6" s="155"/>
      <c r="BS6" s="155"/>
      <c r="BT6" s="155"/>
      <c r="BU6" s="155"/>
      <c r="BV6" s="155"/>
      <c r="BW6" s="155"/>
      <c r="BX6" s="155"/>
      <c r="BY6" s="155"/>
      <c r="BZ6" s="155"/>
      <c r="CA6" s="155"/>
      <c r="CB6" s="155"/>
      <c r="CC6" s="155"/>
      <c r="CD6" s="155"/>
      <c r="CE6" s="155"/>
      <c r="CF6" s="155"/>
      <c r="CG6" s="155"/>
      <c r="CH6" s="155"/>
      <c r="CI6" s="155"/>
      <c r="CJ6" s="155"/>
      <c r="CK6" s="155"/>
      <c r="CL6" s="155"/>
      <c r="CM6" s="155"/>
      <c r="CN6" s="155"/>
      <c r="CO6" s="155"/>
      <c r="CP6" s="155"/>
      <c r="CQ6" s="155"/>
      <c r="CR6" s="155"/>
      <c r="CS6" s="155"/>
      <c r="CT6" s="155"/>
      <c r="CU6" s="155"/>
      <c r="CV6" s="155"/>
      <c r="CW6" s="155"/>
      <c r="CX6" s="155"/>
      <c r="CY6" s="155"/>
      <c r="CZ6" s="155"/>
      <c r="DA6" s="155"/>
      <c r="DB6" s="155"/>
      <c r="DC6" s="155"/>
      <c r="DD6" s="155"/>
      <c r="DE6" s="155"/>
      <c r="DF6" s="155"/>
      <c r="DG6" s="155"/>
      <c r="DH6" s="155"/>
      <c r="DI6" s="155"/>
      <c r="DJ6" s="155"/>
      <c r="DK6" s="155"/>
      <c r="DL6" s="155"/>
      <c r="DM6" s="155"/>
      <c r="DN6" s="155"/>
      <c r="DO6" s="155"/>
      <c r="DP6" s="155"/>
      <c r="DQ6" s="155"/>
      <c r="DR6" s="155"/>
      <c r="DS6" s="155"/>
      <c r="DT6" s="155"/>
      <c r="DU6" s="155"/>
      <c r="DV6" s="155"/>
      <c r="DW6" s="155"/>
      <c r="DX6" s="155"/>
      <c r="DY6" s="155"/>
      <c r="DZ6" s="155"/>
      <c r="EA6" s="155"/>
      <c r="EB6" s="155"/>
      <c r="EC6" s="155"/>
      <c r="ED6" s="155"/>
      <c r="EE6" s="155"/>
      <c r="EF6" s="155"/>
      <c r="EG6" s="155"/>
      <c r="EH6" s="155"/>
      <c r="EI6" s="155"/>
      <c r="EJ6" s="155"/>
      <c r="EK6" s="155"/>
      <c r="EL6" s="155"/>
      <c r="EM6" s="155"/>
      <c r="EN6" s="155"/>
      <c r="EO6" s="155"/>
      <c r="EP6" s="155"/>
      <c r="EQ6" s="155"/>
      <c r="ER6" s="155"/>
      <c r="ES6" s="155"/>
      <c r="ET6" s="155"/>
      <c r="EU6" s="155"/>
      <c r="EV6" s="155"/>
      <c r="EW6" s="155"/>
      <c r="EX6" s="155"/>
      <c r="EY6" s="155"/>
      <c r="EZ6" s="155"/>
      <c r="FA6" s="155"/>
      <c r="FB6" s="155"/>
      <c r="FC6" s="155"/>
      <c r="FD6" s="155"/>
      <c r="FE6" s="155"/>
      <c r="FF6" s="155"/>
      <c r="FG6" s="155"/>
      <c r="FH6" s="155"/>
      <c r="FI6" s="155"/>
      <c r="FJ6" s="155"/>
      <c r="FK6" s="155"/>
      <c r="FL6" s="155"/>
      <c r="FM6" s="155"/>
      <c r="FN6" s="155"/>
      <c r="FO6" s="155"/>
      <c r="FP6" s="155"/>
      <c r="FQ6" s="155"/>
      <c r="FR6" s="155"/>
      <c r="FS6" s="155"/>
      <c r="FT6" s="155"/>
      <c r="FU6" s="155"/>
      <c r="FV6" s="155"/>
      <c r="FW6" s="155"/>
      <c r="FX6" s="155"/>
      <c r="FY6" s="155"/>
      <c r="FZ6" s="155"/>
      <c r="GA6" s="155"/>
      <c r="GB6" s="155"/>
      <c r="GC6" s="155"/>
      <c r="GD6" s="155"/>
      <c r="GE6" s="155"/>
      <c r="GF6" s="155"/>
      <c r="GG6" s="155"/>
      <c r="GH6" s="155"/>
      <c r="GI6" s="155"/>
      <c r="GJ6" s="155"/>
      <c r="GK6" s="155"/>
      <c r="GL6" s="155"/>
      <c r="GM6" s="155"/>
      <c r="GN6" s="155"/>
      <c r="GO6" s="155"/>
      <c r="GP6" s="155"/>
      <c r="GQ6" s="155"/>
      <c r="GR6" s="155"/>
      <c r="GS6" s="155"/>
      <c r="GT6" s="155"/>
      <c r="GU6" s="155"/>
      <c r="GV6" s="155"/>
      <c r="GW6" s="155"/>
      <c r="GX6" s="155"/>
      <c r="GY6" s="155"/>
      <c r="GZ6" s="155"/>
      <c r="HA6" s="155"/>
      <c r="HB6" s="155"/>
      <c r="HC6" s="155"/>
      <c r="HD6" s="155"/>
      <c r="HE6" s="155"/>
      <c r="HF6" s="155"/>
      <c r="HG6" s="155"/>
      <c r="HH6" s="155"/>
      <c r="HI6" s="155"/>
      <c r="HJ6" s="155"/>
      <c r="HK6" s="155"/>
      <c r="HL6" s="155"/>
      <c r="HM6" s="155"/>
      <c r="HN6" s="155"/>
      <c r="HO6" s="155"/>
      <c r="HP6" s="155"/>
      <c r="HQ6" s="155"/>
      <c r="HR6" s="155"/>
      <c r="HS6" s="155"/>
      <c r="HT6" s="155"/>
      <c r="HU6" s="155"/>
      <c r="HV6" s="155"/>
      <c r="HW6" s="155"/>
      <c r="HX6" s="155"/>
      <c r="HY6" s="155"/>
      <c r="HZ6" s="155"/>
      <c r="IA6" s="155"/>
      <c r="IB6" s="155"/>
      <c r="IC6" s="155"/>
      <c r="ID6" s="155"/>
      <c r="IE6" s="155"/>
      <c r="IF6" s="155"/>
      <c r="IG6" s="155"/>
      <c r="IH6" s="155"/>
      <c r="II6" s="155"/>
      <c r="IJ6" s="155"/>
      <c r="IK6" s="155"/>
      <c r="IL6" s="155"/>
      <c r="IM6" s="155"/>
      <c r="IN6" s="155"/>
      <c r="IO6" s="155"/>
      <c r="IP6" s="155"/>
      <c r="IQ6" s="155"/>
      <c r="IR6" s="155"/>
      <c r="IS6" s="155"/>
      <c r="IT6" s="155"/>
      <c r="IU6" s="155"/>
      <c r="IV6" s="155"/>
    </row>
    <row r="7" s="156" customFormat="true" ht="25.5" hidden="false" customHeight="true" outlineLevel="0" collapsed="false">
      <c r="A7" s="157" t="str">
        <f aca="false">IF(Eingabe!A61="","",Eingabe!A61)</f>
        <v/>
      </c>
      <c r="B7" s="157"/>
      <c r="C7" s="157"/>
      <c r="D7" s="157"/>
      <c r="E7" s="158" t="str">
        <f aca="false">IF(Eingabe!B61="","",Eingabe!B61)</f>
        <v/>
      </c>
      <c r="F7" s="158"/>
      <c r="G7" s="158"/>
      <c r="H7" s="158"/>
      <c r="I7" s="159" t="str">
        <f aca="false">IF(Eingabe!C61="","",Eingabe!C61)</f>
        <v/>
      </c>
      <c r="J7" s="159"/>
      <c r="K7" s="159"/>
      <c r="L7" s="159"/>
      <c r="M7" s="160" t="str">
        <f aca="false">IF(Eingabe!D61&amp;""&amp;Eingabe!E61="","",Eingabe!D61&amp;" 
"&amp;Eingabe!E61)</f>
        <v/>
      </c>
      <c r="N7" s="160"/>
      <c r="O7" s="160"/>
      <c r="P7" s="160"/>
      <c r="Q7" s="160"/>
      <c r="R7" s="160"/>
      <c r="S7" s="160"/>
      <c r="T7" s="160"/>
      <c r="U7" s="160"/>
      <c r="V7" s="160"/>
      <c r="W7" s="160"/>
      <c r="X7" s="160"/>
      <c r="Y7" s="160"/>
      <c r="Z7" s="160"/>
      <c r="AA7" s="160"/>
      <c r="AB7" s="160"/>
      <c r="AC7" s="160"/>
      <c r="AD7" s="160"/>
      <c r="AE7" s="160"/>
      <c r="AF7" s="160"/>
      <c r="AG7" s="159" t="str">
        <f aca="false">IF(Eingabe!F61&amp;""&amp;Eingabe!G61="","",Eingabe!F61&amp;" 
"&amp;Eingabe!G61)</f>
        <v/>
      </c>
      <c r="AH7" s="159"/>
      <c r="AI7" s="159"/>
      <c r="AJ7" s="159"/>
      <c r="AK7" s="159"/>
      <c r="AL7" s="159"/>
      <c r="AM7" s="159"/>
      <c r="AN7" s="159"/>
      <c r="AO7" s="159"/>
      <c r="AP7" s="159"/>
      <c r="AQ7" s="159"/>
      <c r="AR7" s="159"/>
      <c r="AS7" s="159"/>
      <c r="AT7" s="159"/>
      <c r="AU7" s="159"/>
      <c r="AV7" s="159"/>
      <c r="AW7" s="159"/>
      <c r="AX7" s="159" t="str">
        <f aca="false">IF(Eingabe!H61="","",Eingabe!H61)</f>
        <v/>
      </c>
      <c r="AY7" s="159"/>
      <c r="AZ7" s="159"/>
      <c r="BA7" s="159"/>
      <c r="BB7" s="161" t="str">
        <f aca="false">IF(Eingabe!K61="","",Eingabe!K61)</f>
        <v/>
      </c>
      <c r="BC7" s="161"/>
      <c r="BD7" s="161"/>
      <c r="BE7" s="161"/>
      <c r="BF7" s="161"/>
      <c r="BG7" s="161"/>
      <c r="BH7" s="161"/>
      <c r="BI7" s="161"/>
      <c r="BJ7" s="161"/>
      <c r="BK7" s="161"/>
      <c r="BL7" s="161"/>
      <c r="BM7" s="161"/>
      <c r="BN7" s="161"/>
      <c r="BO7" s="155"/>
      <c r="BP7" s="155"/>
      <c r="BQ7" s="155"/>
      <c r="BR7" s="155"/>
      <c r="BS7" s="155"/>
      <c r="BT7" s="155"/>
      <c r="BU7" s="155"/>
      <c r="BV7" s="155"/>
      <c r="BW7" s="155"/>
      <c r="BX7" s="155"/>
      <c r="BY7" s="155"/>
      <c r="BZ7" s="155"/>
      <c r="CA7" s="155"/>
      <c r="CB7" s="155"/>
      <c r="CC7" s="155"/>
      <c r="CD7" s="155"/>
      <c r="CE7" s="155"/>
      <c r="CF7" s="155"/>
      <c r="CG7" s="155"/>
      <c r="CH7" s="155"/>
      <c r="CI7" s="155"/>
      <c r="CJ7" s="155"/>
      <c r="CK7" s="155"/>
      <c r="CL7" s="155"/>
      <c r="CM7" s="155"/>
      <c r="CN7" s="155"/>
      <c r="CO7" s="155"/>
      <c r="CP7" s="155"/>
      <c r="CQ7" s="155"/>
      <c r="CR7" s="155"/>
      <c r="CS7" s="155"/>
      <c r="CT7" s="155"/>
      <c r="CU7" s="155"/>
      <c r="CV7" s="155"/>
      <c r="CW7" s="155"/>
      <c r="CX7" s="155"/>
      <c r="CY7" s="155"/>
      <c r="CZ7" s="155"/>
      <c r="DA7" s="155"/>
      <c r="DB7" s="155"/>
      <c r="DC7" s="155"/>
      <c r="DD7" s="155"/>
      <c r="DE7" s="155"/>
      <c r="DF7" s="155"/>
      <c r="DG7" s="155"/>
      <c r="DH7" s="155"/>
      <c r="DI7" s="155"/>
      <c r="DJ7" s="155"/>
      <c r="DK7" s="155"/>
      <c r="DL7" s="155"/>
      <c r="DM7" s="155"/>
      <c r="DN7" s="155"/>
      <c r="DO7" s="155"/>
      <c r="DP7" s="155"/>
      <c r="DQ7" s="155"/>
      <c r="DR7" s="155"/>
      <c r="DS7" s="155"/>
      <c r="DT7" s="155"/>
      <c r="DU7" s="155"/>
      <c r="DV7" s="155"/>
      <c r="DW7" s="155"/>
      <c r="DX7" s="155"/>
      <c r="DY7" s="155"/>
      <c r="DZ7" s="155"/>
      <c r="EA7" s="155"/>
      <c r="EB7" s="155"/>
      <c r="EC7" s="155"/>
      <c r="ED7" s="155"/>
      <c r="EE7" s="155"/>
      <c r="EF7" s="155"/>
      <c r="EG7" s="155"/>
      <c r="EH7" s="155"/>
      <c r="EI7" s="155"/>
      <c r="EJ7" s="155"/>
      <c r="EK7" s="155"/>
      <c r="EL7" s="155"/>
      <c r="EM7" s="155"/>
      <c r="EN7" s="155"/>
      <c r="EO7" s="155"/>
      <c r="EP7" s="155"/>
      <c r="EQ7" s="155"/>
      <c r="ER7" s="155"/>
      <c r="ES7" s="155"/>
      <c r="ET7" s="155"/>
      <c r="EU7" s="155"/>
      <c r="EV7" s="155"/>
      <c r="EW7" s="155"/>
      <c r="EX7" s="155"/>
      <c r="EY7" s="155"/>
      <c r="EZ7" s="155"/>
      <c r="FA7" s="155"/>
      <c r="FB7" s="155"/>
      <c r="FC7" s="155"/>
      <c r="FD7" s="155"/>
      <c r="FE7" s="155"/>
      <c r="FF7" s="155"/>
      <c r="FG7" s="155"/>
      <c r="FH7" s="155"/>
      <c r="FI7" s="155"/>
      <c r="FJ7" s="155"/>
      <c r="FK7" s="155"/>
      <c r="FL7" s="155"/>
      <c r="FM7" s="155"/>
      <c r="FN7" s="155"/>
      <c r="FO7" s="155"/>
      <c r="FP7" s="155"/>
      <c r="FQ7" s="155"/>
      <c r="FR7" s="155"/>
      <c r="FS7" s="155"/>
      <c r="FT7" s="155"/>
      <c r="FU7" s="155"/>
      <c r="FV7" s="155"/>
      <c r="FW7" s="155"/>
      <c r="FX7" s="155"/>
      <c r="FY7" s="155"/>
      <c r="FZ7" s="155"/>
      <c r="GA7" s="155"/>
      <c r="GB7" s="155"/>
      <c r="GC7" s="155"/>
      <c r="GD7" s="155"/>
      <c r="GE7" s="155"/>
      <c r="GF7" s="155"/>
      <c r="GG7" s="155"/>
      <c r="GH7" s="155"/>
      <c r="GI7" s="155"/>
      <c r="GJ7" s="155"/>
      <c r="GK7" s="155"/>
      <c r="GL7" s="155"/>
      <c r="GM7" s="155"/>
      <c r="GN7" s="155"/>
      <c r="GO7" s="155"/>
      <c r="GP7" s="155"/>
      <c r="GQ7" s="155"/>
      <c r="GR7" s="155"/>
      <c r="GS7" s="155"/>
      <c r="GT7" s="155"/>
      <c r="GU7" s="155"/>
      <c r="GV7" s="155"/>
      <c r="GW7" s="155"/>
      <c r="GX7" s="155"/>
      <c r="GY7" s="155"/>
      <c r="GZ7" s="155"/>
      <c r="HA7" s="155"/>
      <c r="HB7" s="155"/>
      <c r="HC7" s="155"/>
      <c r="HD7" s="155"/>
      <c r="HE7" s="155"/>
      <c r="HF7" s="155"/>
      <c r="HG7" s="155"/>
      <c r="HH7" s="155"/>
      <c r="HI7" s="155"/>
      <c r="HJ7" s="155"/>
      <c r="HK7" s="155"/>
      <c r="HL7" s="155"/>
      <c r="HM7" s="155"/>
      <c r="HN7" s="155"/>
      <c r="HO7" s="155"/>
      <c r="HP7" s="155"/>
      <c r="HQ7" s="155"/>
      <c r="HR7" s="155"/>
      <c r="HS7" s="155"/>
      <c r="HT7" s="155"/>
      <c r="HU7" s="155"/>
      <c r="HV7" s="155"/>
      <c r="HW7" s="155"/>
      <c r="HX7" s="155"/>
      <c r="HY7" s="155"/>
      <c r="HZ7" s="155"/>
      <c r="IA7" s="155"/>
      <c r="IB7" s="155"/>
      <c r="IC7" s="155"/>
      <c r="ID7" s="155"/>
      <c r="IE7" s="155"/>
      <c r="IF7" s="155"/>
      <c r="IG7" s="155"/>
      <c r="IH7" s="155"/>
      <c r="II7" s="155"/>
      <c r="IJ7" s="155"/>
      <c r="IK7" s="155"/>
      <c r="IL7" s="155"/>
      <c r="IM7" s="155"/>
      <c r="IN7" s="155"/>
      <c r="IO7" s="155"/>
      <c r="IP7" s="155"/>
      <c r="IQ7" s="155"/>
      <c r="IR7" s="155"/>
      <c r="IS7" s="155"/>
      <c r="IT7" s="155"/>
      <c r="IU7" s="155"/>
      <c r="IV7" s="155"/>
    </row>
    <row r="8" s="156" customFormat="true" ht="25.5" hidden="false" customHeight="true" outlineLevel="0" collapsed="false">
      <c r="A8" s="157" t="str">
        <f aca="false">IF(Eingabe!A62="","",Eingabe!A62)</f>
        <v/>
      </c>
      <c r="B8" s="157"/>
      <c r="C8" s="157"/>
      <c r="D8" s="157"/>
      <c r="E8" s="158" t="str">
        <f aca="false">IF(Eingabe!B62="","",Eingabe!B62)</f>
        <v/>
      </c>
      <c r="F8" s="158"/>
      <c r="G8" s="158"/>
      <c r="H8" s="158"/>
      <c r="I8" s="159" t="str">
        <f aca="false">IF(Eingabe!C62="","",Eingabe!C62)</f>
        <v/>
      </c>
      <c r="J8" s="159"/>
      <c r="K8" s="159"/>
      <c r="L8" s="159"/>
      <c r="M8" s="160" t="str">
        <f aca="false">IF(Eingabe!D62&amp;""&amp;Eingabe!E62="","",Eingabe!D62&amp;" 
"&amp;Eingabe!E62)</f>
        <v/>
      </c>
      <c r="N8" s="160"/>
      <c r="O8" s="160"/>
      <c r="P8" s="160"/>
      <c r="Q8" s="160"/>
      <c r="R8" s="160"/>
      <c r="S8" s="160"/>
      <c r="T8" s="160"/>
      <c r="U8" s="160"/>
      <c r="V8" s="160"/>
      <c r="W8" s="160"/>
      <c r="X8" s="160"/>
      <c r="Y8" s="160"/>
      <c r="Z8" s="160"/>
      <c r="AA8" s="160"/>
      <c r="AB8" s="160"/>
      <c r="AC8" s="160"/>
      <c r="AD8" s="160"/>
      <c r="AE8" s="160"/>
      <c r="AF8" s="160"/>
      <c r="AG8" s="159" t="str">
        <f aca="false">IF(Eingabe!F62&amp;""&amp;Eingabe!G62="","",Eingabe!F62&amp;" 
"&amp;Eingabe!G62)</f>
        <v/>
      </c>
      <c r="AH8" s="159"/>
      <c r="AI8" s="159"/>
      <c r="AJ8" s="159"/>
      <c r="AK8" s="159"/>
      <c r="AL8" s="159"/>
      <c r="AM8" s="159"/>
      <c r="AN8" s="159"/>
      <c r="AO8" s="159"/>
      <c r="AP8" s="159"/>
      <c r="AQ8" s="159"/>
      <c r="AR8" s="159"/>
      <c r="AS8" s="159"/>
      <c r="AT8" s="159"/>
      <c r="AU8" s="159"/>
      <c r="AV8" s="159"/>
      <c r="AW8" s="159"/>
      <c r="AX8" s="159" t="str">
        <f aca="false">IF(Eingabe!H62="","",Eingabe!H62)</f>
        <v/>
      </c>
      <c r="AY8" s="159"/>
      <c r="AZ8" s="159"/>
      <c r="BA8" s="159"/>
      <c r="BB8" s="161" t="str">
        <f aca="false">IF(Eingabe!K62="","",Eingabe!K62)</f>
        <v/>
      </c>
      <c r="BC8" s="161"/>
      <c r="BD8" s="161"/>
      <c r="BE8" s="161"/>
      <c r="BF8" s="161"/>
      <c r="BG8" s="161"/>
      <c r="BH8" s="161"/>
      <c r="BI8" s="161"/>
      <c r="BJ8" s="161"/>
      <c r="BK8" s="161"/>
      <c r="BL8" s="161"/>
      <c r="BM8" s="161"/>
      <c r="BN8" s="161"/>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c r="CR8" s="155"/>
      <c r="CS8" s="155"/>
      <c r="CT8" s="155"/>
      <c r="CU8" s="155"/>
      <c r="CV8" s="155"/>
      <c r="CW8" s="155"/>
      <c r="CX8" s="155"/>
      <c r="CY8" s="155"/>
      <c r="CZ8" s="155"/>
      <c r="DA8" s="155"/>
      <c r="DB8" s="155"/>
      <c r="DC8" s="155"/>
      <c r="DD8" s="155"/>
      <c r="DE8" s="155"/>
      <c r="DF8" s="155"/>
      <c r="DG8" s="155"/>
      <c r="DH8" s="155"/>
      <c r="DI8" s="155"/>
      <c r="DJ8" s="155"/>
      <c r="DK8" s="155"/>
      <c r="DL8" s="155"/>
      <c r="DM8" s="155"/>
      <c r="DN8" s="155"/>
      <c r="DO8" s="155"/>
      <c r="DP8" s="155"/>
      <c r="DQ8" s="155"/>
      <c r="DR8" s="155"/>
      <c r="DS8" s="155"/>
      <c r="DT8" s="155"/>
      <c r="DU8" s="155"/>
      <c r="DV8" s="155"/>
      <c r="DW8" s="155"/>
      <c r="DX8" s="155"/>
      <c r="DY8" s="155"/>
      <c r="DZ8" s="155"/>
      <c r="EA8" s="155"/>
      <c r="EB8" s="155"/>
      <c r="EC8" s="155"/>
      <c r="ED8" s="155"/>
      <c r="EE8" s="155"/>
      <c r="EF8" s="155"/>
      <c r="EG8" s="155"/>
      <c r="EH8" s="155"/>
      <c r="EI8" s="155"/>
      <c r="EJ8" s="155"/>
      <c r="EK8" s="155"/>
      <c r="EL8" s="155"/>
      <c r="EM8" s="155"/>
      <c r="EN8" s="155"/>
      <c r="EO8" s="155"/>
      <c r="EP8" s="155"/>
      <c r="EQ8" s="155"/>
      <c r="ER8" s="155"/>
      <c r="ES8" s="155"/>
      <c r="ET8" s="155"/>
      <c r="EU8" s="155"/>
      <c r="EV8" s="155"/>
      <c r="EW8" s="155"/>
      <c r="EX8" s="155"/>
      <c r="EY8" s="155"/>
      <c r="EZ8" s="155"/>
      <c r="FA8" s="155"/>
      <c r="FB8" s="155"/>
      <c r="FC8" s="155"/>
      <c r="FD8" s="155"/>
      <c r="FE8" s="155"/>
      <c r="FF8" s="155"/>
      <c r="FG8" s="155"/>
      <c r="FH8" s="155"/>
      <c r="FI8" s="155"/>
      <c r="FJ8" s="155"/>
      <c r="FK8" s="155"/>
      <c r="FL8" s="155"/>
      <c r="FM8" s="155"/>
      <c r="FN8" s="155"/>
      <c r="FO8" s="155"/>
      <c r="FP8" s="155"/>
      <c r="FQ8" s="155"/>
      <c r="FR8" s="155"/>
      <c r="FS8" s="155"/>
      <c r="FT8" s="155"/>
      <c r="FU8" s="155"/>
      <c r="FV8" s="155"/>
      <c r="FW8" s="155"/>
      <c r="FX8" s="155"/>
      <c r="FY8" s="155"/>
      <c r="FZ8" s="155"/>
      <c r="GA8" s="155"/>
      <c r="GB8" s="155"/>
      <c r="GC8" s="155"/>
      <c r="GD8" s="155"/>
      <c r="GE8" s="155"/>
      <c r="GF8" s="155"/>
      <c r="GG8" s="155"/>
      <c r="GH8" s="155"/>
      <c r="GI8" s="155"/>
      <c r="GJ8" s="155"/>
      <c r="GK8" s="155"/>
      <c r="GL8" s="155"/>
      <c r="GM8" s="155"/>
      <c r="GN8" s="155"/>
      <c r="GO8" s="155"/>
      <c r="GP8" s="155"/>
      <c r="GQ8" s="155"/>
      <c r="GR8" s="155"/>
      <c r="GS8" s="155"/>
      <c r="GT8" s="155"/>
      <c r="GU8" s="155"/>
      <c r="GV8" s="155"/>
      <c r="GW8" s="155"/>
      <c r="GX8" s="155"/>
      <c r="GY8" s="155"/>
      <c r="GZ8" s="155"/>
      <c r="HA8" s="155"/>
      <c r="HB8" s="155"/>
      <c r="HC8" s="155"/>
      <c r="HD8" s="155"/>
      <c r="HE8" s="155"/>
      <c r="HF8" s="155"/>
      <c r="HG8" s="155"/>
      <c r="HH8" s="155"/>
      <c r="HI8" s="155"/>
      <c r="HJ8" s="155"/>
      <c r="HK8" s="155"/>
      <c r="HL8" s="155"/>
      <c r="HM8" s="155"/>
      <c r="HN8" s="155"/>
      <c r="HO8" s="155"/>
      <c r="HP8" s="155"/>
      <c r="HQ8" s="155"/>
      <c r="HR8" s="155"/>
      <c r="HS8" s="155"/>
      <c r="HT8" s="155"/>
      <c r="HU8" s="155"/>
      <c r="HV8" s="155"/>
      <c r="HW8" s="155"/>
      <c r="HX8" s="155"/>
      <c r="HY8" s="155"/>
      <c r="HZ8" s="155"/>
      <c r="IA8" s="155"/>
      <c r="IB8" s="155"/>
      <c r="IC8" s="155"/>
      <c r="ID8" s="155"/>
      <c r="IE8" s="155"/>
      <c r="IF8" s="155"/>
      <c r="IG8" s="155"/>
      <c r="IH8" s="155"/>
      <c r="II8" s="155"/>
      <c r="IJ8" s="155"/>
      <c r="IK8" s="155"/>
      <c r="IL8" s="155"/>
      <c r="IM8" s="155"/>
      <c r="IN8" s="155"/>
      <c r="IO8" s="155"/>
      <c r="IP8" s="155"/>
      <c r="IQ8" s="155"/>
      <c r="IR8" s="155"/>
      <c r="IS8" s="155"/>
      <c r="IT8" s="155"/>
      <c r="IU8" s="155"/>
      <c r="IV8" s="155"/>
    </row>
    <row r="9" s="156" customFormat="true" ht="25.5" hidden="false" customHeight="true" outlineLevel="0" collapsed="false">
      <c r="A9" s="157" t="str">
        <f aca="false">IF(Eingabe!A63="","",Eingabe!A63)</f>
        <v/>
      </c>
      <c r="B9" s="157"/>
      <c r="C9" s="157"/>
      <c r="D9" s="157"/>
      <c r="E9" s="158" t="str">
        <f aca="false">IF(Eingabe!B63="","",Eingabe!B63)</f>
        <v/>
      </c>
      <c r="F9" s="158"/>
      <c r="G9" s="158"/>
      <c r="H9" s="158"/>
      <c r="I9" s="159" t="str">
        <f aca="false">IF(Eingabe!C63="","",Eingabe!C63)</f>
        <v/>
      </c>
      <c r="J9" s="159"/>
      <c r="K9" s="159"/>
      <c r="L9" s="159"/>
      <c r="M9" s="160" t="str">
        <f aca="false">IF(Eingabe!D63&amp;""&amp;Eingabe!E63="","",Eingabe!D63&amp;" 
"&amp;Eingabe!E63)</f>
        <v/>
      </c>
      <c r="N9" s="160"/>
      <c r="O9" s="160"/>
      <c r="P9" s="160"/>
      <c r="Q9" s="160"/>
      <c r="R9" s="160"/>
      <c r="S9" s="160"/>
      <c r="T9" s="160"/>
      <c r="U9" s="160"/>
      <c r="V9" s="160"/>
      <c r="W9" s="160"/>
      <c r="X9" s="160"/>
      <c r="Y9" s="160"/>
      <c r="Z9" s="160"/>
      <c r="AA9" s="160"/>
      <c r="AB9" s="160"/>
      <c r="AC9" s="160"/>
      <c r="AD9" s="160"/>
      <c r="AE9" s="160"/>
      <c r="AF9" s="160"/>
      <c r="AG9" s="159" t="str">
        <f aca="false">IF(Eingabe!F63&amp;""&amp;Eingabe!G63="","",Eingabe!F63&amp;" 
"&amp;Eingabe!G63)</f>
        <v/>
      </c>
      <c r="AH9" s="159"/>
      <c r="AI9" s="159"/>
      <c r="AJ9" s="159"/>
      <c r="AK9" s="159"/>
      <c r="AL9" s="159"/>
      <c r="AM9" s="159"/>
      <c r="AN9" s="159"/>
      <c r="AO9" s="159"/>
      <c r="AP9" s="159"/>
      <c r="AQ9" s="159"/>
      <c r="AR9" s="159"/>
      <c r="AS9" s="159"/>
      <c r="AT9" s="159"/>
      <c r="AU9" s="159"/>
      <c r="AV9" s="159"/>
      <c r="AW9" s="159"/>
      <c r="AX9" s="159" t="str">
        <f aca="false">IF(Eingabe!H63="","",Eingabe!H63)</f>
        <v/>
      </c>
      <c r="AY9" s="159"/>
      <c r="AZ9" s="159"/>
      <c r="BA9" s="159"/>
      <c r="BB9" s="161" t="str">
        <f aca="false">IF(Eingabe!K63="","",Eingabe!K63)</f>
        <v/>
      </c>
      <c r="BC9" s="161"/>
      <c r="BD9" s="161"/>
      <c r="BE9" s="161"/>
      <c r="BF9" s="161"/>
      <c r="BG9" s="161"/>
      <c r="BH9" s="161"/>
      <c r="BI9" s="161"/>
      <c r="BJ9" s="161"/>
      <c r="BK9" s="161"/>
      <c r="BL9" s="161"/>
      <c r="BM9" s="161"/>
      <c r="BN9" s="161"/>
      <c r="BO9" s="155"/>
      <c r="BP9" s="155"/>
      <c r="BQ9" s="155"/>
      <c r="BR9" s="155"/>
      <c r="BS9" s="155"/>
      <c r="BT9" s="155"/>
      <c r="BU9" s="155"/>
      <c r="BV9" s="155"/>
      <c r="BW9" s="155"/>
      <c r="BX9" s="155"/>
      <c r="BY9" s="155"/>
      <c r="BZ9" s="155"/>
      <c r="CA9" s="155"/>
      <c r="CB9" s="155"/>
      <c r="CC9" s="155"/>
      <c r="CD9" s="155"/>
      <c r="CE9" s="155"/>
      <c r="CF9" s="155"/>
      <c r="CG9" s="155"/>
      <c r="CH9" s="155"/>
      <c r="CI9" s="155"/>
      <c r="CJ9" s="155"/>
      <c r="CK9" s="155"/>
      <c r="CL9" s="155"/>
      <c r="CM9" s="155"/>
      <c r="CN9" s="155"/>
      <c r="CO9" s="155"/>
      <c r="CP9" s="155"/>
      <c r="CQ9" s="155"/>
      <c r="CR9" s="155"/>
      <c r="CS9" s="155"/>
      <c r="CT9" s="155"/>
      <c r="CU9" s="155"/>
      <c r="CV9" s="155"/>
      <c r="CW9" s="155"/>
      <c r="CX9" s="155"/>
      <c r="CY9" s="155"/>
      <c r="CZ9" s="155"/>
      <c r="DA9" s="155"/>
      <c r="DB9" s="155"/>
      <c r="DC9" s="155"/>
      <c r="DD9" s="155"/>
      <c r="DE9" s="155"/>
      <c r="DF9" s="155"/>
      <c r="DG9" s="155"/>
      <c r="DH9" s="155"/>
      <c r="DI9" s="155"/>
      <c r="DJ9" s="155"/>
      <c r="DK9" s="155"/>
      <c r="DL9" s="155"/>
      <c r="DM9" s="155"/>
      <c r="DN9" s="155"/>
      <c r="DO9" s="155"/>
      <c r="DP9" s="155"/>
      <c r="DQ9" s="155"/>
      <c r="DR9" s="155"/>
      <c r="DS9" s="155"/>
      <c r="DT9" s="155"/>
      <c r="DU9" s="155"/>
      <c r="DV9" s="155"/>
      <c r="DW9" s="155"/>
      <c r="DX9" s="155"/>
      <c r="DY9" s="155"/>
      <c r="DZ9" s="155"/>
      <c r="EA9" s="155"/>
      <c r="EB9" s="155"/>
      <c r="EC9" s="155"/>
      <c r="ED9" s="155"/>
      <c r="EE9" s="155"/>
      <c r="EF9" s="155"/>
      <c r="EG9" s="155"/>
      <c r="EH9" s="155"/>
      <c r="EI9" s="155"/>
      <c r="EJ9" s="155"/>
      <c r="EK9" s="155"/>
      <c r="EL9" s="155"/>
      <c r="EM9" s="155"/>
      <c r="EN9" s="155"/>
      <c r="EO9" s="155"/>
      <c r="EP9" s="155"/>
      <c r="EQ9" s="155"/>
      <c r="ER9" s="155"/>
      <c r="ES9" s="155"/>
      <c r="ET9" s="155"/>
      <c r="EU9" s="155"/>
      <c r="EV9" s="155"/>
      <c r="EW9" s="155"/>
      <c r="EX9" s="155"/>
      <c r="EY9" s="155"/>
      <c r="EZ9" s="155"/>
      <c r="FA9" s="155"/>
      <c r="FB9" s="155"/>
      <c r="FC9" s="155"/>
      <c r="FD9" s="155"/>
      <c r="FE9" s="155"/>
      <c r="FF9" s="155"/>
      <c r="FG9" s="155"/>
      <c r="FH9" s="155"/>
      <c r="FI9" s="155"/>
      <c r="FJ9" s="155"/>
      <c r="FK9" s="155"/>
      <c r="FL9" s="155"/>
      <c r="FM9" s="155"/>
      <c r="FN9" s="155"/>
      <c r="FO9" s="155"/>
      <c r="FP9" s="155"/>
      <c r="FQ9" s="155"/>
      <c r="FR9" s="155"/>
      <c r="FS9" s="155"/>
      <c r="FT9" s="155"/>
      <c r="FU9" s="155"/>
      <c r="FV9" s="155"/>
      <c r="FW9" s="155"/>
      <c r="FX9" s="155"/>
      <c r="FY9" s="155"/>
      <c r="FZ9" s="155"/>
      <c r="GA9" s="155"/>
      <c r="GB9" s="155"/>
      <c r="GC9" s="155"/>
      <c r="GD9" s="155"/>
      <c r="GE9" s="155"/>
      <c r="GF9" s="155"/>
      <c r="GG9" s="155"/>
      <c r="GH9" s="155"/>
      <c r="GI9" s="155"/>
      <c r="GJ9" s="155"/>
      <c r="GK9" s="155"/>
      <c r="GL9" s="155"/>
      <c r="GM9" s="155"/>
      <c r="GN9" s="155"/>
      <c r="GO9" s="155"/>
      <c r="GP9" s="155"/>
      <c r="GQ9" s="155"/>
      <c r="GR9" s="155"/>
      <c r="GS9" s="155"/>
      <c r="GT9" s="155"/>
      <c r="GU9" s="155"/>
      <c r="GV9" s="155"/>
      <c r="GW9" s="155"/>
      <c r="GX9" s="155"/>
      <c r="GY9" s="155"/>
      <c r="GZ9" s="155"/>
      <c r="HA9" s="155"/>
      <c r="HB9" s="155"/>
      <c r="HC9" s="155"/>
      <c r="HD9" s="155"/>
      <c r="HE9" s="155"/>
      <c r="HF9" s="155"/>
      <c r="HG9" s="155"/>
      <c r="HH9" s="155"/>
      <c r="HI9" s="155"/>
      <c r="HJ9" s="155"/>
      <c r="HK9" s="155"/>
      <c r="HL9" s="155"/>
      <c r="HM9" s="155"/>
      <c r="HN9" s="155"/>
      <c r="HO9" s="155"/>
      <c r="HP9" s="155"/>
      <c r="HQ9" s="155"/>
      <c r="HR9" s="155"/>
      <c r="HS9" s="155"/>
      <c r="HT9" s="155"/>
      <c r="HU9" s="155"/>
      <c r="HV9" s="155"/>
      <c r="HW9" s="155"/>
      <c r="HX9" s="155"/>
      <c r="HY9" s="155"/>
      <c r="HZ9" s="155"/>
      <c r="IA9" s="155"/>
      <c r="IB9" s="155"/>
      <c r="IC9" s="155"/>
      <c r="ID9" s="155"/>
      <c r="IE9" s="155"/>
      <c r="IF9" s="155"/>
      <c r="IG9" s="155"/>
      <c r="IH9" s="155"/>
      <c r="II9" s="155"/>
      <c r="IJ9" s="155"/>
      <c r="IK9" s="155"/>
      <c r="IL9" s="155"/>
      <c r="IM9" s="155"/>
      <c r="IN9" s="155"/>
      <c r="IO9" s="155"/>
      <c r="IP9" s="155"/>
      <c r="IQ9" s="155"/>
      <c r="IR9" s="155"/>
      <c r="IS9" s="155"/>
      <c r="IT9" s="155"/>
      <c r="IU9" s="155"/>
      <c r="IV9" s="155"/>
    </row>
    <row r="10" s="156" customFormat="true" ht="25.5" hidden="false" customHeight="true" outlineLevel="0" collapsed="false">
      <c r="A10" s="157" t="str">
        <f aca="false">IF(Eingabe!A64="","",Eingabe!A64)</f>
        <v/>
      </c>
      <c r="B10" s="157"/>
      <c r="C10" s="157"/>
      <c r="D10" s="157"/>
      <c r="E10" s="158" t="str">
        <f aca="false">IF(Eingabe!B64="","",Eingabe!B64)</f>
        <v/>
      </c>
      <c r="F10" s="158"/>
      <c r="G10" s="158"/>
      <c r="H10" s="158"/>
      <c r="I10" s="159" t="str">
        <f aca="false">IF(Eingabe!C64="","",Eingabe!C64)</f>
        <v/>
      </c>
      <c r="J10" s="159"/>
      <c r="K10" s="159"/>
      <c r="L10" s="159"/>
      <c r="M10" s="160" t="str">
        <f aca="false">IF(Eingabe!D64&amp;""&amp;Eingabe!E64="","",Eingabe!D64&amp;" 
"&amp;Eingabe!E64)</f>
        <v/>
      </c>
      <c r="N10" s="160"/>
      <c r="O10" s="160"/>
      <c r="P10" s="160"/>
      <c r="Q10" s="160"/>
      <c r="R10" s="160"/>
      <c r="S10" s="160"/>
      <c r="T10" s="160"/>
      <c r="U10" s="160"/>
      <c r="V10" s="160"/>
      <c r="W10" s="160"/>
      <c r="X10" s="160"/>
      <c r="Y10" s="160"/>
      <c r="Z10" s="160"/>
      <c r="AA10" s="160"/>
      <c r="AB10" s="160"/>
      <c r="AC10" s="160"/>
      <c r="AD10" s="160"/>
      <c r="AE10" s="160"/>
      <c r="AF10" s="160"/>
      <c r="AG10" s="159" t="str">
        <f aca="false">IF(Eingabe!F64&amp;""&amp;Eingabe!G64="","",Eingabe!F64&amp;" 
"&amp;Eingabe!G64)</f>
        <v/>
      </c>
      <c r="AH10" s="159"/>
      <c r="AI10" s="159"/>
      <c r="AJ10" s="159"/>
      <c r="AK10" s="159"/>
      <c r="AL10" s="159"/>
      <c r="AM10" s="159"/>
      <c r="AN10" s="159"/>
      <c r="AO10" s="159"/>
      <c r="AP10" s="159"/>
      <c r="AQ10" s="159"/>
      <c r="AR10" s="159"/>
      <c r="AS10" s="159"/>
      <c r="AT10" s="159"/>
      <c r="AU10" s="159"/>
      <c r="AV10" s="159"/>
      <c r="AW10" s="159"/>
      <c r="AX10" s="159" t="str">
        <f aca="false">IF(Eingabe!H64="","",Eingabe!H64)</f>
        <v/>
      </c>
      <c r="AY10" s="159"/>
      <c r="AZ10" s="159"/>
      <c r="BA10" s="159"/>
      <c r="BB10" s="161" t="str">
        <f aca="false">IF(Eingabe!K64="","",Eingabe!K64)</f>
        <v/>
      </c>
      <c r="BC10" s="161"/>
      <c r="BD10" s="161"/>
      <c r="BE10" s="161"/>
      <c r="BF10" s="161"/>
      <c r="BG10" s="161"/>
      <c r="BH10" s="161"/>
      <c r="BI10" s="161"/>
      <c r="BJ10" s="161"/>
      <c r="BK10" s="161"/>
      <c r="BL10" s="161"/>
      <c r="BM10" s="161"/>
      <c r="BN10" s="161"/>
      <c r="BO10" s="155"/>
      <c r="BP10" s="155"/>
      <c r="BQ10" s="155"/>
      <c r="BR10" s="155"/>
      <c r="BS10" s="155"/>
      <c r="BT10" s="155"/>
      <c r="BU10" s="155"/>
      <c r="BV10" s="155"/>
      <c r="BW10" s="155"/>
      <c r="BX10" s="155"/>
      <c r="BY10" s="155"/>
      <c r="BZ10" s="155"/>
      <c r="CA10" s="155"/>
      <c r="CB10" s="155"/>
      <c r="CC10" s="155"/>
      <c r="CD10" s="155"/>
      <c r="CE10" s="155"/>
      <c r="CF10" s="155"/>
      <c r="CG10" s="155"/>
      <c r="CH10" s="155"/>
      <c r="CI10" s="155"/>
      <c r="CJ10" s="155"/>
      <c r="CK10" s="155"/>
      <c r="CL10" s="155"/>
      <c r="CM10" s="155"/>
      <c r="CN10" s="155"/>
      <c r="CO10" s="155"/>
      <c r="CP10" s="155"/>
      <c r="CQ10" s="155"/>
      <c r="CR10" s="155"/>
      <c r="CS10" s="155"/>
      <c r="CT10" s="155"/>
      <c r="CU10" s="155"/>
      <c r="CV10" s="155"/>
      <c r="CW10" s="155"/>
      <c r="CX10" s="155"/>
      <c r="CY10" s="155"/>
      <c r="CZ10" s="155"/>
      <c r="DA10" s="155"/>
      <c r="DB10" s="155"/>
      <c r="DC10" s="155"/>
      <c r="DD10" s="155"/>
      <c r="DE10" s="155"/>
      <c r="DF10" s="155"/>
      <c r="DG10" s="155"/>
      <c r="DH10" s="155"/>
      <c r="DI10" s="155"/>
      <c r="DJ10" s="155"/>
      <c r="DK10" s="155"/>
      <c r="DL10" s="155"/>
      <c r="DM10" s="155"/>
      <c r="DN10" s="155"/>
      <c r="DO10" s="155"/>
      <c r="DP10" s="155"/>
      <c r="DQ10" s="155"/>
      <c r="DR10" s="155"/>
      <c r="DS10" s="155"/>
      <c r="DT10" s="155"/>
      <c r="DU10" s="155"/>
      <c r="DV10" s="155"/>
      <c r="DW10" s="155"/>
      <c r="DX10" s="155"/>
      <c r="DY10" s="155"/>
      <c r="DZ10" s="155"/>
      <c r="EA10" s="155"/>
      <c r="EB10" s="155"/>
      <c r="EC10" s="155"/>
      <c r="ED10" s="155"/>
      <c r="EE10" s="155"/>
      <c r="EF10" s="155"/>
      <c r="EG10" s="155"/>
      <c r="EH10" s="155"/>
      <c r="EI10" s="155"/>
      <c r="EJ10" s="155"/>
      <c r="EK10" s="155"/>
      <c r="EL10" s="155"/>
      <c r="EM10" s="155"/>
      <c r="EN10" s="155"/>
      <c r="EO10" s="155"/>
      <c r="EP10" s="155"/>
      <c r="EQ10" s="155"/>
      <c r="ER10" s="155"/>
      <c r="ES10" s="155"/>
      <c r="ET10" s="155"/>
      <c r="EU10" s="155"/>
      <c r="EV10" s="155"/>
      <c r="EW10" s="155"/>
      <c r="EX10" s="155"/>
      <c r="EY10" s="155"/>
      <c r="EZ10" s="155"/>
      <c r="FA10" s="155"/>
      <c r="FB10" s="155"/>
      <c r="FC10" s="155"/>
      <c r="FD10" s="155"/>
      <c r="FE10" s="155"/>
      <c r="FF10" s="155"/>
      <c r="FG10" s="155"/>
      <c r="FH10" s="155"/>
      <c r="FI10" s="155"/>
      <c r="FJ10" s="155"/>
      <c r="FK10" s="155"/>
      <c r="FL10" s="155"/>
      <c r="FM10" s="155"/>
      <c r="FN10" s="155"/>
      <c r="FO10" s="155"/>
      <c r="FP10" s="155"/>
      <c r="FQ10" s="155"/>
      <c r="FR10" s="155"/>
      <c r="FS10" s="155"/>
      <c r="FT10" s="155"/>
      <c r="FU10" s="155"/>
      <c r="FV10" s="155"/>
      <c r="FW10" s="155"/>
      <c r="FX10" s="155"/>
      <c r="FY10" s="155"/>
      <c r="FZ10" s="155"/>
      <c r="GA10" s="155"/>
      <c r="GB10" s="155"/>
      <c r="GC10" s="155"/>
      <c r="GD10" s="155"/>
      <c r="GE10" s="155"/>
      <c r="GF10" s="155"/>
      <c r="GG10" s="155"/>
      <c r="GH10" s="155"/>
      <c r="GI10" s="155"/>
      <c r="GJ10" s="155"/>
      <c r="GK10" s="155"/>
      <c r="GL10" s="155"/>
      <c r="GM10" s="155"/>
      <c r="GN10" s="155"/>
      <c r="GO10" s="155"/>
      <c r="GP10" s="155"/>
      <c r="GQ10" s="155"/>
      <c r="GR10" s="155"/>
      <c r="GS10" s="155"/>
      <c r="GT10" s="155"/>
      <c r="GU10" s="155"/>
      <c r="GV10" s="155"/>
      <c r="GW10" s="155"/>
      <c r="GX10" s="155"/>
      <c r="GY10" s="155"/>
      <c r="GZ10" s="155"/>
      <c r="HA10" s="155"/>
      <c r="HB10" s="155"/>
      <c r="HC10" s="155"/>
      <c r="HD10" s="155"/>
      <c r="HE10" s="155"/>
      <c r="HF10" s="155"/>
      <c r="HG10" s="155"/>
      <c r="HH10" s="155"/>
      <c r="HI10" s="155"/>
      <c r="HJ10" s="155"/>
      <c r="HK10" s="155"/>
      <c r="HL10" s="155"/>
      <c r="HM10" s="155"/>
      <c r="HN10" s="155"/>
      <c r="HO10" s="155"/>
      <c r="HP10" s="155"/>
      <c r="HQ10" s="155"/>
      <c r="HR10" s="155"/>
      <c r="HS10" s="155"/>
      <c r="HT10" s="155"/>
      <c r="HU10" s="155"/>
      <c r="HV10" s="155"/>
      <c r="HW10" s="155"/>
      <c r="HX10" s="155"/>
      <c r="HY10" s="155"/>
      <c r="HZ10" s="155"/>
      <c r="IA10" s="155"/>
      <c r="IB10" s="155"/>
      <c r="IC10" s="155"/>
      <c r="ID10" s="155"/>
      <c r="IE10" s="155"/>
      <c r="IF10" s="155"/>
      <c r="IG10" s="155"/>
      <c r="IH10" s="155"/>
      <c r="II10" s="155"/>
      <c r="IJ10" s="155"/>
      <c r="IK10" s="155"/>
      <c r="IL10" s="155"/>
      <c r="IM10" s="155"/>
      <c r="IN10" s="155"/>
      <c r="IO10" s="155"/>
      <c r="IP10" s="155"/>
      <c r="IQ10" s="155"/>
      <c r="IR10" s="155"/>
      <c r="IS10" s="155"/>
      <c r="IT10" s="155"/>
      <c r="IU10" s="155"/>
      <c r="IV10" s="155"/>
    </row>
    <row r="11" s="156" customFormat="true" ht="25.5" hidden="false" customHeight="true" outlineLevel="0" collapsed="false">
      <c r="A11" s="157" t="str">
        <f aca="false">IF(Eingabe!A65="","",Eingabe!A65)</f>
        <v/>
      </c>
      <c r="B11" s="157"/>
      <c r="C11" s="157"/>
      <c r="D11" s="157"/>
      <c r="E11" s="158" t="str">
        <f aca="false">IF(Eingabe!B65="","",Eingabe!B65)</f>
        <v/>
      </c>
      <c r="F11" s="158"/>
      <c r="G11" s="158"/>
      <c r="H11" s="158"/>
      <c r="I11" s="159" t="str">
        <f aca="false">IF(Eingabe!C65="","",Eingabe!C65)</f>
        <v/>
      </c>
      <c r="J11" s="159"/>
      <c r="K11" s="159"/>
      <c r="L11" s="159"/>
      <c r="M11" s="160" t="str">
        <f aca="false">IF(Eingabe!D65&amp;""&amp;Eingabe!E65="","",Eingabe!D65&amp;" 
"&amp;Eingabe!E65)</f>
        <v/>
      </c>
      <c r="N11" s="160"/>
      <c r="O11" s="160"/>
      <c r="P11" s="160"/>
      <c r="Q11" s="160"/>
      <c r="R11" s="160"/>
      <c r="S11" s="160"/>
      <c r="T11" s="160"/>
      <c r="U11" s="160"/>
      <c r="V11" s="160"/>
      <c r="W11" s="160"/>
      <c r="X11" s="160"/>
      <c r="Y11" s="160"/>
      <c r="Z11" s="160"/>
      <c r="AA11" s="160"/>
      <c r="AB11" s="160"/>
      <c r="AC11" s="160"/>
      <c r="AD11" s="160"/>
      <c r="AE11" s="160"/>
      <c r="AF11" s="160"/>
      <c r="AG11" s="159" t="str">
        <f aca="false">IF(Eingabe!F65&amp;""&amp;Eingabe!G65="","",Eingabe!F65&amp;" 
"&amp;Eingabe!G65)</f>
        <v/>
      </c>
      <c r="AH11" s="159"/>
      <c r="AI11" s="159"/>
      <c r="AJ11" s="159"/>
      <c r="AK11" s="159"/>
      <c r="AL11" s="159"/>
      <c r="AM11" s="159"/>
      <c r="AN11" s="159"/>
      <c r="AO11" s="159"/>
      <c r="AP11" s="159"/>
      <c r="AQ11" s="159"/>
      <c r="AR11" s="159"/>
      <c r="AS11" s="159"/>
      <c r="AT11" s="159"/>
      <c r="AU11" s="159"/>
      <c r="AV11" s="159"/>
      <c r="AW11" s="159"/>
      <c r="AX11" s="159" t="str">
        <f aca="false">IF(Eingabe!H65="","",Eingabe!H65)</f>
        <v/>
      </c>
      <c r="AY11" s="159"/>
      <c r="AZ11" s="159"/>
      <c r="BA11" s="159"/>
      <c r="BB11" s="161" t="str">
        <f aca="false">IF(Eingabe!K65="","",Eingabe!K65)</f>
        <v/>
      </c>
      <c r="BC11" s="161"/>
      <c r="BD11" s="161"/>
      <c r="BE11" s="161"/>
      <c r="BF11" s="161"/>
      <c r="BG11" s="161"/>
      <c r="BH11" s="161"/>
      <c r="BI11" s="161"/>
      <c r="BJ11" s="161"/>
      <c r="BK11" s="161"/>
      <c r="BL11" s="161"/>
      <c r="BM11" s="161"/>
      <c r="BN11" s="161"/>
      <c r="BO11" s="155"/>
      <c r="BP11" s="155"/>
      <c r="BQ11" s="155"/>
      <c r="BR11" s="155"/>
      <c r="BS11" s="155"/>
      <c r="BT11" s="155"/>
      <c r="BU11" s="155"/>
      <c r="BV11" s="155"/>
      <c r="BW11" s="155"/>
      <c r="BX11" s="155"/>
      <c r="BY11" s="155"/>
      <c r="BZ11" s="155"/>
      <c r="CA11" s="155"/>
      <c r="CB11" s="155"/>
      <c r="CC11" s="155"/>
      <c r="CD11" s="155"/>
      <c r="CE11" s="155"/>
      <c r="CF11" s="155"/>
      <c r="CG11" s="155"/>
      <c r="CH11" s="155"/>
      <c r="CI11" s="155"/>
      <c r="CJ11" s="155"/>
      <c r="CK11" s="155"/>
      <c r="CL11" s="155"/>
      <c r="CM11" s="155"/>
      <c r="CN11" s="155"/>
      <c r="CO11" s="155"/>
      <c r="CP11" s="155"/>
      <c r="CQ11" s="155"/>
      <c r="CR11" s="155"/>
      <c r="CS11" s="155"/>
      <c r="CT11" s="155"/>
      <c r="CU11" s="155"/>
      <c r="CV11" s="155"/>
      <c r="CW11" s="155"/>
      <c r="CX11" s="155"/>
      <c r="CY11" s="155"/>
      <c r="CZ11" s="155"/>
      <c r="DA11" s="155"/>
      <c r="DB11" s="155"/>
      <c r="DC11" s="155"/>
      <c r="DD11" s="155"/>
      <c r="DE11" s="155"/>
      <c r="DF11" s="155"/>
      <c r="DG11" s="155"/>
      <c r="DH11" s="155"/>
      <c r="DI11" s="155"/>
      <c r="DJ11" s="155"/>
      <c r="DK11" s="155"/>
      <c r="DL11" s="155"/>
      <c r="DM11" s="155"/>
      <c r="DN11" s="155"/>
      <c r="DO11" s="155"/>
      <c r="DP11" s="155"/>
      <c r="DQ11" s="155"/>
      <c r="DR11" s="155"/>
      <c r="DS11" s="155"/>
      <c r="DT11" s="155"/>
      <c r="DU11" s="155"/>
      <c r="DV11" s="155"/>
      <c r="DW11" s="155"/>
      <c r="DX11" s="155"/>
      <c r="DY11" s="155"/>
      <c r="DZ11" s="155"/>
      <c r="EA11" s="155"/>
      <c r="EB11" s="155"/>
      <c r="EC11" s="155"/>
      <c r="ED11" s="155"/>
      <c r="EE11" s="155"/>
      <c r="EF11" s="155"/>
      <c r="EG11" s="155"/>
      <c r="EH11" s="155"/>
      <c r="EI11" s="155"/>
      <c r="EJ11" s="155"/>
      <c r="EK11" s="155"/>
      <c r="EL11" s="155"/>
      <c r="EM11" s="155"/>
      <c r="EN11" s="155"/>
      <c r="EO11" s="155"/>
      <c r="EP11" s="155"/>
      <c r="EQ11" s="155"/>
      <c r="ER11" s="155"/>
      <c r="ES11" s="155"/>
      <c r="ET11" s="155"/>
      <c r="EU11" s="155"/>
      <c r="EV11" s="155"/>
      <c r="EW11" s="155"/>
      <c r="EX11" s="155"/>
      <c r="EY11" s="155"/>
      <c r="EZ11" s="155"/>
      <c r="FA11" s="155"/>
      <c r="FB11" s="155"/>
      <c r="FC11" s="155"/>
      <c r="FD11" s="155"/>
      <c r="FE11" s="155"/>
      <c r="FF11" s="155"/>
      <c r="FG11" s="155"/>
      <c r="FH11" s="155"/>
      <c r="FI11" s="155"/>
      <c r="FJ11" s="155"/>
      <c r="FK11" s="155"/>
      <c r="FL11" s="155"/>
      <c r="FM11" s="155"/>
      <c r="FN11" s="155"/>
      <c r="FO11" s="155"/>
      <c r="FP11" s="155"/>
      <c r="FQ11" s="155"/>
      <c r="FR11" s="155"/>
      <c r="FS11" s="155"/>
      <c r="FT11" s="155"/>
      <c r="FU11" s="155"/>
      <c r="FV11" s="155"/>
      <c r="FW11" s="155"/>
      <c r="FX11" s="155"/>
      <c r="FY11" s="155"/>
      <c r="FZ11" s="155"/>
      <c r="GA11" s="155"/>
      <c r="GB11" s="155"/>
      <c r="GC11" s="155"/>
      <c r="GD11" s="155"/>
      <c r="GE11" s="155"/>
      <c r="GF11" s="155"/>
      <c r="GG11" s="155"/>
      <c r="GH11" s="155"/>
      <c r="GI11" s="155"/>
      <c r="GJ11" s="155"/>
      <c r="GK11" s="155"/>
      <c r="GL11" s="155"/>
      <c r="GM11" s="155"/>
      <c r="GN11" s="155"/>
      <c r="GO11" s="155"/>
      <c r="GP11" s="155"/>
      <c r="GQ11" s="155"/>
      <c r="GR11" s="155"/>
      <c r="GS11" s="155"/>
      <c r="GT11" s="155"/>
      <c r="GU11" s="155"/>
      <c r="GV11" s="155"/>
      <c r="GW11" s="155"/>
      <c r="GX11" s="155"/>
      <c r="GY11" s="155"/>
      <c r="GZ11" s="155"/>
      <c r="HA11" s="155"/>
      <c r="HB11" s="155"/>
      <c r="HC11" s="155"/>
      <c r="HD11" s="155"/>
      <c r="HE11" s="155"/>
      <c r="HF11" s="155"/>
      <c r="HG11" s="155"/>
      <c r="HH11" s="155"/>
      <c r="HI11" s="155"/>
      <c r="HJ11" s="155"/>
      <c r="HK11" s="155"/>
      <c r="HL11" s="155"/>
      <c r="HM11" s="155"/>
      <c r="HN11" s="155"/>
      <c r="HO11" s="155"/>
      <c r="HP11" s="155"/>
      <c r="HQ11" s="155"/>
      <c r="HR11" s="155"/>
      <c r="HS11" s="155"/>
      <c r="HT11" s="155"/>
      <c r="HU11" s="155"/>
      <c r="HV11" s="155"/>
      <c r="HW11" s="155"/>
      <c r="HX11" s="155"/>
      <c r="HY11" s="155"/>
      <c r="HZ11" s="155"/>
      <c r="IA11" s="155"/>
      <c r="IB11" s="155"/>
      <c r="IC11" s="155"/>
      <c r="ID11" s="155"/>
      <c r="IE11" s="155"/>
      <c r="IF11" s="155"/>
      <c r="IG11" s="155"/>
      <c r="IH11" s="155"/>
      <c r="II11" s="155"/>
      <c r="IJ11" s="155"/>
      <c r="IK11" s="155"/>
      <c r="IL11" s="155"/>
      <c r="IM11" s="155"/>
      <c r="IN11" s="155"/>
      <c r="IO11" s="155"/>
      <c r="IP11" s="155"/>
      <c r="IQ11" s="155"/>
      <c r="IR11" s="155"/>
      <c r="IS11" s="155"/>
      <c r="IT11" s="155"/>
      <c r="IU11" s="155"/>
      <c r="IV11" s="155"/>
    </row>
    <row r="12" s="156" customFormat="true" ht="25.5" hidden="false" customHeight="true" outlineLevel="0" collapsed="false">
      <c r="A12" s="157" t="str">
        <f aca="false">IF(Eingabe!A66="","",Eingabe!A66)</f>
        <v/>
      </c>
      <c r="B12" s="157"/>
      <c r="C12" s="157"/>
      <c r="D12" s="157"/>
      <c r="E12" s="158" t="str">
        <f aca="false">IF(Eingabe!B66="","",Eingabe!B66)</f>
        <v/>
      </c>
      <c r="F12" s="158"/>
      <c r="G12" s="158"/>
      <c r="H12" s="158"/>
      <c r="I12" s="159" t="str">
        <f aca="false">IF(Eingabe!C66="","",Eingabe!C66)</f>
        <v/>
      </c>
      <c r="J12" s="159"/>
      <c r="K12" s="159"/>
      <c r="L12" s="159"/>
      <c r="M12" s="160" t="str">
        <f aca="false">IF(Eingabe!D66&amp;""&amp;Eingabe!E66="","",Eingabe!D66&amp;" 
"&amp;Eingabe!E66)</f>
        <v/>
      </c>
      <c r="N12" s="160"/>
      <c r="O12" s="160"/>
      <c r="P12" s="160"/>
      <c r="Q12" s="160"/>
      <c r="R12" s="160"/>
      <c r="S12" s="160"/>
      <c r="T12" s="160"/>
      <c r="U12" s="160"/>
      <c r="V12" s="160"/>
      <c r="W12" s="160"/>
      <c r="X12" s="160"/>
      <c r="Y12" s="160"/>
      <c r="Z12" s="160"/>
      <c r="AA12" s="160"/>
      <c r="AB12" s="160"/>
      <c r="AC12" s="160"/>
      <c r="AD12" s="160"/>
      <c r="AE12" s="160"/>
      <c r="AF12" s="160"/>
      <c r="AG12" s="159" t="str">
        <f aca="false">IF(Eingabe!F66&amp;""&amp;Eingabe!G66="","",Eingabe!F66&amp;" 
"&amp;Eingabe!G66)</f>
        <v/>
      </c>
      <c r="AH12" s="159"/>
      <c r="AI12" s="159"/>
      <c r="AJ12" s="159"/>
      <c r="AK12" s="159"/>
      <c r="AL12" s="159"/>
      <c r="AM12" s="159"/>
      <c r="AN12" s="159"/>
      <c r="AO12" s="159"/>
      <c r="AP12" s="159"/>
      <c r="AQ12" s="159"/>
      <c r="AR12" s="159"/>
      <c r="AS12" s="159"/>
      <c r="AT12" s="159"/>
      <c r="AU12" s="159"/>
      <c r="AV12" s="159"/>
      <c r="AW12" s="159"/>
      <c r="AX12" s="159" t="str">
        <f aca="false">IF(Eingabe!H66="","",Eingabe!H66)</f>
        <v/>
      </c>
      <c r="AY12" s="159"/>
      <c r="AZ12" s="159"/>
      <c r="BA12" s="159"/>
      <c r="BB12" s="161" t="str">
        <f aca="false">IF(Eingabe!K66="","",Eingabe!K66)</f>
        <v/>
      </c>
      <c r="BC12" s="161"/>
      <c r="BD12" s="161"/>
      <c r="BE12" s="161"/>
      <c r="BF12" s="161"/>
      <c r="BG12" s="161"/>
      <c r="BH12" s="161"/>
      <c r="BI12" s="161"/>
      <c r="BJ12" s="161"/>
      <c r="BK12" s="161"/>
      <c r="BL12" s="161"/>
      <c r="BM12" s="161"/>
      <c r="BN12" s="161"/>
      <c r="BO12" s="155"/>
      <c r="BP12" s="155"/>
      <c r="BQ12" s="155"/>
      <c r="BR12" s="155"/>
      <c r="BS12" s="155"/>
      <c r="BT12" s="155"/>
      <c r="BU12" s="155"/>
      <c r="BV12" s="155"/>
      <c r="BW12" s="155"/>
      <c r="BX12" s="155"/>
      <c r="BY12" s="155"/>
      <c r="BZ12" s="155"/>
      <c r="CA12" s="155"/>
      <c r="CB12" s="155"/>
      <c r="CC12" s="155"/>
      <c r="CD12" s="155"/>
      <c r="CE12" s="155"/>
      <c r="CF12" s="155"/>
      <c r="CG12" s="155"/>
      <c r="CH12" s="155"/>
      <c r="CI12" s="155"/>
      <c r="CJ12" s="155"/>
      <c r="CK12" s="155"/>
      <c r="CL12" s="155"/>
      <c r="CM12" s="155"/>
      <c r="CN12" s="155"/>
      <c r="CO12" s="155"/>
      <c r="CP12" s="155"/>
      <c r="CQ12" s="155"/>
      <c r="CR12" s="155"/>
      <c r="CS12" s="155"/>
      <c r="CT12" s="155"/>
      <c r="CU12" s="155"/>
      <c r="CV12" s="155"/>
      <c r="CW12" s="155"/>
      <c r="CX12" s="155"/>
      <c r="CY12" s="155"/>
      <c r="CZ12" s="155"/>
      <c r="DA12" s="155"/>
      <c r="DB12" s="155"/>
      <c r="DC12" s="155"/>
      <c r="DD12" s="155"/>
      <c r="DE12" s="155"/>
      <c r="DF12" s="155"/>
      <c r="DG12" s="155"/>
      <c r="DH12" s="155"/>
      <c r="DI12" s="155"/>
      <c r="DJ12" s="155"/>
      <c r="DK12" s="155"/>
      <c r="DL12" s="155"/>
      <c r="DM12" s="155"/>
      <c r="DN12" s="155"/>
      <c r="DO12" s="155"/>
      <c r="DP12" s="155"/>
      <c r="DQ12" s="155"/>
      <c r="DR12" s="155"/>
      <c r="DS12" s="155"/>
      <c r="DT12" s="155"/>
      <c r="DU12" s="155"/>
      <c r="DV12" s="155"/>
      <c r="DW12" s="155"/>
      <c r="DX12" s="155"/>
      <c r="DY12" s="155"/>
      <c r="DZ12" s="155"/>
      <c r="EA12" s="155"/>
      <c r="EB12" s="155"/>
      <c r="EC12" s="155"/>
      <c r="ED12" s="155"/>
      <c r="EE12" s="155"/>
      <c r="EF12" s="155"/>
      <c r="EG12" s="155"/>
      <c r="EH12" s="155"/>
      <c r="EI12" s="155"/>
      <c r="EJ12" s="155"/>
      <c r="EK12" s="155"/>
      <c r="EL12" s="155"/>
      <c r="EM12" s="155"/>
      <c r="EN12" s="155"/>
      <c r="EO12" s="155"/>
      <c r="EP12" s="155"/>
      <c r="EQ12" s="155"/>
      <c r="ER12" s="155"/>
      <c r="ES12" s="155"/>
      <c r="ET12" s="155"/>
      <c r="EU12" s="155"/>
      <c r="EV12" s="155"/>
      <c r="EW12" s="155"/>
      <c r="EX12" s="155"/>
      <c r="EY12" s="155"/>
      <c r="EZ12" s="155"/>
      <c r="FA12" s="155"/>
      <c r="FB12" s="155"/>
      <c r="FC12" s="155"/>
      <c r="FD12" s="155"/>
      <c r="FE12" s="155"/>
      <c r="FF12" s="155"/>
      <c r="FG12" s="155"/>
      <c r="FH12" s="155"/>
      <c r="FI12" s="155"/>
      <c r="FJ12" s="155"/>
      <c r="FK12" s="155"/>
      <c r="FL12" s="155"/>
      <c r="FM12" s="155"/>
      <c r="FN12" s="155"/>
      <c r="FO12" s="155"/>
      <c r="FP12" s="155"/>
      <c r="FQ12" s="155"/>
      <c r="FR12" s="155"/>
      <c r="FS12" s="155"/>
      <c r="FT12" s="155"/>
      <c r="FU12" s="155"/>
      <c r="FV12" s="155"/>
      <c r="FW12" s="155"/>
      <c r="FX12" s="155"/>
      <c r="FY12" s="155"/>
      <c r="FZ12" s="155"/>
      <c r="GA12" s="155"/>
      <c r="GB12" s="155"/>
      <c r="GC12" s="155"/>
      <c r="GD12" s="155"/>
      <c r="GE12" s="155"/>
      <c r="GF12" s="155"/>
      <c r="GG12" s="155"/>
      <c r="GH12" s="155"/>
      <c r="GI12" s="155"/>
      <c r="GJ12" s="155"/>
      <c r="GK12" s="155"/>
      <c r="GL12" s="155"/>
      <c r="GM12" s="155"/>
      <c r="GN12" s="155"/>
      <c r="GO12" s="155"/>
      <c r="GP12" s="155"/>
      <c r="GQ12" s="155"/>
      <c r="GR12" s="155"/>
      <c r="GS12" s="155"/>
      <c r="GT12" s="155"/>
      <c r="GU12" s="155"/>
      <c r="GV12" s="155"/>
      <c r="GW12" s="155"/>
      <c r="GX12" s="155"/>
      <c r="GY12" s="155"/>
      <c r="GZ12" s="155"/>
      <c r="HA12" s="155"/>
      <c r="HB12" s="155"/>
      <c r="HC12" s="155"/>
      <c r="HD12" s="155"/>
      <c r="HE12" s="155"/>
      <c r="HF12" s="155"/>
      <c r="HG12" s="155"/>
      <c r="HH12" s="155"/>
      <c r="HI12" s="155"/>
      <c r="HJ12" s="155"/>
      <c r="HK12" s="155"/>
      <c r="HL12" s="155"/>
      <c r="HM12" s="155"/>
      <c r="HN12" s="155"/>
      <c r="HO12" s="155"/>
      <c r="HP12" s="155"/>
      <c r="HQ12" s="155"/>
      <c r="HR12" s="155"/>
      <c r="HS12" s="155"/>
      <c r="HT12" s="155"/>
      <c r="HU12" s="155"/>
      <c r="HV12" s="155"/>
      <c r="HW12" s="155"/>
      <c r="HX12" s="155"/>
      <c r="HY12" s="155"/>
      <c r="HZ12" s="155"/>
      <c r="IA12" s="155"/>
      <c r="IB12" s="155"/>
      <c r="IC12" s="155"/>
      <c r="ID12" s="155"/>
      <c r="IE12" s="155"/>
      <c r="IF12" s="155"/>
      <c r="IG12" s="155"/>
      <c r="IH12" s="155"/>
      <c r="II12" s="155"/>
      <c r="IJ12" s="155"/>
      <c r="IK12" s="155"/>
      <c r="IL12" s="155"/>
      <c r="IM12" s="155"/>
      <c r="IN12" s="155"/>
      <c r="IO12" s="155"/>
      <c r="IP12" s="155"/>
      <c r="IQ12" s="155"/>
      <c r="IR12" s="155"/>
      <c r="IS12" s="155"/>
      <c r="IT12" s="155"/>
      <c r="IU12" s="155"/>
      <c r="IV12" s="155"/>
    </row>
    <row r="13" s="156" customFormat="true" ht="25.5" hidden="false" customHeight="true" outlineLevel="0" collapsed="false">
      <c r="A13" s="157" t="str">
        <f aca="false">IF(Eingabe!A67="","",Eingabe!A67)</f>
        <v/>
      </c>
      <c r="B13" s="157"/>
      <c r="C13" s="157"/>
      <c r="D13" s="157"/>
      <c r="E13" s="158" t="str">
        <f aca="false">IF(Eingabe!B67="","",Eingabe!B67)</f>
        <v/>
      </c>
      <c r="F13" s="158"/>
      <c r="G13" s="158"/>
      <c r="H13" s="158"/>
      <c r="I13" s="159" t="str">
        <f aca="false">IF(Eingabe!C67="","",Eingabe!C67)</f>
        <v/>
      </c>
      <c r="J13" s="159"/>
      <c r="K13" s="159"/>
      <c r="L13" s="159"/>
      <c r="M13" s="160" t="str">
        <f aca="false">IF(Eingabe!D67&amp;""&amp;Eingabe!E67="","",Eingabe!D67&amp;" 
"&amp;Eingabe!E67)</f>
        <v/>
      </c>
      <c r="N13" s="160"/>
      <c r="O13" s="160"/>
      <c r="P13" s="160"/>
      <c r="Q13" s="160"/>
      <c r="R13" s="160"/>
      <c r="S13" s="160"/>
      <c r="T13" s="160"/>
      <c r="U13" s="160"/>
      <c r="V13" s="160"/>
      <c r="W13" s="160"/>
      <c r="X13" s="160"/>
      <c r="Y13" s="160"/>
      <c r="Z13" s="160"/>
      <c r="AA13" s="160"/>
      <c r="AB13" s="160"/>
      <c r="AC13" s="160"/>
      <c r="AD13" s="160"/>
      <c r="AE13" s="160"/>
      <c r="AF13" s="160"/>
      <c r="AG13" s="159" t="str">
        <f aca="false">IF(Eingabe!F67&amp;""&amp;Eingabe!G67="","",Eingabe!F67&amp;" 
"&amp;Eingabe!G67)</f>
        <v/>
      </c>
      <c r="AH13" s="159"/>
      <c r="AI13" s="159"/>
      <c r="AJ13" s="159"/>
      <c r="AK13" s="159"/>
      <c r="AL13" s="159"/>
      <c r="AM13" s="159"/>
      <c r="AN13" s="159"/>
      <c r="AO13" s="159"/>
      <c r="AP13" s="159"/>
      <c r="AQ13" s="159"/>
      <c r="AR13" s="159"/>
      <c r="AS13" s="159"/>
      <c r="AT13" s="159"/>
      <c r="AU13" s="159"/>
      <c r="AV13" s="159"/>
      <c r="AW13" s="159"/>
      <c r="AX13" s="159" t="str">
        <f aca="false">IF(Eingabe!H67="","",Eingabe!H67)</f>
        <v/>
      </c>
      <c r="AY13" s="159"/>
      <c r="AZ13" s="159"/>
      <c r="BA13" s="159"/>
      <c r="BB13" s="161" t="str">
        <f aca="false">IF(Eingabe!K67="","",Eingabe!K67)</f>
        <v/>
      </c>
      <c r="BC13" s="161"/>
      <c r="BD13" s="161"/>
      <c r="BE13" s="161"/>
      <c r="BF13" s="161"/>
      <c r="BG13" s="161"/>
      <c r="BH13" s="161"/>
      <c r="BI13" s="161"/>
      <c r="BJ13" s="161"/>
      <c r="BK13" s="161"/>
      <c r="BL13" s="161"/>
      <c r="BM13" s="161"/>
      <c r="BN13" s="161"/>
      <c r="BO13" s="155"/>
      <c r="BP13" s="155"/>
      <c r="BQ13" s="155"/>
      <c r="BR13" s="155"/>
      <c r="BS13" s="155"/>
      <c r="BT13" s="155"/>
      <c r="BU13" s="155"/>
      <c r="BV13" s="155"/>
      <c r="BW13" s="155"/>
      <c r="BX13" s="155"/>
      <c r="BY13" s="155"/>
      <c r="BZ13" s="155"/>
      <c r="CA13" s="155"/>
      <c r="CB13" s="155"/>
      <c r="CC13" s="155"/>
      <c r="CD13" s="155"/>
      <c r="CE13" s="155"/>
      <c r="CF13" s="155"/>
      <c r="CG13" s="155"/>
      <c r="CH13" s="155"/>
      <c r="CI13" s="155"/>
      <c r="CJ13" s="155"/>
      <c r="CK13" s="155"/>
      <c r="CL13" s="155"/>
      <c r="CM13" s="155"/>
      <c r="CN13" s="155"/>
      <c r="CO13" s="155"/>
      <c r="CP13" s="155"/>
      <c r="CQ13" s="155"/>
      <c r="CR13" s="155"/>
      <c r="CS13" s="155"/>
      <c r="CT13" s="155"/>
      <c r="CU13" s="155"/>
      <c r="CV13" s="155"/>
      <c r="CW13" s="155"/>
      <c r="CX13" s="155"/>
      <c r="CY13" s="155"/>
      <c r="CZ13" s="155"/>
      <c r="DA13" s="155"/>
      <c r="DB13" s="155"/>
      <c r="DC13" s="155"/>
      <c r="DD13" s="155"/>
      <c r="DE13" s="155"/>
      <c r="DF13" s="155"/>
      <c r="DG13" s="155"/>
      <c r="DH13" s="155"/>
      <c r="DI13" s="155"/>
      <c r="DJ13" s="155"/>
      <c r="DK13" s="155"/>
      <c r="DL13" s="155"/>
      <c r="DM13" s="155"/>
      <c r="DN13" s="155"/>
      <c r="DO13" s="155"/>
      <c r="DP13" s="155"/>
      <c r="DQ13" s="155"/>
      <c r="DR13" s="155"/>
      <c r="DS13" s="155"/>
      <c r="DT13" s="155"/>
      <c r="DU13" s="155"/>
      <c r="DV13" s="155"/>
      <c r="DW13" s="155"/>
      <c r="DX13" s="155"/>
      <c r="DY13" s="155"/>
      <c r="DZ13" s="155"/>
      <c r="EA13" s="155"/>
      <c r="EB13" s="155"/>
      <c r="EC13" s="155"/>
      <c r="ED13" s="155"/>
      <c r="EE13" s="155"/>
      <c r="EF13" s="155"/>
      <c r="EG13" s="155"/>
      <c r="EH13" s="155"/>
      <c r="EI13" s="155"/>
      <c r="EJ13" s="155"/>
      <c r="EK13" s="155"/>
      <c r="EL13" s="155"/>
      <c r="EM13" s="155"/>
      <c r="EN13" s="155"/>
      <c r="EO13" s="155"/>
      <c r="EP13" s="155"/>
      <c r="EQ13" s="155"/>
      <c r="ER13" s="155"/>
      <c r="ES13" s="155"/>
      <c r="ET13" s="155"/>
      <c r="EU13" s="155"/>
      <c r="EV13" s="155"/>
      <c r="EW13" s="155"/>
      <c r="EX13" s="155"/>
      <c r="EY13" s="155"/>
      <c r="EZ13" s="155"/>
      <c r="FA13" s="155"/>
      <c r="FB13" s="155"/>
      <c r="FC13" s="155"/>
      <c r="FD13" s="155"/>
      <c r="FE13" s="155"/>
      <c r="FF13" s="155"/>
      <c r="FG13" s="155"/>
      <c r="FH13" s="155"/>
      <c r="FI13" s="155"/>
      <c r="FJ13" s="155"/>
      <c r="FK13" s="155"/>
      <c r="FL13" s="155"/>
      <c r="FM13" s="155"/>
      <c r="FN13" s="155"/>
      <c r="FO13" s="155"/>
      <c r="FP13" s="155"/>
      <c r="FQ13" s="155"/>
      <c r="FR13" s="155"/>
      <c r="FS13" s="155"/>
      <c r="FT13" s="155"/>
      <c r="FU13" s="155"/>
      <c r="FV13" s="155"/>
      <c r="FW13" s="155"/>
      <c r="FX13" s="155"/>
      <c r="FY13" s="155"/>
      <c r="FZ13" s="155"/>
      <c r="GA13" s="155"/>
      <c r="GB13" s="155"/>
      <c r="GC13" s="155"/>
      <c r="GD13" s="155"/>
      <c r="GE13" s="155"/>
      <c r="GF13" s="155"/>
      <c r="GG13" s="155"/>
      <c r="GH13" s="155"/>
      <c r="GI13" s="155"/>
      <c r="GJ13" s="155"/>
      <c r="GK13" s="155"/>
      <c r="GL13" s="155"/>
      <c r="GM13" s="155"/>
      <c r="GN13" s="155"/>
      <c r="GO13" s="155"/>
      <c r="GP13" s="155"/>
      <c r="GQ13" s="155"/>
      <c r="GR13" s="155"/>
      <c r="GS13" s="155"/>
      <c r="GT13" s="155"/>
      <c r="GU13" s="155"/>
      <c r="GV13" s="155"/>
      <c r="GW13" s="155"/>
      <c r="GX13" s="155"/>
      <c r="GY13" s="155"/>
      <c r="GZ13" s="155"/>
      <c r="HA13" s="155"/>
      <c r="HB13" s="155"/>
      <c r="HC13" s="155"/>
      <c r="HD13" s="155"/>
      <c r="HE13" s="155"/>
      <c r="HF13" s="155"/>
      <c r="HG13" s="155"/>
      <c r="HH13" s="155"/>
      <c r="HI13" s="155"/>
      <c r="HJ13" s="155"/>
      <c r="HK13" s="155"/>
      <c r="HL13" s="155"/>
      <c r="HM13" s="155"/>
      <c r="HN13" s="155"/>
      <c r="HO13" s="155"/>
      <c r="HP13" s="155"/>
      <c r="HQ13" s="155"/>
      <c r="HR13" s="155"/>
      <c r="HS13" s="155"/>
      <c r="HT13" s="155"/>
      <c r="HU13" s="155"/>
      <c r="HV13" s="155"/>
      <c r="HW13" s="155"/>
      <c r="HX13" s="155"/>
      <c r="HY13" s="155"/>
      <c r="HZ13" s="155"/>
      <c r="IA13" s="155"/>
      <c r="IB13" s="155"/>
      <c r="IC13" s="155"/>
      <c r="ID13" s="155"/>
      <c r="IE13" s="155"/>
      <c r="IF13" s="155"/>
      <c r="IG13" s="155"/>
      <c r="IH13" s="155"/>
      <c r="II13" s="155"/>
      <c r="IJ13" s="155"/>
      <c r="IK13" s="155"/>
      <c r="IL13" s="155"/>
      <c r="IM13" s="155"/>
      <c r="IN13" s="155"/>
      <c r="IO13" s="155"/>
      <c r="IP13" s="155"/>
      <c r="IQ13" s="155"/>
      <c r="IR13" s="155"/>
      <c r="IS13" s="155"/>
      <c r="IT13" s="155"/>
      <c r="IU13" s="155"/>
      <c r="IV13" s="155"/>
    </row>
    <row r="14" s="156" customFormat="true" ht="25.5" hidden="false" customHeight="true" outlineLevel="0" collapsed="false">
      <c r="A14" s="157" t="str">
        <f aca="false">IF(Eingabe!A68="","",Eingabe!A68)</f>
        <v/>
      </c>
      <c r="B14" s="157"/>
      <c r="C14" s="157"/>
      <c r="D14" s="157"/>
      <c r="E14" s="158" t="str">
        <f aca="false">IF(Eingabe!B68="","",Eingabe!B68)</f>
        <v/>
      </c>
      <c r="F14" s="158"/>
      <c r="G14" s="158"/>
      <c r="H14" s="158"/>
      <c r="I14" s="159" t="str">
        <f aca="false">IF(Eingabe!C68="","",Eingabe!C68)</f>
        <v/>
      </c>
      <c r="J14" s="159"/>
      <c r="K14" s="159"/>
      <c r="L14" s="159"/>
      <c r="M14" s="160" t="str">
        <f aca="false">IF(Eingabe!D68&amp;""&amp;Eingabe!E68="","",Eingabe!D68&amp;" 
"&amp;Eingabe!E68)</f>
        <v/>
      </c>
      <c r="N14" s="160"/>
      <c r="O14" s="160"/>
      <c r="P14" s="160"/>
      <c r="Q14" s="160"/>
      <c r="R14" s="160"/>
      <c r="S14" s="160"/>
      <c r="T14" s="160"/>
      <c r="U14" s="160"/>
      <c r="V14" s="160"/>
      <c r="W14" s="160"/>
      <c r="X14" s="160"/>
      <c r="Y14" s="160"/>
      <c r="Z14" s="160"/>
      <c r="AA14" s="160"/>
      <c r="AB14" s="160"/>
      <c r="AC14" s="160"/>
      <c r="AD14" s="160"/>
      <c r="AE14" s="160"/>
      <c r="AF14" s="160"/>
      <c r="AG14" s="159" t="str">
        <f aca="false">IF(Eingabe!F68&amp;""&amp;Eingabe!G68="","",Eingabe!F68&amp;" 
"&amp;Eingabe!G68)</f>
        <v/>
      </c>
      <c r="AH14" s="159"/>
      <c r="AI14" s="159"/>
      <c r="AJ14" s="159"/>
      <c r="AK14" s="159"/>
      <c r="AL14" s="159"/>
      <c r="AM14" s="159"/>
      <c r="AN14" s="159"/>
      <c r="AO14" s="159"/>
      <c r="AP14" s="159"/>
      <c r="AQ14" s="159"/>
      <c r="AR14" s="159"/>
      <c r="AS14" s="159"/>
      <c r="AT14" s="159"/>
      <c r="AU14" s="159"/>
      <c r="AV14" s="159"/>
      <c r="AW14" s="159"/>
      <c r="AX14" s="159" t="str">
        <f aca="false">IF(Eingabe!H68="","",Eingabe!H68)</f>
        <v/>
      </c>
      <c r="AY14" s="159"/>
      <c r="AZ14" s="159"/>
      <c r="BA14" s="159"/>
      <c r="BB14" s="161" t="str">
        <f aca="false">IF(Eingabe!K68="","",Eingabe!K68)</f>
        <v/>
      </c>
      <c r="BC14" s="161"/>
      <c r="BD14" s="161"/>
      <c r="BE14" s="161"/>
      <c r="BF14" s="161"/>
      <c r="BG14" s="161"/>
      <c r="BH14" s="161"/>
      <c r="BI14" s="161"/>
      <c r="BJ14" s="161"/>
      <c r="BK14" s="161"/>
      <c r="BL14" s="161"/>
      <c r="BM14" s="161"/>
      <c r="BN14" s="161"/>
      <c r="BO14" s="155"/>
      <c r="BP14" s="155"/>
      <c r="BQ14" s="155"/>
      <c r="BR14" s="155"/>
      <c r="BS14" s="155"/>
      <c r="BT14" s="155"/>
      <c r="BU14" s="155"/>
      <c r="BV14" s="155"/>
      <c r="BW14" s="155"/>
      <c r="BX14" s="155"/>
      <c r="BY14" s="155"/>
      <c r="BZ14" s="155"/>
      <c r="CA14" s="155"/>
      <c r="CB14" s="155"/>
      <c r="CC14" s="155"/>
      <c r="CD14" s="155"/>
      <c r="CE14" s="155"/>
      <c r="CF14" s="155"/>
      <c r="CG14" s="155"/>
      <c r="CH14" s="155"/>
      <c r="CI14" s="155"/>
      <c r="CJ14" s="155"/>
      <c r="CK14" s="155"/>
      <c r="CL14" s="155"/>
      <c r="CM14" s="155"/>
      <c r="CN14" s="155"/>
      <c r="CO14" s="155"/>
      <c r="CP14" s="155"/>
      <c r="CQ14" s="155"/>
      <c r="CR14" s="155"/>
      <c r="CS14" s="155"/>
      <c r="CT14" s="155"/>
      <c r="CU14" s="155"/>
      <c r="CV14" s="155"/>
      <c r="CW14" s="155"/>
      <c r="CX14" s="155"/>
      <c r="CY14" s="155"/>
      <c r="CZ14" s="155"/>
      <c r="DA14" s="155"/>
      <c r="DB14" s="155"/>
      <c r="DC14" s="155"/>
      <c r="DD14" s="155"/>
      <c r="DE14" s="155"/>
      <c r="DF14" s="155"/>
      <c r="DG14" s="155"/>
      <c r="DH14" s="155"/>
      <c r="DI14" s="155"/>
      <c r="DJ14" s="155"/>
      <c r="DK14" s="155"/>
      <c r="DL14" s="155"/>
      <c r="DM14" s="155"/>
      <c r="DN14" s="155"/>
      <c r="DO14" s="155"/>
      <c r="DP14" s="155"/>
      <c r="DQ14" s="155"/>
      <c r="DR14" s="155"/>
      <c r="DS14" s="155"/>
      <c r="DT14" s="155"/>
      <c r="DU14" s="155"/>
      <c r="DV14" s="155"/>
      <c r="DW14" s="155"/>
      <c r="DX14" s="155"/>
      <c r="DY14" s="155"/>
      <c r="DZ14" s="155"/>
      <c r="EA14" s="155"/>
      <c r="EB14" s="155"/>
      <c r="EC14" s="155"/>
      <c r="ED14" s="155"/>
      <c r="EE14" s="155"/>
      <c r="EF14" s="155"/>
      <c r="EG14" s="155"/>
      <c r="EH14" s="155"/>
      <c r="EI14" s="155"/>
      <c r="EJ14" s="155"/>
      <c r="EK14" s="155"/>
      <c r="EL14" s="155"/>
      <c r="EM14" s="155"/>
      <c r="EN14" s="155"/>
      <c r="EO14" s="155"/>
      <c r="EP14" s="155"/>
      <c r="EQ14" s="155"/>
      <c r="ER14" s="155"/>
      <c r="ES14" s="155"/>
      <c r="ET14" s="155"/>
      <c r="EU14" s="155"/>
      <c r="EV14" s="155"/>
      <c r="EW14" s="155"/>
      <c r="EX14" s="155"/>
      <c r="EY14" s="155"/>
      <c r="EZ14" s="155"/>
      <c r="FA14" s="155"/>
      <c r="FB14" s="155"/>
      <c r="FC14" s="155"/>
      <c r="FD14" s="155"/>
      <c r="FE14" s="155"/>
      <c r="FF14" s="155"/>
      <c r="FG14" s="155"/>
      <c r="FH14" s="155"/>
      <c r="FI14" s="155"/>
      <c r="FJ14" s="155"/>
      <c r="FK14" s="155"/>
      <c r="FL14" s="155"/>
      <c r="FM14" s="155"/>
      <c r="FN14" s="155"/>
      <c r="FO14" s="155"/>
      <c r="FP14" s="155"/>
      <c r="FQ14" s="155"/>
      <c r="FR14" s="155"/>
      <c r="FS14" s="155"/>
      <c r="FT14" s="155"/>
      <c r="FU14" s="155"/>
      <c r="FV14" s="155"/>
      <c r="FW14" s="155"/>
      <c r="FX14" s="155"/>
      <c r="FY14" s="155"/>
      <c r="FZ14" s="155"/>
      <c r="GA14" s="155"/>
      <c r="GB14" s="155"/>
      <c r="GC14" s="155"/>
      <c r="GD14" s="155"/>
      <c r="GE14" s="155"/>
      <c r="GF14" s="155"/>
      <c r="GG14" s="155"/>
      <c r="GH14" s="155"/>
      <c r="GI14" s="155"/>
      <c r="GJ14" s="155"/>
      <c r="GK14" s="155"/>
      <c r="GL14" s="155"/>
      <c r="GM14" s="155"/>
      <c r="GN14" s="155"/>
      <c r="GO14" s="155"/>
      <c r="GP14" s="155"/>
      <c r="GQ14" s="155"/>
      <c r="GR14" s="155"/>
      <c r="GS14" s="155"/>
      <c r="GT14" s="155"/>
      <c r="GU14" s="155"/>
      <c r="GV14" s="155"/>
      <c r="GW14" s="155"/>
      <c r="GX14" s="155"/>
      <c r="GY14" s="155"/>
      <c r="GZ14" s="155"/>
      <c r="HA14" s="155"/>
      <c r="HB14" s="155"/>
      <c r="HC14" s="155"/>
      <c r="HD14" s="155"/>
      <c r="HE14" s="155"/>
      <c r="HF14" s="155"/>
      <c r="HG14" s="155"/>
      <c r="HH14" s="155"/>
      <c r="HI14" s="155"/>
      <c r="HJ14" s="155"/>
      <c r="HK14" s="155"/>
      <c r="HL14" s="155"/>
      <c r="HM14" s="155"/>
      <c r="HN14" s="155"/>
      <c r="HO14" s="155"/>
      <c r="HP14" s="155"/>
      <c r="HQ14" s="155"/>
      <c r="HR14" s="155"/>
      <c r="HS14" s="155"/>
      <c r="HT14" s="155"/>
      <c r="HU14" s="155"/>
      <c r="HV14" s="155"/>
      <c r="HW14" s="155"/>
      <c r="HX14" s="155"/>
      <c r="HY14" s="155"/>
      <c r="HZ14" s="155"/>
      <c r="IA14" s="155"/>
      <c r="IB14" s="155"/>
      <c r="IC14" s="155"/>
      <c r="ID14" s="155"/>
      <c r="IE14" s="155"/>
      <c r="IF14" s="155"/>
      <c r="IG14" s="155"/>
      <c r="IH14" s="155"/>
      <c r="II14" s="155"/>
      <c r="IJ14" s="155"/>
      <c r="IK14" s="155"/>
      <c r="IL14" s="155"/>
      <c r="IM14" s="155"/>
      <c r="IN14" s="155"/>
      <c r="IO14" s="155"/>
      <c r="IP14" s="155"/>
      <c r="IQ14" s="155"/>
      <c r="IR14" s="155"/>
      <c r="IS14" s="155"/>
      <c r="IT14" s="155"/>
      <c r="IU14" s="155"/>
      <c r="IV14" s="155"/>
    </row>
    <row r="15" s="156" customFormat="true" ht="25.5" hidden="false" customHeight="true" outlineLevel="0" collapsed="false">
      <c r="A15" s="157" t="str">
        <f aca="false">IF(Eingabe!A69="","",Eingabe!A69)</f>
        <v/>
      </c>
      <c r="B15" s="157"/>
      <c r="C15" s="157"/>
      <c r="D15" s="157"/>
      <c r="E15" s="158" t="str">
        <f aca="false">IF(Eingabe!B69="","",Eingabe!B69)</f>
        <v/>
      </c>
      <c r="F15" s="158"/>
      <c r="G15" s="158"/>
      <c r="H15" s="158"/>
      <c r="I15" s="159" t="str">
        <f aca="false">IF(Eingabe!C69="","",Eingabe!C69)</f>
        <v/>
      </c>
      <c r="J15" s="159"/>
      <c r="K15" s="159"/>
      <c r="L15" s="159"/>
      <c r="M15" s="160" t="str">
        <f aca="false">IF(Eingabe!D69&amp;""&amp;Eingabe!E69="","",Eingabe!D69&amp;" 
"&amp;Eingabe!E69)</f>
        <v/>
      </c>
      <c r="N15" s="160"/>
      <c r="O15" s="160"/>
      <c r="P15" s="160"/>
      <c r="Q15" s="160"/>
      <c r="R15" s="160"/>
      <c r="S15" s="160"/>
      <c r="T15" s="160"/>
      <c r="U15" s="160"/>
      <c r="V15" s="160"/>
      <c r="W15" s="160"/>
      <c r="X15" s="160"/>
      <c r="Y15" s="160"/>
      <c r="Z15" s="160"/>
      <c r="AA15" s="160"/>
      <c r="AB15" s="160"/>
      <c r="AC15" s="160"/>
      <c r="AD15" s="160"/>
      <c r="AE15" s="160"/>
      <c r="AF15" s="160"/>
      <c r="AG15" s="159" t="str">
        <f aca="false">IF(Eingabe!F69&amp;""&amp;Eingabe!G69="","",Eingabe!F69&amp;" 
"&amp;Eingabe!G69)</f>
        <v/>
      </c>
      <c r="AH15" s="159"/>
      <c r="AI15" s="159"/>
      <c r="AJ15" s="159"/>
      <c r="AK15" s="159"/>
      <c r="AL15" s="159"/>
      <c r="AM15" s="159"/>
      <c r="AN15" s="159"/>
      <c r="AO15" s="159"/>
      <c r="AP15" s="159"/>
      <c r="AQ15" s="159"/>
      <c r="AR15" s="159"/>
      <c r="AS15" s="159"/>
      <c r="AT15" s="159"/>
      <c r="AU15" s="159"/>
      <c r="AV15" s="159"/>
      <c r="AW15" s="159"/>
      <c r="AX15" s="159" t="str">
        <f aca="false">IF(Eingabe!H69="","",Eingabe!H69)</f>
        <v/>
      </c>
      <c r="AY15" s="159"/>
      <c r="AZ15" s="159"/>
      <c r="BA15" s="159"/>
      <c r="BB15" s="161" t="str">
        <f aca="false">IF(Eingabe!K69="","",Eingabe!K69)</f>
        <v/>
      </c>
      <c r="BC15" s="161"/>
      <c r="BD15" s="161"/>
      <c r="BE15" s="161"/>
      <c r="BF15" s="161"/>
      <c r="BG15" s="161"/>
      <c r="BH15" s="161"/>
      <c r="BI15" s="161"/>
      <c r="BJ15" s="161"/>
      <c r="BK15" s="161"/>
      <c r="BL15" s="161"/>
      <c r="BM15" s="161"/>
      <c r="BN15" s="161"/>
      <c r="BO15" s="155"/>
      <c r="BP15" s="155"/>
      <c r="BQ15" s="155"/>
      <c r="BR15" s="155"/>
      <c r="BS15" s="155"/>
      <c r="BT15" s="155"/>
      <c r="BU15" s="155"/>
      <c r="BV15" s="155"/>
      <c r="BW15" s="155"/>
      <c r="BX15" s="155"/>
      <c r="BY15" s="155"/>
      <c r="BZ15" s="155"/>
      <c r="CA15" s="155"/>
      <c r="CB15" s="155"/>
      <c r="CC15" s="155"/>
      <c r="CD15" s="155"/>
      <c r="CE15" s="155"/>
      <c r="CF15" s="155"/>
      <c r="CG15" s="155"/>
      <c r="CH15" s="155"/>
      <c r="CI15" s="155"/>
      <c r="CJ15" s="155"/>
      <c r="CK15" s="155"/>
      <c r="CL15" s="155"/>
      <c r="CM15" s="155"/>
      <c r="CN15" s="155"/>
      <c r="CO15" s="155"/>
      <c r="CP15" s="155"/>
      <c r="CQ15" s="155"/>
      <c r="CR15" s="155"/>
      <c r="CS15" s="155"/>
      <c r="CT15" s="155"/>
      <c r="CU15" s="155"/>
      <c r="CV15" s="155"/>
      <c r="CW15" s="155"/>
      <c r="CX15" s="155"/>
      <c r="CY15" s="155"/>
      <c r="CZ15" s="155"/>
      <c r="DA15" s="155"/>
      <c r="DB15" s="155"/>
      <c r="DC15" s="155"/>
      <c r="DD15" s="155"/>
      <c r="DE15" s="155"/>
      <c r="DF15" s="155"/>
      <c r="DG15" s="155"/>
      <c r="DH15" s="155"/>
      <c r="DI15" s="155"/>
      <c r="DJ15" s="155"/>
      <c r="DK15" s="155"/>
      <c r="DL15" s="155"/>
      <c r="DM15" s="155"/>
      <c r="DN15" s="155"/>
      <c r="DO15" s="155"/>
      <c r="DP15" s="155"/>
      <c r="DQ15" s="155"/>
      <c r="DR15" s="155"/>
      <c r="DS15" s="155"/>
      <c r="DT15" s="155"/>
      <c r="DU15" s="155"/>
      <c r="DV15" s="155"/>
      <c r="DW15" s="155"/>
      <c r="DX15" s="155"/>
      <c r="DY15" s="155"/>
      <c r="DZ15" s="155"/>
      <c r="EA15" s="155"/>
      <c r="EB15" s="155"/>
      <c r="EC15" s="155"/>
      <c r="ED15" s="155"/>
      <c r="EE15" s="155"/>
      <c r="EF15" s="155"/>
      <c r="EG15" s="155"/>
      <c r="EH15" s="155"/>
      <c r="EI15" s="155"/>
      <c r="EJ15" s="155"/>
      <c r="EK15" s="155"/>
      <c r="EL15" s="155"/>
      <c r="EM15" s="155"/>
      <c r="EN15" s="155"/>
      <c r="EO15" s="155"/>
      <c r="EP15" s="155"/>
      <c r="EQ15" s="155"/>
      <c r="ER15" s="155"/>
      <c r="ES15" s="155"/>
      <c r="ET15" s="155"/>
      <c r="EU15" s="155"/>
      <c r="EV15" s="155"/>
      <c r="EW15" s="155"/>
      <c r="EX15" s="155"/>
      <c r="EY15" s="155"/>
      <c r="EZ15" s="155"/>
      <c r="FA15" s="155"/>
      <c r="FB15" s="155"/>
      <c r="FC15" s="155"/>
      <c r="FD15" s="155"/>
      <c r="FE15" s="155"/>
      <c r="FF15" s="155"/>
      <c r="FG15" s="155"/>
      <c r="FH15" s="155"/>
      <c r="FI15" s="155"/>
      <c r="FJ15" s="155"/>
      <c r="FK15" s="155"/>
      <c r="FL15" s="155"/>
      <c r="FM15" s="155"/>
      <c r="FN15" s="155"/>
      <c r="FO15" s="155"/>
      <c r="FP15" s="155"/>
      <c r="FQ15" s="155"/>
      <c r="FR15" s="155"/>
      <c r="FS15" s="155"/>
      <c r="FT15" s="155"/>
      <c r="FU15" s="155"/>
      <c r="FV15" s="155"/>
      <c r="FW15" s="155"/>
      <c r="FX15" s="155"/>
      <c r="FY15" s="155"/>
      <c r="FZ15" s="155"/>
      <c r="GA15" s="155"/>
      <c r="GB15" s="155"/>
      <c r="GC15" s="155"/>
      <c r="GD15" s="155"/>
      <c r="GE15" s="155"/>
      <c r="GF15" s="155"/>
      <c r="GG15" s="155"/>
      <c r="GH15" s="155"/>
      <c r="GI15" s="155"/>
      <c r="GJ15" s="155"/>
      <c r="GK15" s="155"/>
      <c r="GL15" s="155"/>
      <c r="GM15" s="155"/>
      <c r="GN15" s="155"/>
      <c r="GO15" s="155"/>
      <c r="GP15" s="155"/>
      <c r="GQ15" s="155"/>
      <c r="GR15" s="155"/>
      <c r="GS15" s="155"/>
      <c r="GT15" s="155"/>
      <c r="GU15" s="155"/>
      <c r="GV15" s="155"/>
      <c r="GW15" s="155"/>
      <c r="GX15" s="155"/>
      <c r="GY15" s="155"/>
      <c r="GZ15" s="155"/>
      <c r="HA15" s="155"/>
      <c r="HB15" s="155"/>
      <c r="HC15" s="155"/>
      <c r="HD15" s="155"/>
      <c r="HE15" s="155"/>
      <c r="HF15" s="155"/>
      <c r="HG15" s="155"/>
      <c r="HH15" s="155"/>
      <c r="HI15" s="155"/>
      <c r="HJ15" s="155"/>
      <c r="HK15" s="155"/>
      <c r="HL15" s="155"/>
      <c r="HM15" s="155"/>
      <c r="HN15" s="155"/>
      <c r="HO15" s="155"/>
      <c r="HP15" s="155"/>
      <c r="HQ15" s="155"/>
      <c r="HR15" s="155"/>
      <c r="HS15" s="155"/>
      <c r="HT15" s="155"/>
      <c r="HU15" s="155"/>
      <c r="HV15" s="155"/>
      <c r="HW15" s="155"/>
      <c r="HX15" s="155"/>
      <c r="HY15" s="155"/>
      <c r="HZ15" s="155"/>
      <c r="IA15" s="155"/>
      <c r="IB15" s="155"/>
      <c r="IC15" s="155"/>
      <c r="ID15" s="155"/>
      <c r="IE15" s="155"/>
      <c r="IF15" s="155"/>
      <c r="IG15" s="155"/>
      <c r="IH15" s="155"/>
      <c r="II15" s="155"/>
      <c r="IJ15" s="155"/>
      <c r="IK15" s="155"/>
      <c r="IL15" s="155"/>
      <c r="IM15" s="155"/>
      <c r="IN15" s="155"/>
      <c r="IO15" s="155"/>
      <c r="IP15" s="155"/>
      <c r="IQ15" s="155"/>
      <c r="IR15" s="155"/>
      <c r="IS15" s="155"/>
      <c r="IT15" s="155"/>
      <c r="IU15" s="155"/>
      <c r="IV15" s="155"/>
    </row>
    <row r="16" s="156" customFormat="true" ht="25.5" hidden="false" customHeight="true" outlineLevel="0" collapsed="false">
      <c r="A16" s="157" t="str">
        <f aca="false">IF(Eingabe!A70="","",Eingabe!A70)</f>
        <v/>
      </c>
      <c r="B16" s="157"/>
      <c r="C16" s="157"/>
      <c r="D16" s="157"/>
      <c r="E16" s="158" t="str">
        <f aca="false">IF(Eingabe!B70="","",Eingabe!B70)</f>
        <v/>
      </c>
      <c r="F16" s="158"/>
      <c r="G16" s="158"/>
      <c r="H16" s="158"/>
      <c r="I16" s="159" t="str">
        <f aca="false">IF(Eingabe!C70="","",Eingabe!C70)</f>
        <v/>
      </c>
      <c r="J16" s="159"/>
      <c r="K16" s="159"/>
      <c r="L16" s="159"/>
      <c r="M16" s="160" t="str">
        <f aca="false">IF(Eingabe!D70&amp;""&amp;Eingabe!E70="","",Eingabe!D70&amp;" 
"&amp;Eingabe!E70)</f>
        <v/>
      </c>
      <c r="N16" s="160"/>
      <c r="O16" s="160"/>
      <c r="P16" s="160"/>
      <c r="Q16" s="160"/>
      <c r="R16" s="160"/>
      <c r="S16" s="160"/>
      <c r="T16" s="160"/>
      <c r="U16" s="160"/>
      <c r="V16" s="160"/>
      <c r="W16" s="160"/>
      <c r="X16" s="160"/>
      <c r="Y16" s="160"/>
      <c r="Z16" s="160"/>
      <c r="AA16" s="160"/>
      <c r="AB16" s="160"/>
      <c r="AC16" s="160"/>
      <c r="AD16" s="160"/>
      <c r="AE16" s="160"/>
      <c r="AF16" s="160"/>
      <c r="AG16" s="159" t="str">
        <f aca="false">IF(Eingabe!F70&amp;""&amp;Eingabe!G70="","",Eingabe!F70&amp;" 
"&amp;Eingabe!G70)</f>
        <v/>
      </c>
      <c r="AH16" s="159"/>
      <c r="AI16" s="159"/>
      <c r="AJ16" s="159"/>
      <c r="AK16" s="159"/>
      <c r="AL16" s="159"/>
      <c r="AM16" s="159"/>
      <c r="AN16" s="159"/>
      <c r="AO16" s="159"/>
      <c r="AP16" s="159"/>
      <c r="AQ16" s="159"/>
      <c r="AR16" s="159"/>
      <c r="AS16" s="159"/>
      <c r="AT16" s="159"/>
      <c r="AU16" s="159"/>
      <c r="AV16" s="159"/>
      <c r="AW16" s="159"/>
      <c r="AX16" s="159" t="str">
        <f aca="false">IF(Eingabe!H70="","",Eingabe!H70)</f>
        <v/>
      </c>
      <c r="AY16" s="159"/>
      <c r="AZ16" s="159"/>
      <c r="BA16" s="159"/>
      <c r="BB16" s="161" t="str">
        <f aca="false">IF(Eingabe!K70="","",Eingabe!K70)</f>
        <v/>
      </c>
      <c r="BC16" s="161"/>
      <c r="BD16" s="161"/>
      <c r="BE16" s="161"/>
      <c r="BF16" s="161"/>
      <c r="BG16" s="161"/>
      <c r="BH16" s="161"/>
      <c r="BI16" s="161"/>
      <c r="BJ16" s="161"/>
      <c r="BK16" s="161"/>
      <c r="BL16" s="161"/>
      <c r="BM16" s="161"/>
      <c r="BN16" s="161"/>
      <c r="BO16" s="155"/>
      <c r="BP16" s="155"/>
      <c r="BQ16" s="155"/>
      <c r="BR16" s="155"/>
      <c r="BS16" s="155"/>
      <c r="BT16" s="155"/>
      <c r="BU16" s="155"/>
      <c r="BV16" s="155"/>
      <c r="BW16" s="155"/>
      <c r="BX16" s="155"/>
      <c r="BY16" s="155"/>
      <c r="BZ16" s="155"/>
      <c r="CA16" s="155"/>
      <c r="CB16" s="155"/>
      <c r="CC16" s="155"/>
      <c r="CD16" s="155"/>
      <c r="CE16" s="155"/>
      <c r="CF16" s="155"/>
      <c r="CG16" s="155"/>
      <c r="CH16" s="155"/>
      <c r="CI16" s="155"/>
      <c r="CJ16" s="155"/>
      <c r="CK16" s="155"/>
      <c r="CL16" s="155"/>
      <c r="CM16" s="155"/>
      <c r="CN16" s="155"/>
      <c r="CO16" s="155"/>
      <c r="CP16" s="155"/>
      <c r="CQ16" s="155"/>
      <c r="CR16" s="155"/>
      <c r="CS16" s="155"/>
      <c r="CT16" s="155"/>
      <c r="CU16" s="155"/>
      <c r="CV16" s="155"/>
      <c r="CW16" s="155"/>
      <c r="CX16" s="155"/>
      <c r="CY16" s="155"/>
      <c r="CZ16" s="155"/>
      <c r="DA16" s="155"/>
      <c r="DB16" s="155"/>
      <c r="DC16" s="155"/>
      <c r="DD16" s="155"/>
      <c r="DE16" s="155"/>
      <c r="DF16" s="155"/>
      <c r="DG16" s="155"/>
      <c r="DH16" s="155"/>
      <c r="DI16" s="155"/>
      <c r="DJ16" s="155"/>
      <c r="DK16" s="155"/>
      <c r="DL16" s="155"/>
      <c r="DM16" s="155"/>
      <c r="DN16" s="155"/>
      <c r="DO16" s="155"/>
      <c r="DP16" s="155"/>
      <c r="DQ16" s="155"/>
      <c r="DR16" s="155"/>
      <c r="DS16" s="155"/>
      <c r="DT16" s="155"/>
      <c r="DU16" s="155"/>
      <c r="DV16" s="155"/>
      <c r="DW16" s="155"/>
      <c r="DX16" s="155"/>
      <c r="DY16" s="155"/>
      <c r="DZ16" s="155"/>
      <c r="EA16" s="155"/>
      <c r="EB16" s="155"/>
      <c r="EC16" s="155"/>
      <c r="ED16" s="155"/>
      <c r="EE16" s="155"/>
      <c r="EF16" s="155"/>
      <c r="EG16" s="155"/>
      <c r="EH16" s="155"/>
      <c r="EI16" s="155"/>
      <c r="EJ16" s="155"/>
      <c r="EK16" s="155"/>
      <c r="EL16" s="155"/>
      <c r="EM16" s="155"/>
      <c r="EN16" s="155"/>
      <c r="EO16" s="155"/>
      <c r="EP16" s="155"/>
      <c r="EQ16" s="155"/>
      <c r="ER16" s="155"/>
      <c r="ES16" s="155"/>
      <c r="ET16" s="155"/>
      <c r="EU16" s="155"/>
      <c r="EV16" s="155"/>
      <c r="EW16" s="155"/>
      <c r="EX16" s="155"/>
      <c r="EY16" s="155"/>
      <c r="EZ16" s="155"/>
      <c r="FA16" s="155"/>
      <c r="FB16" s="155"/>
      <c r="FC16" s="155"/>
      <c r="FD16" s="155"/>
      <c r="FE16" s="155"/>
      <c r="FF16" s="155"/>
      <c r="FG16" s="155"/>
      <c r="FH16" s="155"/>
      <c r="FI16" s="155"/>
      <c r="FJ16" s="155"/>
      <c r="FK16" s="155"/>
      <c r="FL16" s="155"/>
      <c r="FM16" s="155"/>
      <c r="FN16" s="155"/>
      <c r="FO16" s="155"/>
      <c r="FP16" s="155"/>
      <c r="FQ16" s="155"/>
      <c r="FR16" s="155"/>
      <c r="FS16" s="155"/>
      <c r="FT16" s="155"/>
      <c r="FU16" s="155"/>
      <c r="FV16" s="155"/>
      <c r="FW16" s="155"/>
      <c r="FX16" s="155"/>
      <c r="FY16" s="155"/>
      <c r="FZ16" s="155"/>
      <c r="GA16" s="155"/>
      <c r="GB16" s="155"/>
      <c r="GC16" s="155"/>
      <c r="GD16" s="155"/>
      <c r="GE16" s="155"/>
      <c r="GF16" s="155"/>
      <c r="GG16" s="155"/>
      <c r="GH16" s="155"/>
      <c r="GI16" s="155"/>
      <c r="GJ16" s="155"/>
      <c r="GK16" s="155"/>
      <c r="GL16" s="155"/>
      <c r="GM16" s="155"/>
      <c r="GN16" s="155"/>
      <c r="GO16" s="155"/>
      <c r="GP16" s="155"/>
      <c r="GQ16" s="155"/>
      <c r="GR16" s="155"/>
      <c r="GS16" s="155"/>
      <c r="GT16" s="155"/>
      <c r="GU16" s="155"/>
      <c r="GV16" s="155"/>
      <c r="GW16" s="155"/>
      <c r="GX16" s="155"/>
      <c r="GY16" s="155"/>
      <c r="GZ16" s="155"/>
      <c r="HA16" s="155"/>
      <c r="HB16" s="155"/>
      <c r="HC16" s="155"/>
      <c r="HD16" s="155"/>
      <c r="HE16" s="155"/>
      <c r="HF16" s="155"/>
      <c r="HG16" s="155"/>
      <c r="HH16" s="155"/>
      <c r="HI16" s="155"/>
      <c r="HJ16" s="155"/>
      <c r="HK16" s="155"/>
      <c r="HL16" s="155"/>
      <c r="HM16" s="155"/>
      <c r="HN16" s="155"/>
      <c r="HO16" s="155"/>
      <c r="HP16" s="155"/>
      <c r="HQ16" s="155"/>
      <c r="HR16" s="155"/>
      <c r="HS16" s="155"/>
      <c r="HT16" s="155"/>
      <c r="HU16" s="155"/>
      <c r="HV16" s="155"/>
      <c r="HW16" s="155"/>
      <c r="HX16" s="155"/>
      <c r="HY16" s="155"/>
      <c r="HZ16" s="155"/>
      <c r="IA16" s="155"/>
      <c r="IB16" s="155"/>
      <c r="IC16" s="155"/>
      <c r="ID16" s="155"/>
      <c r="IE16" s="155"/>
      <c r="IF16" s="155"/>
      <c r="IG16" s="155"/>
      <c r="IH16" s="155"/>
      <c r="II16" s="155"/>
      <c r="IJ16" s="155"/>
      <c r="IK16" s="155"/>
      <c r="IL16" s="155"/>
      <c r="IM16" s="155"/>
      <c r="IN16" s="155"/>
      <c r="IO16" s="155"/>
      <c r="IP16" s="155"/>
      <c r="IQ16" s="155"/>
      <c r="IR16" s="155"/>
      <c r="IS16" s="155"/>
      <c r="IT16" s="155"/>
      <c r="IU16" s="155"/>
      <c r="IV16" s="155"/>
    </row>
    <row r="17" s="156" customFormat="true" ht="25.5" hidden="false" customHeight="true" outlineLevel="0" collapsed="false">
      <c r="A17" s="157" t="str">
        <f aca="false">IF(Eingabe!A71="","",Eingabe!A71)</f>
        <v/>
      </c>
      <c r="B17" s="157"/>
      <c r="C17" s="157"/>
      <c r="D17" s="157"/>
      <c r="E17" s="158" t="str">
        <f aca="false">IF(Eingabe!B71="","",Eingabe!B71)</f>
        <v/>
      </c>
      <c r="F17" s="158"/>
      <c r="G17" s="158"/>
      <c r="H17" s="158"/>
      <c r="I17" s="159" t="str">
        <f aca="false">IF(Eingabe!C71="","",Eingabe!C71)</f>
        <v/>
      </c>
      <c r="J17" s="159"/>
      <c r="K17" s="159"/>
      <c r="L17" s="159"/>
      <c r="M17" s="160" t="str">
        <f aca="false">IF(Eingabe!D71&amp;""&amp;Eingabe!E71="","",Eingabe!D71&amp;" 
"&amp;Eingabe!E71)</f>
        <v/>
      </c>
      <c r="N17" s="160"/>
      <c r="O17" s="160"/>
      <c r="P17" s="160"/>
      <c r="Q17" s="160"/>
      <c r="R17" s="160"/>
      <c r="S17" s="160"/>
      <c r="T17" s="160"/>
      <c r="U17" s="160"/>
      <c r="V17" s="160"/>
      <c r="W17" s="160"/>
      <c r="X17" s="160"/>
      <c r="Y17" s="160"/>
      <c r="Z17" s="160"/>
      <c r="AA17" s="160"/>
      <c r="AB17" s="160"/>
      <c r="AC17" s="160"/>
      <c r="AD17" s="160"/>
      <c r="AE17" s="160"/>
      <c r="AF17" s="160"/>
      <c r="AG17" s="159" t="str">
        <f aca="false">IF(Eingabe!F71&amp;""&amp;Eingabe!G71="","",Eingabe!F71&amp;" 
"&amp;Eingabe!G71)</f>
        <v/>
      </c>
      <c r="AH17" s="159"/>
      <c r="AI17" s="159"/>
      <c r="AJ17" s="159"/>
      <c r="AK17" s="159"/>
      <c r="AL17" s="159"/>
      <c r="AM17" s="159"/>
      <c r="AN17" s="159"/>
      <c r="AO17" s="159"/>
      <c r="AP17" s="159"/>
      <c r="AQ17" s="159"/>
      <c r="AR17" s="159"/>
      <c r="AS17" s="159"/>
      <c r="AT17" s="159"/>
      <c r="AU17" s="159"/>
      <c r="AV17" s="159"/>
      <c r="AW17" s="159"/>
      <c r="AX17" s="159" t="str">
        <f aca="false">IF(Eingabe!H71="","",Eingabe!H71)</f>
        <v/>
      </c>
      <c r="AY17" s="159"/>
      <c r="AZ17" s="159"/>
      <c r="BA17" s="159"/>
      <c r="BB17" s="161" t="str">
        <f aca="false">IF(Eingabe!K71="","",Eingabe!K71)</f>
        <v/>
      </c>
      <c r="BC17" s="161"/>
      <c r="BD17" s="161"/>
      <c r="BE17" s="161"/>
      <c r="BF17" s="161"/>
      <c r="BG17" s="161"/>
      <c r="BH17" s="161"/>
      <c r="BI17" s="161"/>
      <c r="BJ17" s="161"/>
      <c r="BK17" s="161"/>
      <c r="BL17" s="161"/>
      <c r="BM17" s="161"/>
      <c r="BN17" s="161"/>
      <c r="BO17" s="155"/>
      <c r="BP17" s="155"/>
      <c r="BQ17" s="155"/>
      <c r="BR17" s="155"/>
      <c r="BS17" s="155"/>
      <c r="BT17" s="155"/>
      <c r="BU17" s="155"/>
      <c r="BV17" s="155"/>
      <c r="BW17" s="155"/>
      <c r="BX17" s="155"/>
      <c r="BY17" s="155"/>
      <c r="BZ17" s="155"/>
      <c r="CA17" s="155"/>
      <c r="CB17" s="155"/>
      <c r="CC17" s="155"/>
      <c r="CD17" s="155"/>
      <c r="CE17" s="155"/>
      <c r="CF17" s="155"/>
      <c r="CG17" s="155"/>
      <c r="CH17" s="155"/>
      <c r="CI17" s="155"/>
      <c r="CJ17" s="155"/>
      <c r="CK17" s="155"/>
      <c r="CL17" s="155"/>
      <c r="CM17" s="155"/>
      <c r="CN17" s="155"/>
      <c r="CO17" s="155"/>
      <c r="CP17" s="155"/>
      <c r="CQ17" s="155"/>
      <c r="CR17" s="155"/>
      <c r="CS17" s="155"/>
      <c r="CT17" s="155"/>
      <c r="CU17" s="155"/>
      <c r="CV17" s="155"/>
      <c r="CW17" s="155"/>
      <c r="CX17" s="155"/>
      <c r="CY17" s="155"/>
      <c r="CZ17" s="155"/>
      <c r="DA17" s="155"/>
      <c r="DB17" s="155"/>
      <c r="DC17" s="155"/>
      <c r="DD17" s="155"/>
      <c r="DE17" s="155"/>
      <c r="DF17" s="155"/>
      <c r="DG17" s="155"/>
      <c r="DH17" s="155"/>
      <c r="DI17" s="155"/>
      <c r="DJ17" s="155"/>
      <c r="DK17" s="155"/>
      <c r="DL17" s="155"/>
      <c r="DM17" s="155"/>
      <c r="DN17" s="155"/>
      <c r="DO17" s="155"/>
      <c r="DP17" s="155"/>
      <c r="DQ17" s="155"/>
      <c r="DR17" s="155"/>
      <c r="DS17" s="155"/>
      <c r="DT17" s="155"/>
      <c r="DU17" s="155"/>
      <c r="DV17" s="155"/>
      <c r="DW17" s="155"/>
      <c r="DX17" s="155"/>
      <c r="DY17" s="155"/>
      <c r="DZ17" s="155"/>
      <c r="EA17" s="155"/>
      <c r="EB17" s="155"/>
      <c r="EC17" s="155"/>
      <c r="ED17" s="155"/>
      <c r="EE17" s="155"/>
      <c r="EF17" s="155"/>
      <c r="EG17" s="155"/>
      <c r="EH17" s="155"/>
      <c r="EI17" s="155"/>
      <c r="EJ17" s="155"/>
      <c r="EK17" s="155"/>
      <c r="EL17" s="155"/>
      <c r="EM17" s="155"/>
      <c r="EN17" s="155"/>
      <c r="EO17" s="155"/>
      <c r="EP17" s="155"/>
      <c r="EQ17" s="155"/>
      <c r="ER17" s="155"/>
      <c r="ES17" s="155"/>
      <c r="ET17" s="155"/>
      <c r="EU17" s="155"/>
      <c r="EV17" s="155"/>
      <c r="EW17" s="155"/>
      <c r="EX17" s="155"/>
      <c r="EY17" s="155"/>
      <c r="EZ17" s="155"/>
      <c r="FA17" s="155"/>
      <c r="FB17" s="155"/>
      <c r="FC17" s="155"/>
      <c r="FD17" s="155"/>
      <c r="FE17" s="155"/>
      <c r="FF17" s="155"/>
      <c r="FG17" s="155"/>
      <c r="FH17" s="155"/>
      <c r="FI17" s="155"/>
      <c r="FJ17" s="155"/>
      <c r="FK17" s="155"/>
      <c r="FL17" s="155"/>
      <c r="FM17" s="155"/>
      <c r="FN17" s="155"/>
      <c r="FO17" s="155"/>
      <c r="FP17" s="155"/>
      <c r="FQ17" s="155"/>
      <c r="FR17" s="155"/>
      <c r="FS17" s="155"/>
      <c r="FT17" s="155"/>
      <c r="FU17" s="155"/>
      <c r="FV17" s="155"/>
      <c r="FW17" s="155"/>
      <c r="FX17" s="155"/>
      <c r="FY17" s="155"/>
      <c r="FZ17" s="155"/>
      <c r="GA17" s="155"/>
      <c r="GB17" s="155"/>
      <c r="GC17" s="155"/>
      <c r="GD17" s="155"/>
      <c r="GE17" s="155"/>
      <c r="GF17" s="155"/>
      <c r="GG17" s="155"/>
      <c r="GH17" s="155"/>
      <c r="GI17" s="155"/>
      <c r="GJ17" s="155"/>
      <c r="GK17" s="155"/>
      <c r="GL17" s="155"/>
      <c r="GM17" s="155"/>
      <c r="GN17" s="155"/>
      <c r="GO17" s="155"/>
      <c r="GP17" s="155"/>
      <c r="GQ17" s="155"/>
      <c r="GR17" s="155"/>
      <c r="GS17" s="155"/>
      <c r="GT17" s="155"/>
      <c r="GU17" s="155"/>
      <c r="GV17" s="155"/>
      <c r="GW17" s="155"/>
      <c r="GX17" s="155"/>
      <c r="GY17" s="155"/>
      <c r="GZ17" s="155"/>
      <c r="HA17" s="155"/>
      <c r="HB17" s="155"/>
      <c r="HC17" s="155"/>
      <c r="HD17" s="155"/>
      <c r="HE17" s="155"/>
      <c r="HF17" s="155"/>
      <c r="HG17" s="155"/>
      <c r="HH17" s="155"/>
      <c r="HI17" s="155"/>
      <c r="HJ17" s="155"/>
      <c r="HK17" s="155"/>
      <c r="HL17" s="155"/>
      <c r="HM17" s="155"/>
      <c r="HN17" s="155"/>
      <c r="HO17" s="155"/>
      <c r="HP17" s="155"/>
      <c r="HQ17" s="155"/>
      <c r="HR17" s="155"/>
      <c r="HS17" s="155"/>
      <c r="HT17" s="155"/>
      <c r="HU17" s="155"/>
      <c r="HV17" s="155"/>
      <c r="HW17" s="155"/>
      <c r="HX17" s="155"/>
      <c r="HY17" s="155"/>
      <c r="HZ17" s="155"/>
      <c r="IA17" s="155"/>
      <c r="IB17" s="155"/>
      <c r="IC17" s="155"/>
      <c r="ID17" s="155"/>
      <c r="IE17" s="155"/>
      <c r="IF17" s="155"/>
      <c r="IG17" s="155"/>
      <c r="IH17" s="155"/>
      <c r="II17" s="155"/>
      <c r="IJ17" s="155"/>
      <c r="IK17" s="155"/>
      <c r="IL17" s="155"/>
      <c r="IM17" s="155"/>
      <c r="IN17" s="155"/>
      <c r="IO17" s="155"/>
      <c r="IP17" s="155"/>
      <c r="IQ17" s="155"/>
      <c r="IR17" s="155"/>
      <c r="IS17" s="155"/>
      <c r="IT17" s="155"/>
      <c r="IU17" s="155"/>
      <c r="IV17" s="155"/>
    </row>
    <row r="18" s="156" customFormat="true" ht="25.5" hidden="false" customHeight="true" outlineLevel="0" collapsed="false">
      <c r="A18" s="157" t="str">
        <f aca="false">IF(Eingabe!A72="","",Eingabe!A72)</f>
        <v/>
      </c>
      <c r="B18" s="157"/>
      <c r="C18" s="157"/>
      <c r="D18" s="157"/>
      <c r="E18" s="158" t="str">
        <f aca="false">IF(Eingabe!B72="","",Eingabe!B72)</f>
        <v/>
      </c>
      <c r="F18" s="158"/>
      <c r="G18" s="158"/>
      <c r="H18" s="158"/>
      <c r="I18" s="159" t="str">
        <f aca="false">IF(Eingabe!C72="","",Eingabe!C72)</f>
        <v/>
      </c>
      <c r="J18" s="159"/>
      <c r="K18" s="159"/>
      <c r="L18" s="159"/>
      <c r="M18" s="160" t="str">
        <f aca="false">IF(Eingabe!D72&amp;""&amp;Eingabe!E72="","",Eingabe!D72&amp;" 
"&amp;Eingabe!E72)</f>
        <v/>
      </c>
      <c r="N18" s="160"/>
      <c r="O18" s="160"/>
      <c r="P18" s="160"/>
      <c r="Q18" s="160"/>
      <c r="R18" s="160"/>
      <c r="S18" s="160"/>
      <c r="T18" s="160"/>
      <c r="U18" s="160"/>
      <c r="V18" s="160"/>
      <c r="W18" s="160"/>
      <c r="X18" s="160"/>
      <c r="Y18" s="160"/>
      <c r="Z18" s="160"/>
      <c r="AA18" s="160"/>
      <c r="AB18" s="160"/>
      <c r="AC18" s="160"/>
      <c r="AD18" s="160"/>
      <c r="AE18" s="160"/>
      <c r="AF18" s="160"/>
      <c r="AG18" s="159" t="str">
        <f aca="false">IF(Eingabe!F72&amp;""&amp;Eingabe!G72="","",Eingabe!F72&amp;" 
"&amp;Eingabe!G72)</f>
        <v/>
      </c>
      <c r="AH18" s="159"/>
      <c r="AI18" s="159"/>
      <c r="AJ18" s="159"/>
      <c r="AK18" s="159"/>
      <c r="AL18" s="159"/>
      <c r="AM18" s="159"/>
      <c r="AN18" s="159"/>
      <c r="AO18" s="159"/>
      <c r="AP18" s="159"/>
      <c r="AQ18" s="159"/>
      <c r="AR18" s="159"/>
      <c r="AS18" s="159"/>
      <c r="AT18" s="159"/>
      <c r="AU18" s="159"/>
      <c r="AV18" s="159"/>
      <c r="AW18" s="159"/>
      <c r="AX18" s="159" t="str">
        <f aca="false">IF(Eingabe!H72="","",Eingabe!H72)</f>
        <v/>
      </c>
      <c r="AY18" s="159"/>
      <c r="AZ18" s="159"/>
      <c r="BA18" s="159"/>
      <c r="BB18" s="161" t="str">
        <f aca="false">IF(Eingabe!K72="","",Eingabe!K72)</f>
        <v/>
      </c>
      <c r="BC18" s="161"/>
      <c r="BD18" s="161"/>
      <c r="BE18" s="161"/>
      <c r="BF18" s="161"/>
      <c r="BG18" s="161"/>
      <c r="BH18" s="161"/>
      <c r="BI18" s="161"/>
      <c r="BJ18" s="161"/>
      <c r="BK18" s="161"/>
      <c r="BL18" s="161"/>
      <c r="BM18" s="161"/>
      <c r="BN18" s="161"/>
      <c r="BO18" s="155"/>
      <c r="BP18" s="155"/>
      <c r="BQ18" s="155"/>
      <c r="BR18" s="155"/>
      <c r="BS18" s="155"/>
      <c r="BT18" s="155"/>
      <c r="BU18" s="155"/>
      <c r="BV18" s="155"/>
      <c r="BW18" s="155"/>
      <c r="BX18" s="155"/>
      <c r="BY18" s="155"/>
      <c r="BZ18" s="155"/>
      <c r="CA18" s="155"/>
      <c r="CB18" s="155"/>
      <c r="CC18" s="155"/>
      <c r="CD18" s="155"/>
      <c r="CE18" s="155"/>
      <c r="CF18" s="155"/>
      <c r="CG18" s="155"/>
      <c r="CH18" s="155"/>
      <c r="CI18" s="155"/>
      <c r="CJ18" s="155"/>
      <c r="CK18" s="155"/>
      <c r="CL18" s="155"/>
      <c r="CM18" s="155"/>
      <c r="CN18" s="155"/>
      <c r="CO18" s="155"/>
      <c r="CP18" s="155"/>
      <c r="CQ18" s="155"/>
      <c r="CR18" s="155"/>
      <c r="CS18" s="155"/>
      <c r="CT18" s="155"/>
      <c r="CU18" s="155"/>
      <c r="CV18" s="155"/>
      <c r="CW18" s="155"/>
      <c r="CX18" s="155"/>
      <c r="CY18" s="155"/>
      <c r="CZ18" s="155"/>
      <c r="DA18" s="155"/>
      <c r="DB18" s="155"/>
      <c r="DC18" s="155"/>
      <c r="DD18" s="155"/>
      <c r="DE18" s="155"/>
      <c r="DF18" s="155"/>
      <c r="DG18" s="155"/>
      <c r="DH18" s="155"/>
      <c r="DI18" s="155"/>
      <c r="DJ18" s="155"/>
      <c r="DK18" s="155"/>
      <c r="DL18" s="155"/>
      <c r="DM18" s="155"/>
      <c r="DN18" s="155"/>
      <c r="DO18" s="155"/>
      <c r="DP18" s="155"/>
      <c r="DQ18" s="155"/>
      <c r="DR18" s="155"/>
      <c r="DS18" s="155"/>
      <c r="DT18" s="155"/>
      <c r="DU18" s="155"/>
      <c r="DV18" s="155"/>
      <c r="DW18" s="155"/>
      <c r="DX18" s="155"/>
      <c r="DY18" s="155"/>
      <c r="DZ18" s="155"/>
      <c r="EA18" s="155"/>
      <c r="EB18" s="155"/>
      <c r="EC18" s="155"/>
      <c r="ED18" s="155"/>
      <c r="EE18" s="155"/>
      <c r="EF18" s="155"/>
      <c r="EG18" s="155"/>
      <c r="EH18" s="155"/>
      <c r="EI18" s="155"/>
      <c r="EJ18" s="155"/>
      <c r="EK18" s="155"/>
      <c r="EL18" s="155"/>
      <c r="EM18" s="155"/>
      <c r="EN18" s="155"/>
      <c r="EO18" s="155"/>
      <c r="EP18" s="155"/>
      <c r="EQ18" s="155"/>
      <c r="ER18" s="155"/>
      <c r="ES18" s="155"/>
      <c r="ET18" s="155"/>
      <c r="EU18" s="155"/>
      <c r="EV18" s="155"/>
      <c r="EW18" s="155"/>
      <c r="EX18" s="155"/>
      <c r="EY18" s="155"/>
      <c r="EZ18" s="155"/>
      <c r="FA18" s="155"/>
      <c r="FB18" s="155"/>
      <c r="FC18" s="155"/>
      <c r="FD18" s="155"/>
      <c r="FE18" s="155"/>
      <c r="FF18" s="155"/>
      <c r="FG18" s="155"/>
      <c r="FH18" s="155"/>
      <c r="FI18" s="155"/>
      <c r="FJ18" s="155"/>
      <c r="FK18" s="155"/>
      <c r="FL18" s="155"/>
      <c r="FM18" s="155"/>
      <c r="FN18" s="155"/>
      <c r="FO18" s="155"/>
      <c r="FP18" s="155"/>
      <c r="FQ18" s="155"/>
      <c r="FR18" s="155"/>
      <c r="FS18" s="155"/>
      <c r="FT18" s="155"/>
      <c r="FU18" s="155"/>
      <c r="FV18" s="155"/>
      <c r="FW18" s="155"/>
      <c r="FX18" s="155"/>
      <c r="FY18" s="155"/>
      <c r="FZ18" s="155"/>
      <c r="GA18" s="155"/>
      <c r="GB18" s="155"/>
      <c r="GC18" s="155"/>
      <c r="GD18" s="155"/>
      <c r="GE18" s="155"/>
      <c r="GF18" s="155"/>
      <c r="GG18" s="155"/>
      <c r="GH18" s="155"/>
      <c r="GI18" s="155"/>
      <c r="GJ18" s="155"/>
      <c r="GK18" s="155"/>
      <c r="GL18" s="155"/>
      <c r="GM18" s="155"/>
      <c r="GN18" s="155"/>
      <c r="GO18" s="155"/>
      <c r="GP18" s="155"/>
      <c r="GQ18" s="155"/>
      <c r="GR18" s="155"/>
      <c r="GS18" s="155"/>
      <c r="GT18" s="155"/>
      <c r="GU18" s="155"/>
      <c r="GV18" s="155"/>
      <c r="GW18" s="155"/>
      <c r="GX18" s="155"/>
      <c r="GY18" s="155"/>
      <c r="GZ18" s="155"/>
      <c r="HA18" s="155"/>
      <c r="HB18" s="155"/>
      <c r="HC18" s="155"/>
      <c r="HD18" s="155"/>
      <c r="HE18" s="155"/>
      <c r="HF18" s="155"/>
      <c r="HG18" s="155"/>
      <c r="HH18" s="155"/>
      <c r="HI18" s="155"/>
      <c r="HJ18" s="155"/>
      <c r="HK18" s="155"/>
      <c r="HL18" s="155"/>
      <c r="HM18" s="155"/>
      <c r="HN18" s="155"/>
      <c r="HO18" s="155"/>
      <c r="HP18" s="155"/>
      <c r="HQ18" s="155"/>
      <c r="HR18" s="155"/>
      <c r="HS18" s="155"/>
      <c r="HT18" s="155"/>
      <c r="HU18" s="155"/>
      <c r="HV18" s="155"/>
      <c r="HW18" s="155"/>
      <c r="HX18" s="155"/>
      <c r="HY18" s="155"/>
      <c r="HZ18" s="155"/>
      <c r="IA18" s="155"/>
      <c r="IB18" s="155"/>
      <c r="IC18" s="155"/>
      <c r="ID18" s="155"/>
      <c r="IE18" s="155"/>
      <c r="IF18" s="155"/>
      <c r="IG18" s="155"/>
      <c r="IH18" s="155"/>
      <c r="II18" s="155"/>
      <c r="IJ18" s="155"/>
      <c r="IK18" s="155"/>
      <c r="IL18" s="155"/>
      <c r="IM18" s="155"/>
      <c r="IN18" s="155"/>
      <c r="IO18" s="155"/>
      <c r="IP18" s="155"/>
      <c r="IQ18" s="155"/>
      <c r="IR18" s="155"/>
      <c r="IS18" s="155"/>
      <c r="IT18" s="155"/>
      <c r="IU18" s="155"/>
      <c r="IV18" s="155"/>
    </row>
    <row r="19" s="156" customFormat="true" ht="25.5" hidden="false" customHeight="true" outlineLevel="0" collapsed="false">
      <c r="A19" s="157" t="str">
        <f aca="false">IF(Eingabe!A73="","",Eingabe!A73)</f>
        <v/>
      </c>
      <c r="B19" s="157"/>
      <c r="C19" s="157"/>
      <c r="D19" s="157"/>
      <c r="E19" s="158" t="str">
        <f aca="false">IF(Eingabe!B73="","",Eingabe!B73)</f>
        <v/>
      </c>
      <c r="F19" s="158"/>
      <c r="G19" s="158"/>
      <c r="H19" s="158"/>
      <c r="I19" s="159" t="str">
        <f aca="false">IF(Eingabe!C73="","",Eingabe!C73)</f>
        <v/>
      </c>
      <c r="J19" s="159"/>
      <c r="K19" s="159"/>
      <c r="L19" s="159"/>
      <c r="M19" s="160" t="str">
        <f aca="false">IF(Eingabe!D73&amp;""&amp;Eingabe!E73="","",Eingabe!D73&amp;" 
"&amp;Eingabe!E73)</f>
        <v/>
      </c>
      <c r="N19" s="160"/>
      <c r="O19" s="160"/>
      <c r="P19" s="160"/>
      <c r="Q19" s="160"/>
      <c r="R19" s="160"/>
      <c r="S19" s="160"/>
      <c r="T19" s="160"/>
      <c r="U19" s="160"/>
      <c r="V19" s="160"/>
      <c r="W19" s="160"/>
      <c r="X19" s="160"/>
      <c r="Y19" s="160"/>
      <c r="Z19" s="160"/>
      <c r="AA19" s="160"/>
      <c r="AB19" s="160"/>
      <c r="AC19" s="160"/>
      <c r="AD19" s="160"/>
      <c r="AE19" s="160"/>
      <c r="AF19" s="160"/>
      <c r="AG19" s="159" t="str">
        <f aca="false">IF(Eingabe!F73&amp;""&amp;Eingabe!G73="","",Eingabe!F73&amp;" 
"&amp;Eingabe!G73)</f>
        <v/>
      </c>
      <c r="AH19" s="159"/>
      <c r="AI19" s="159"/>
      <c r="AJ19" s="159"/>
      <c r="AK19" s="159"/>
      <c r="AL19" s="159"/>
      <c r="AM19" s="159"/>
      <c r="AN19" s="159"/>
      <c r="AO19" s="159"/>
      <c r="AP19" s="159"/>
      <c r="AQ19" s="159"/>
      <c r="AR19" s="159"/>
      <c r="AS19" s="159"/>
      <c r="AT19" s="159"/>
      <c r="AU19" s="159"/>
      <c r="AV19" s="159"/>
      <c r="AW19" s="159"/>
      <c r="AX19" s="159" t="str">
        <f aca="false">IF(Eingabe!H73="","",Eingabe!H73)</f>
        <v/>
      </c>
      <c r="AY19" s="159"/>
      <c r="AZ19" s="159"/>
      <c r="BA19" s="159"/>
      <c r="BB19" s="161" t="str">
        <f aca="false">IF(Eingabe!K73="","",Eingabe!K73)</f>
        <v/>
      </c>
      <c r="BC19" s="161"/>
      <c r="BD19" s="161"/>
      <c r="BE19" s="161"/>
      <c r="BF19" s="161"/>
      <c r="BG19" s="161"/>
      <c r="BH19" s="161"/>
      <c r="BI19" s="161"/>
      <c r="BJ19" s="161"/>
      <c r="BK19" s="161"/>
      <c r="BL19" s="161"/>
      <c r="BM19" s="161"/>
      <c r="BN19" s="161"/>
      <c r="BO19" s="155"/>
      <c r="BP19" s="155"/>
      <c r="BQ19" s="155"/>
      <c r="BR19" s="155"/>
      <c r="BS19" s="155"/>
      <c r="BT19" s="155"/>
      <c r="BU19" s="155"/>
      <c r="BV19" s="155"/>
      <c r="BW19" s="155"/>
      <c r="BX19" s="155"/>
      <c r="BY19" s="155"/>
      <c r="BZ19" s="155"/>
      <c r="CA19" s="155"/>
      <c r="CB19" s="155"/>
      <c r="CC19" s="155"/>
      <c r="CD19" s="155"/>
      <c r="CE19" s="155"/>
      <c r="CF19" s="155"/>
      <c r="CG19" s="155"/>
      <c r="CH19" s="155"/>
      <c r="CI19" s="155"/>
      <c r="CJ19" s="155"/>
      <c r="CK19" s="155"/>
      <c r="CL19" s="155"/>
      <c r="CM19" s="155"/>
      <c r="CN19" s="155"/>
      <c r="CO19" s="155"/>
      <c r="CP19" s="155"/>
      <c r="CQ19" s="155"/>
      <c r="CR19" s="155"/>
      <c r="CS19" s="155"/>
      <c r="CT19" s="155"/>
      <c r="CU19" s="155"/>
      <c r="CV19" s="155"/>
      <c r="CW19" s="155"/>
      <c r="CX19" s="155"/>
      <c r="CY19" s="155"/>
      <c r="CZ19" s="155"/>
      <c r="DA19" s="155"/>
      <c r="DB19" s="155"/>
      <c r="DC19" s="155"/>
      <c r="DD19" s="155"/>
      <c r="DE19" s="155"/>
      <c r="DF19" s="155"/>
      <c r="DG19" s="155"/>
      <c r="DH19" s="155"/>
      <c r="DI19" s="155"/>
      <c r="DJ19" s="155"/>
      <c r="DK19" s="155"/>
      <c r="DL19" s="155"/>
      <c r="DM19" s="155"/>
      <c r="DN19" s="155"/>
      <c r="DO19" s="155"/>
      <c r="DP19" s="155"/>
      <c r="DQ19" s="155"/>
      <c r="DR19" s="155"/>
      <c r="DS19" s="155"/>
      <c r="DT19" s="155"/>
      <c r="DU19" s="155"/>
      <c r="DV19" s="155"/>
      <c r="DW19" s="155"/>
      <c r="DX19" s="155"/>
      <c r="DY19" s="155"/>
      <c r="DZ19" s="155"/>
      <c r="EA19" s="155"/>
      <c r="EB19" s="155"/>
      <c r="EC19" s="155"/>
      <c r="ED19" s="155"/>
      <c r="EE19" s="155"/>
      <c r="EF19" s="155"/>
      <c r="EG19" s="155"/>
      <c r="EH19" s="155"/>
      <c r="EI19" s="155"/>
      <c r="EJ19" s="155"/>
      <c r="EK19" s="155"/>
      <c r="EL19" s="155"/>
      <c r="EM19" s="155"/>
      <c r="EN19" s="155"/>
      <c r="EO19" s="155"/>
      <c r="EP19" s="155"/>
      <c r="EQ19" s="155"/>
      <c r="ER19" s="155"/>
      <c r="ES19" s="155"/>
      <c r="ET19" s="155"/>
      <c r="EU19" s="155"/>
      <c r="EV19" s="155"/>
      <c r="EW19" s="155"/>
      <c r="EX19" s="155"/>
      <c r="EY19" s="155"/>
      <c r="EZ19" s="155"/>
      <c r="FA19" s="155"/>
      <c r="FB19" s="155"/>
      <c r="FC19" s="155"/>
      <c r="FD19" s="155"/>
      <c r="FE19" s="155"/>
      <c r="FF19" s="155"/>
      <c r="FG19" s="155"/>
      <c r="FH19" s="155"/>
      <c r="FI19" s="155"/>
      <c r="FJ19" s="155"/>
      <c r="FK19" s="155"/>
      <c r="FL19" s="155"/>
      <c r="FM19" s="155"/>
      <c r="FN19" s="155"/>
      <c r="FO19" s="155"/>
      <c r="FP19" s="155"/>
      <c r="FQ19" s="155"/>
      <c r="FR19" s="155"/>
      <c r="FS19" s="155"/>
      <c r="FT19" s="155"/>
      <c r="FU19" s="155"/>
      <c r="FV19" s="155"/>
      <c r="FW19" s="155"/>
      <c r="FX19" s="155"/>
      <c r="FY19" s="155"/>
      <c r="FZ19" s="155"/>
      <c r="GA19" s="155"/>
      <c r="GB19" s="155"/>
      <c r="GC19" s="155"/>
      <c r="GD19" s="155"/>
      <c r="GE19" s="155"/>
      <c r="GF19" s="155"/>
      <c r="GG19" s="155"/>
      <c r="GH19" s="155"/>
      <c r="GI19" s="155"/>
      <c r="GJ19" s="155"/>
      <c r="GK19" s="155"/>
      <c r="GL19" s="155"/>
      <c r="GM19" s="155"/>
      <c r="GN19" s="155"/>
      <c r="GO19" s="155"/>
      <c r="GP19" s="155"/>
      <c r="GQ19" s="155"/>
      <c r="GR19" s="155"/>
      <c r="GS19" s="155"/>
      <c r="GT19" s="155"/>
      <c r="GU19" s="155"/>
      <c r="GV19" s="155"/>
      <c r="GW19" s="155"/>
      <c r="GX19" s="155"/>
      <c r="GY19" s="155"/>
      <c r="GZ19" s="155"/>
      <c r="HA19" s="155"/>
      <c r="HB19" s="155"/>
      <c r="HC19" s="155"/>
      <c r="HD19" s="155"/>
      <c r="HE19" s="155"/>
      <c r="HF19" s="155"/>
      <c r="HG19" s="155"/>
      <c r="HH19" s="155"/>
      <c r="HI19" s="155"/>
      <c r="HJ19" s="155"/>
      <c r="HK19" s="155"/>
      <c r="HL19" s="155"/>
      <c r="HM19" s="155"/>
      <c r="HN19" s="155"/>
      <c r="HO19" s="155"/>
      <c r="HP19" s="155"/>
      <c r="HQ19" s="155"/>
      <c r="HR19" s="155"/>
      <c r="HS19" s="155"/>
      <c r="HT19" s="155"/>
      <c r="HU19" s="155"/>
      <c r="HV19" s="155"/>
      <c r="HW19" s="155"/>
      <c r="HX19" s="155"/>
      <c r="HY19" s="155"/>
      <c r="HZ19" s="155"/>
      <c r="IA19" s="155"/>
      <c r="IB19" s="155"/>
      <c r="IC19" s="155"/>
      <c r="ID19" s="155"/>
      <c r="IE19" s="155"/>
      <c r="IF19" s="155"/>
      <c r="IG19" s="155"/>
      <c r="IH19" s="155"/>
      <c r="II19" s="155"/>
      <c r="IJ19" s="155"/>
      <c r="IK19" s="155"/>
      <c r="IL19" s="155"/>
      <c r="IM19" s="155"/>
      <c r="IN19" s="155"/>
      <c r="IO19" s="155"/>
      <c r="IP19" s="155"/>
      <c r="IQ19" s="155"/>
      <c r="IR19" s="155"/>
      <c r="IS19" s="155"/>
      <c r="IT19" s="155"/>
      <c r="IU19" s="155"/>
      <c r="IV19" s="155"/>
    </row>
    <row r="20" s="156" customFormat="true" ht="25.5" hidden="false" customHeight="true" outlineLevel="0" collapsed="false">
      <c r="A20" s="157" t="str">
        <f aca="false">IF(Eingabe!A74="","",Eingabe!A74)</f>
        <v/>
      </c>
      <c r="B20" s="157"/>
      <c r="C20" s="157"/>
      <c r="D20" s="157"/>
      <c r="E20" s="158" t="str">
        <f aca="false">IF(Eingabe!B74="","",Eingabe!B74)</f>
        <v/>
      </c>
      <c r="F20" s="158"/>
      <c r="G20" s="158"/>
      <c r="H20" s="158"/>
      <c r="I20" s="159" t="str">
        <f aca="false">IF(Eingabe!C74="","",Eingabe!C74)</f>
        <v/>
      </c>
      <c r="J20" s="159"/>
      <c r="K20" s="159"/>
      <c r="L20" s="159"/>
      <c r="M20" s="160" t="str">
        <f aca="false">IF(Eingabe!D74&amp;""&amp;Eingabe!E74="","",Eingabe!D74&amp;" 
"&amp;Eingabe!E74)</f>
        <v/>
      </c>
      <c r="N20" s="160"/>
      <c r="O20" s="160"/>
      <c r="P20" s="160"/>
      <c r="Q20" s="160"/>
      <c r="R20" s="160"/>
      <c r="S20" s="160"/>
      <c r="T20" s="160"/>
      <c r="U20" s="160"/>
      <c r="V20" s="160"/>
      <c r="W20" s="160"/>
      <c r="X20" s="160"/>
      <c r="Y20" s="160"/>
      <c r="Z20" s="160"/>
      <c r="AA20" s="160"/>
      <c r="AB20" s="160"/>
      <c r="AC20" s="160"/>
      <c r="AD20" s="160"/>
      <c r="AE20" s="160"/>
      <c r="AF20" s="160"/>
      <c r="AG20" s="159" t="str">
        <f aca="false">IF(Eingabe!F74&amp;""&amp;Eingabe!G74="","",Eingabe!F74&amp;" 
"&amp;Eingabe!G74)</f>
        <v/>
      </c>
      <c r="AH20" s="159"/>
      <c r="AI20" s="159"/>
      <c r="AJ20" s="159"/>
      <c r="AK20" s="159"/>
      <c r="AL20" s="159"/>
      <c r="AM20" s="159"/>
      <c r="AN20" s="159"/>
      <c r="AO20" s="159"/>
      <c r="AP20" s="159"/>
      <c r="AQ20" s="159"/>
      <c r="AR20" s="159"/>
      <c r="AS20" s="159"/>
      <c r="AT20" s="159"/>
      <c r="AU20" s="159"/>
      <c r="AV20" s="159"/>
      <c r="AW20" s="159"/>
      <c r="AX20" s="159" t="str">
        <f aca="false">IF(Eingabe!H74="","",Eingabe!H74)</f>
        <v/>
      </c>
      <c r="AY20" s="159"/>
      <c r="AZ20" s="159"/>
      <c r="BA20" s="159"/>
      <c r="BB20" s="161" t="str">
        <f aca="false">IF(Eingabe!K74="","",Eingabe!K74)</f>
        <v/>
      </c>
      <c r="BC20" s="161"/>
      <c r="BD20" s="161"/>
      <c r="BE20" s="161"/>
      <c r="BF20" s="161"/>
      <c r="BG20" s="161"/>
      <c r="BH20" s="161"/>
      <c r="BI20" s="161"/>
      <c r="BJ20" s="161"/>
      <c r="BK20" s="161"/>
      <c r="BL20" s="161"/>
      <c r="BM20" s="161"/>
      <c r="BN20" s="161"/>
      <c r="BO20" s="155"/>
      <c r="BP20" s="155"/>
      <c r="BQ20" s="155"/>
      <c r="BR20" s="155"/>
      <c r="BS20" s="155"/>
      <c r="BT20" s="155"/>
      <c r="BU20" s="155"/>
      <c r="BV20" s="155"/>
      <c r="BW20" s="155"/>
      <c r="BX20" s="155"/>
      <c r="BY20" s="155"/>
      <c r="BZ20" s="155"/>
      <c r="CA20" s="155"/>
      <c r="CB20" s="155"/>
      <c r="CC20" s="155"/>
      <c r="CD20" s="155"/>
      <c r="CE20" s="155"/>
      <c r="CF20" s="155"/>
      <c r="CG20" s="155"/>
      <c r="CH20" s="155"/>
      <c r="CI20" s="155"/>
      <c r="CJ20" s="155"/>
      <c r="CK20" s="155"/>
      <c r="CL20" s="155"/>
      <c r="CM20" s="155"/>
      <c r="CN20" s="155"/>
      <c r="CO20" s="155"/>
      <c r="CP20" s="155"/>
      <c r="CQ20" s="155"/>
      <c r="CR20" s="155"/>
      <c r="CS20" s="155"/>
      <c r="CT20" s="155"/>
      <c r="CU20" s="155"/>
      <c r="CV20" s="155"/>
      <c r="CW20" s="155"/>
      <c r="CX20" s="155"/>
      <c r="CY20" s="155"/>
      <c r="CZ20" s="155"/>
      <c r="DA20" s="155"/>
      <c r="DB20" s="155"/>
      <c r="DC20" s="155"/>
      <c r="DD20" s="155"/>
      <c r="DE20" s="155"/>
      <c r="DF20" s="155"/>
      <c r="DG20" s="155"/>
      <c r="DH20" s="155"/>
      <c r="DI20" s="155"/>
      <c r="DJ20" s="155"/>
      <c r="DK20" s="155"/>
      <c r="DL20" s="155"/>
      <c r="DM20" s="155"/>
      <c r="DN20" s="155"/>
      <c r="DO20" s="155"/>
      <c r="DP20" s="155"/>
      <c r="DQ20" s="155"/>
      <c r="DR20" s="155"/>
      <c r="DS20" s="155"/>
      <c r="DT20" s="155"/>
      <c r="DU20" s="155"/>
      <c r="DV20" s="155"/>
      <c r="DW20" s="155"/>
      <c r="DX20" s="155"/>
      <c r="DY20" s="155"/>
      <c r="DZ20" s="155"/>
      <c r="EA20" s="155"/>
      <c r="EB20" s="155"/>
      <c r="EC20" s="155"/>
      <c r="ED20" s="155"/>
      <c r="EE20" s="155"/>
      <c r="EF20" s="155"/>
      <c r="EG20" s="155"/>
      <c r="EH20" s="155"/>
      <c r="EI20" s="155"/>
      <c r="EJ20" s="155"/>
      <c r="EK20" s="155"/>
      <c r="EL20" s="155"/>
      <c r="EM20" s="155"/>
      <c r="EN20" s="155"/>
      <c r="EO20" s="155"/>
      <c r="EP20" s="155"/>
      <c r="EQ20" s="155"/>
      <c r="ER20" s="155"/>
      <c r="ES20" s="155"/>
      <c r="ET20" s="155"/>
      <c r="EU20" s="155"/>
      <c r="EV20" s="155"/>
      <c r="EW20" s="155"/>
      <c r="EX20" s="155"/>
      <c r="EY20" s="155"/>
      <c r="EZ20" s="155"/>
      <c r="FA20" s="155"/>
      <c r="FB20" s="155"/>
      <c r="FC20" s="155"/>
      <c r="FD20" s="155"/>
      <c r="FE20" s="155"/>
      <c r="FF20" s="155"/>
      <c r="FG20" s="155"/>
      <c r="FH20" s="155"/>
      <c r="FI20" s="155"/>
      <c r="FJ20" s="155"/>
      <c r="FK20" s="155"/>
      <c r="FL20" s="155"/>
      <c r="FM20" s="155"/>
      <c r="FN20" s="155"/>
      <c r="FO20" s="155"/>
      <c r="FP20" s="155"/>
      <c r="FQ20" s="155"/>
      <c r="FR20" s="155"/>
      <c r="FS20" s="155"/>
      <c r="FT20" s="155"/>
      <c r="FU20" s="155"/>
      <c r="FV20" s="155"/>
      <c r="FW20" s="155"/>
      <c r="FX20" s="155"/>
      <c r="FY20" s="155"/>
      <c r="FZ20" s="155"/>
      <c r="GA20" s="155"/>
      <c r="GB20" s="155"/>
      <c r="GC20" s="155"/>
      <c r="GD20" s="155"/>
      <c r="GE20" s="155"/>
      <c r="GF20" s="155"/>
      <c r="GG20" s="155"/>
      <c r="GH20" s="155"/>
      <c r="GI20" s="155"/>
      <c r="GJ20" s="155"/>
      <c r="GK20" s="155"/>
      <c r="GL20" s="155"/>
      <c r="GM20" s="155"/>
      <c r="GN20" s="155"/>
      <c r="GO20" s="155"/>
      <c r="GP20" s="155"/>
      <c r="GQ20" s="155"/>
      <c r="GR20" s="155"/>
      <c r="GS20" s="155"/>
      <c r="GT20" s="155"/>
      <c r="GU20" s="155"/>
      <c r="GV20" s="155"/>
      <c r="GW20" s="155"/>
      <c r="GX20" s="155"/>
      <c r="GY20" s="155"/>
      <c r="GZ20" s="155"/>
      <c r="HA20" s="155"/>
      <c r="HB20" s="155"/>
      <c r="HC20" s="155"/>
      <c r="HD20" s="155"/>
      <c r="HE20" s="155"/>
      <c r="HF20" s="155"/>
      <c r="HG20" s="155"/>
      <c r="HH20" s="155"/>
      <c r="HI20" s="155"/>
      <c r="HJ20" s="155"/>
      <c r="HK20" s="155"/>
      <c r="HL20" s="155"/>
      <c r="HM20" s="155"/>
      <c r="HN20" s="155"/>
      <c r="HO20" s="155"/>
      <c r="HP20" s="155"/>
      <c r="HQ20" s="155"/>
      <c r="HR20" s="155"/>
      <c r="HS20" s="155"/>
      <c r="HT20" s="155"/>
      <c r="HU20" s="155"/>
      <c r="HV20" s="155"/>
      <c r="HW20" s="155"/>
      <c r="HX20" s="155"/>
      <c r="HY20" s="155"/>
      <c r="HZ20" s="155"/>
      <c r="IA20" s="155"/>
      <c r="IB20" s="155"/>
      <c r="IC20" s="155"/>
      <c r="ID20" s="155"/>
      <c r="IE20" s="155"/>
      <c r="IF20" s="155"/>
      <c r="IG20" s="155"/>
      <c r="IH20" s="155"/>
      <c r="II20" s="155"/>
      <c r="IJ20" s="155"/>
      <c r="IK20" s="155"/>
      <c r="IL20" s="155"/>
      <c r="IM20" s="155"/>
      <c r="IN20" s="155"/>
      <c r="IO20" s="155"/>
      <c r="IP20" s="155"/>
      <c r="IQ20" s="155"/>
      <c r="IR20" s="155"/>
      <c r="IS20" s="155"/>
      <c r="IT20" s="155"/>
      <c r="IU20" s="155"/>
      <c r="IV20" s="155"/>
    </row>
    <row r="21" s="156" customFormat="true" ht="25.5" hidden="false" customHeight="true" outlineLevel="0" collapsed="false">
      <c r="A21" s="157" t="str">
        <f aca="false">IF(Eingabe!A75="","",Eingabe!A75)</f>
        <v/>
      </c>
      <c r="B21" s="157"/>
      <c r="C21" s="157"/>
      <c r="D21" s="157"/>
      <c r="E21" s="158" t="str">
        <f aca="false">IF(Eingabe!B75="","",Eingabe!B75)</f>
        <v/>
      </c>
      <c r="F21" s="158"/>
      <c r="G21" s="158"/>
      <c r="H21" s="158"/>
      <c r="I21" s="159" t="str">
        <f aca="false">IF(Eingabe!C75="","",Eingabe!C75)</f>
        <v/>
      </c>
      <c r="J21" s="159"/>
      <c r="K21" s="159"/>
      <c r="L21" s="159"/>
      <c r="M21" s="160" t="str">
        <f aca="false">IF(Eingabe!D75&amp;""&amp;Eingabe!E75="","",Eingabe!D75&amp;" 
"&amp;Eingabe!E75)</f>
        <v/>
      </c>
      <c r="N21" s="160"/>
      <c r="O21" s="160"/>
      <c r="P21" s="160"/>
      <c r="Q21" s="160"/>
      <c r="R21" s="160"/>
      <c r="S21" s="160"/>
      <c r="T21" s="160"/>
      <c r="U21" s="160"/>
      <c r="V21" s="160"/>
      <c r="W21" s="160"/>
      <c r="X21" s="160"/>
      <c r="Y21" s="160"/>
      <c r="Z21" s="160"/>
      <c r="AA21" s="160"/>
      <c r="AB21" s="160"/>
      <c r="AC21" s="160"/>
      <c r="AD21" s="160"/>
      <c r="AE21" s="160"/>
      <c r="AF21" s="160"/>
      <c r="AG21" s="159" t="str">
        <f aca="false">IF(Eingabe!F75&amp;""&amp;Eingabe!G75="","",Eingabe!F75&amp;" 
"&amp;Eingabe!G75)</f>
        <v/>
      </c>
      <c r="AH21" s="159"/>
      <c r="AI21" s="159"/>
      <c r="AJ21" s="159"/>
      <c r="AK21" s="159"/>
      <c r="AL21" s="159"/>
      <c r="AM21" s="159"/>
      <c r="AN21" s="159"/>
      <c r="AO21" s="159"/>
      <c r="AP21" s="159"/>
      <c r="AQ21" s="159"/>
      <c r="AR21" s="159"/>
      <c r="AS21" s="159"/>
      <c r="AT21" s="159"/>
      <c r="AU21" s="159"/>
      <c r="AV21" s="159"/>
      <c r="AW21" s="159"/>
      <c r="AX21" s="159" t="str">
        <f aca="false">IF(Eingabe!H75="","",Eingabe!H75)</f>
        <v/>
      </c>
      <c r="AY21" s="159"/>
      <c r="AZ21" s="159"/>
      <c r="BA21" s="159"/>
      <c r="BB21" s="161" t="str">
        <f aca="false">IF(Eingabe!K75="","",Eingabe!K75)</f>
        <v/>
      </c>
      <c r="BC21" s="161"/>
      <c r="BD21" s="161"/>
      <c r="BE21" s="161"/>
      <c r="BF21" s="161"/>
      <c r="BG21" s="161"/>
      <c r="BH21" s="161"/>
      <c r="BI21" s="161"/>
      <c r="BJ21" s="161"/>
      <c r="BK21" s="161"/>
      <c r="BL21" s="161"/>
      <c r="BM21" s="161"/>
      <c r="BN21" s="161"/>
      <c r="BO21" s="155"/>
      <c r="BP21" s="155"/>
      <c r="BQ21" s="155"/>
      <c r="BR21" s="155"/>
      <c r="BS21" s="155"/>
      <c r="BT21" s="155"/>
      <c r="BU21" s="155"/>
      <c r="BV21" s="155"/>
      <c r="BW21" s="155"/>
      <c r="BX21" s="155"/>
      <c r="BY21" s="155"/>
      <c r="BZ21" s="155"/>
      <c r="CA21" s="155"/>
      <c r="CB21" s="155"/>
      <c r="CC21" s="155"/>
      <c r="CD21" s="155"/>
      <c r="CE21" s="155"/>
      <c r="CF21" s="155"/>
      <c r="CG21" s="155"/>
      <c r="CH21" s="155"/>
      <c r="CI21" s="155"/>
      <c r="CJ21" s="155"/>
      <c r="CK21" s="155"/>
      <c r="CL21" s="155"/>
      <c r="CM21" s="155"/>
      <c r="CN21" s="155"/>
      <c r="CO21" s="155"/>
      <c r="CP21" s="155"/>
      <c r="CQ21" s="155"/>
      <c r="CR21" s="155"/>
      <c r="CS21" s="155"/>
      <c r="CT21" s="155"/>
      <c r="CU21" s="155"/>
      <c r="CV21" s="155"/>
      <c r="CW21" s="155"/>
      <c r="CX21" s="155"/>
      <c r="CY21" s="155"/>
      <c r="CZ21" s="155"/>
      <c r="DA21" s="155"/>
      <c r="DB21" s="155"/>
      <c r="DC21" s="155"/>
      <c r="DD21" s="155"/>
      <c r="DE21" s="155"/>
      <c r="DF21" s="155"/>
      <c r="DG21" s="155"/>
      <c r="DH21" s="155"/>
      <c r="DI21" s="155"/>
      <c r="DJ21" s="155"/>
      <c r="DK21" s="155"/>
      <c r="DL21" s="155"/>
      <c r="DM21" s="155"/>
      <c r="DN21" s="155"/>
      <c r="DO21" s="155"/>
      <c r="DP21" s="155"/>
      <c r="DQ21" s="155"/>
      <c r="DR21" s="155"/>
      <c r="DS21" s="155"/>
      <c r="DT21" s="155"/>
      <c r="DU21" s="155"/>
      <c r="DV21" s="155"/>
      <c r="DW21" s="155"/>
      <c r="DX21" s="155"/>
      <c r="DY21" s="155"/>
      <c r="DZ21" s="155"/>
      <c r="EA21" s="155"/>
      <c r="EB21" s="155"/>
      <c r="EC21" s="155"/>
      <c r="ED21" s="155"/>
      <c r="EE21" s="155"/>
      <c r="EF21" s="155"/>
      <c r="EG21" s="155"/>
      <c r="EH21" s="155"/>
      <c r="EI21" s="155"/>
      <c r="EJ21" s="155"/>
      <c r="EK21" s="155"/>
      <c r="EL21" s="155"/>
      <c r="EM21" s="155"/>
      <c r="EN21" s="155"/>
      <c r="EO21" s="155"/>
      <c r="EP21" s="155"/>
      <c r="EQ21" s="155"/>
      <c r="ER21" s="155"/>
      <c r="ES21" s="155"/>
      <c r="ET21" s="155"/>
      <c r="EU21" s="155"/>
      <c r="EV21" s="155"/>
      <c r="EW21" s="155"/>
      <c r="EX21" s="155"/>
      <c r="EY21" s="155"/>
      <c r="EZ21" s="155"/>
      <c r="FA21" s="155"/>
      <c r="FB21" s="155"/>
      <c r="FC21" s="155"/>
      <c r="FD21" s="155"/>
      <c r="FE21" s="155"/>
      <c r="FF21" s="155"/>
      <c r="FG21" s="155"/>
      <c r="FH21" s="155"/>
      <c r="FI21" s="155"/>
      <c r="FJ21" s="155"/>
      <c r="FK21" s="155"/>
      <c r="FL21" s="155"/>
      <c r="FM21" s="155"/>
      <c r="FN21" s="155"/>
      <c r="FO21" s="155"/>
      <c r="FP21" s="155"/>
      <c r="FQ21" s="155"/>
      <c r="FR21" s="155"/>
      <c r="FS21" s="155"/>
      <c r="FT21" s="155"/>
      <c r="FU21" s="155"/>
      <c r="FV21" s="155"/>
      <c r="FW21" s="155"/>
      <c r="FX21" s="155"/>
      <c r="FY21" s="155"/>
      <c r="FZ21" s="155"/>
      <c r="GA21" s="155"/>
      <c r="GB21" s="155"/>
      <c r="GC21" s="155"/>
      <c r="GD21" s="155"/>
      <c r="GE21" s="155"/>
      <c r="GF21" s="155"/>
      <c r="GG21" s="155"/>
      <c r="GH21" s="155"/>
      <c r="GI21" s="155"/>
      <c r="GJ21" s="155"/>
      <c r="GK21" s="155"/>
      <c r="GL21" s="155"/>
      <c r="GM21" s="155"/>
      <c r="GN21" s="155"/>
      <c r="GO21" s="155"/>
      <c r="GP21" s="155"/>
      <c r="GQ21" s="155"/>
      <c r="GR21" s="155"/>
      <c r="GS21" s="155"/>
      <c r="GT21" s="155"/>
      <c r="GU21" s="155"/>
      <c r="GV21" s="155"/>
      <c r="GW21" s="155"/>
      <c r="GX21" s="155"/>
      <c r="GY21" s="155"/>
      <c r="GZ21" s="155"/>
      <c r="HA21" s="155"/>
      <c r="HB21" s="155"/>
      <c r="HC21" s="155"/>
      <c r="HD21" s="155"/>
      <c r="HE21" s="155"/>
      <c r="HF21" s="155"/>
      <c r="HG21" s="155"/>
      <c r="HH21" s="155"/>
      <c r="HI21" s="155"/>
      <c r="HJ21" s="155"/>
      <c r="HK21" s="155"/>
      <c r="HL21" s="155"/>
      <c r="HM21" s="155"/>
      <c r="HN21" s="155"/>
      <c r="HO21" s="155"/>
      <c r="HP21" s="155"/>
      <c r="HQ21" s="155"/>
      <c r="HR21" s="155"/>
      <c r="HS21" s="155"/>
      <c r="HT21" s="155"/>
      <c r="HU21" s="155"/>
      <c r="HV21" s="155"/>
      <c r="HW21" s="155"/>
      <c r="HX21" s="155"/>
      <c r="HY21" s="155"/>
      <c r="HZ21" s="155"/>
      <c r="IA21" s="155"/>
      <c r="IB21" s="155"/>
      <c r="IC21" s="155"/>
      <c r="ID21" s="155"/>
      <c r="IE21" s="155"/>
      <c r="IF21" s="155"/>
      <c r="IG21" s="155"/>
      <c r="IH21" s="155"/>
      <c r="II21" s="155"/>
      <c r="IJ21" s="155"/>
      <c r="IK21" s="155"/>
      <c r="IL21" s="155"/>
      <c r="IM21" s="155"/>
      <c r="IN21" s="155"/>
      <c r="IO21" s="155"/>
      <c r="IP21" s="155"/>
      <c r="IQ21" s="155"/>
      <c r="IR21" s="155"/>
      <c r="IS21" s="155"/>
      <c r="IT21" s="155"/>
      <c r="IU21" s="155"/>
      <c r="IV21" s="155"/>
    </row>
    <row r="22" s="156" customFormat="true" ht="25.5" hidden="false" customHeight="true" outlineLevel="0" collapsed="false">
      <c r="A22" s="157" t="str">
        <f aca="false">IF(Eingabe!A76="","",Eingabe!A76)</f>
        <v/>
      </c>
      <c r="B22" s="157"/>
      <c r="C22" s="157"/>
      <c r="D22" s="157"/>
      <c r="E22" s="158" t="str">
        <f aca="false">IF(Eingabe!B76="","",Eingabe!B76)</f>
        <v/>
      </c>
      <c r="F22" s="158"/>
      <c r="G22" s="158"/>
      <c r="H22" s="158"/>
      <c r="I22" s="159" t="str">
        <f aca="false">IF(Eingabe!C76="","",Eingabe!C76)</f>
        <v/>
      </c>
      <c r="J22" s="159"/>
      <c r="K22" s="159"/>
      <c r="L22" s="159"/>
      <c r="M22" s="160" t="str">
        <f aca="false">IF(Eingabe!D76&amp;""&amp;Eingabe!E76="","",Eingabe!D76&amp;" 
"&amp;Eingabe!E76)</f>
        <v/>
      </c>
      <c r="N22" s="160"/>
      <c r="O22" s="160"/>
      <c r="P22" s="160"/>
      <c r="Q22" s="160"/>
      <c r="R22" s="160"/>
      <c r="S22" s="160"/>
      <c r="T22" s="160"/>
      <c r="U22" s="160"/>
      <c r="V22" s="160"/>
      <c r="W22" s="160"/>
      <c r="X22" s="160"/>
      <c r="Y22" s="160"/>
      <c r="Z22" s="160"/>
      <c r="AA22" s="160"/>
      <c r="AB22" s="160"/>
      <c r="AC22" s="160"/>
      <c r="AD22" s="160"/>
      <c r="AE22" s="160"/>
      <c r="AF22" s="160"/>
      <c r="AG22" s="159" t="str">
        <f aca="false">IF(Eingabe!F76&amp;""&amp;Eingabe!G76="","",Eingabe!F76&amp;" 
"&amp;Eingabe!G76)</f>
        <v/>
      </c>
      <c r="AH22" s="159"/>
      <c r="AI22" s="159"/>
      <c r="AJ22" s="159"/>
      <c r="AK22" s="159"/>
      <c r="AL22" s="159"/>
      <c r="AM22" s="159"/>
      <c r="AN22" s="159"/>
      <c r="AO22" s="159"/>
      <c r="AP22" s="159"/>
      <c r="AQ22" s="159"/>
      <c r="AR22" s="159"/>
      <c r="AS22" s="159"/>
      <c r="AT22" s="159"/>
      <c r="AU22" s="159"/>
      <c r="AV22" s="159"/>
      <c r="AW22" s="159"/>
      <c r="AX22" s="159" t="str">
        <f aca="false">IF(Eingabe!H76="","",Eingabe!H76)</f>
        <v/>
      </c>
      <c r="AY22" s="159"/>
      <c r="AZ22" s="159"/>
      <c r="BA22" s="159"/>
      <c r="BB22" s="161" t="str">
        <f aca="false">IF(Eingabe!K76="","",Eingabe!K76)</f>
        <v/>
      </c>
      <c r="BC22" s="161"/>
      <c r="BD22" s="161"/>
      <c r="BE22" s="161"/>
      <c r="BF22" s="161"/>
      <c r="BG22" s="161"/>
      <c r="BH22" s="161"/>
      <c r="BI22" s="161"/>
      <c r="BJ22" s="161"/>
      <c r="BK22" s="161"/>
      <c r="BL22" s="161"/>
      <c r="BM22" s="161"/>
      <c r="BN22" s="161"/>
      <c r="BO22" s="155"/>
      <c r="BP22" s="155"/>
      <c r="BQ22" s="155"/>
      <c r="BR22" s="155"/>
      <c r="BS22" s="155"/>
      <c r="BT22" s="155"/>
      <c r="BU22" s="155"/>
      <c r="BV22" s="155"/>
      <c r="BW22" s="155"/>
      <c r="BX22" s="155"/>
      <c r="BY22" s="155"/>
      <c r="BZ22" s="155"/>
      <c r="CA22" s="155"/>
      <c r="CB22" s="155"/>
      <c r="CC22" s="155"/>
      <c r="CD22" s="155"/>
      <c r="CE22" s="155"/>
      <c r="CF22" s="155"/>
      <c r="CG22" s="155"/>
      <c r="CH22" s="155"/>
      <c r="CI22" s="155"/>
      <c r="CJ22" s="155"/>
      <c r="CK22" s="155"/>
      <c r="CL22" s="155"/>
      <c r="CM22" s="155"/>
      <c r="CN22" s="155"/>
      <c r="CO22" s="155"/>
      <c r="CP22" s="155"/>
      <c r="CQ22" s="155"/>
      <c r="CR22" s="155"/>
      <c r="CS22" s="155"/>
      <c r="CT22" s="155"/>
      <c r="CU22" s="155"/>
      <c r="CV22" s="155"/>
      <c r="CW22" s="155"/>
      <c r="CX22" s="155"/>
      <c r="CY22" s="155"/>
      <c r="CZ22" s="155"/>
      <c r="DA22" s="155"/>
      <c r="DB22" s="155"/>
      <c r="DC22" s="155"/>
      <c r="DD22" s="155"/>
      <c r="DE22" s="155"/>
      <c r="DF22" s="155"/>
      <c r="DG22" s="155"/>
      <c r="DH22" s="155"/>
      <c r="DI22" s="155"/>
      <c r="DJ22" s="155"/>
      <c r="DK22" s="155"/>
      <c r="DL22" s="155"/>
      <c r="DM22" s="155"/>
      <c r="DN22" s="155"/>
      <c r="DO22" s="155"/>
      <c r="DP22" s="155"/>
      <c r="DQ22" s="155"/>
      <c r="DR22" s="155"/>
      <c r="DS22" s="155"/>
      <c r="DT22" s="155"/>
      <c r="DU22" s="155"/>
      <c r="DV22" s="155"/>
      <c r="DW22" s="155"/>
      <c r="DX22" s="155"/>
      <c r="DY22" s="155"/>
      <c r="DZ22" s="155"/>
      <c r="EA22" s="155"/>
      <c r="EB22" s="155"/>
      <c r="EC22" s="155"/>
      <c r="ED22" s="155"/>
      <c r="EE22" s="155"/>
      <c r="EF22" s="155"/>
      <c r="EG22" s="155"/>
      <c r="EH22" s="155"/>
      <c r="EI22" s="155"/>
      <c r="EJ22" s="155"/>
      <c r="EK22" s="155"/>
      <c r="EL22" s="155"/>
      <c r="EM22" s="155"/>
      <c r="EN22" s="155"/>
      <c r="EO22" s="155"/>
      <c r="EP22" s="155"/>
      <c r="EQ22" s="155"/>
      <c r="ER22" s="155"/>
      <c r="ES22" s="155"/>
      <c r="ET22" s="155"/>
      <c r="EU22" s="155"/>
      <c r="EV22" s="155"/>
      <c r="EW22" s="155"/>
      <c r="EX22" s="155"/>
      <c r="EY22" s="155"/>
      <c r="EZ22" s="155"/>
      <c r="FA22" s="155"/>
      <c r="FB22" s="155"/>
      <c r="FC22" s="155"/>
      <c r="FD22" s="155"/>
      <c r="FE22" s="155"/>
      <c r="FF22" s="155"/>
      <c r="FG22" s="155"/>
      <c r="FH22" s="155"/>
      <c r="FI22" s="155"/>
      <c r="FJ22" s="155"/>
      <c r="FK22" s="155"/>
      <c r="FL22" s="155"/>
      <c r="FM22" s="155"/>
      <c r="FN22" s="155"/>
      <c r="FO22" s="155"/>
      <c r="FP22" s="155"/>
      <c r="FQ22" s="155"/>
      <c r="FR22" s="155"/>
      <c r="FS22" s="155"/>
      <c r="FT22" s="155"/>
      <c r="FU22" s="155"/>
      <c r="FV22" s="155"/>
      <c r="FW22" s="155"/>
      <c r="FX22" s="155"/>
      <c r="FY22" s="155"/>
      <c r="FZ22" s="155"/>
      <c r="GA22" s="155"/>
      <c r="GB22" s="155"/>
      <c r="GC22" s="155"/>
      <c r="GD22" s="155"/>
      <c r="GE22" s="155"/>
      <c r="GF22" s="155"/>
      <c r="GG22" s="155"/>
      <c r="GH22" s="155"/>
      <c r="GI22" s="155"/>
      <c r="GJ22" s="155"/>
      <c r="GK22" s="155"/>
      <c r="GL22" s="155"/>
      <c r="GM22" s="155"/>
      <c r="GN22" s="155"/>
      <c r="GO22" s="155"/>
      <c r="GP22" s="155"/>
      <c r="GQ22" s="155"/>
      <c r="GR22" s="155"/>
      <c r="GS22" s="155"/>
      <c r="GT22" s="155"/>
      <c r="GU22" s="155"/>
      <c r="GV22" s="155"/>
      <c r="GW22" s="155"/>
      <c r="GX22" s="155"/>
      <c r="GY22" s="155"/>
      <c r="GZ22" s="155"/>
      <c r="HA22" s="155"/>
      <c r="HB22" s="155"/>
      <c r="HC22" s="155"/>
      <c r="HD22" s="155"/>
      <c r="HE22" s="155"/>
      <c r="HF22" s="155"/>
      <c r="HG22" s="155"/>
      <c r="HH22" s="155"/>
      <c r="HI22" s="155"/>
      <c r="HJ22" s="155"/>
      <c r="HK22" s="155"/>
      <c r="HL22" s="155"/>
      <c r="HM22" s="155"/>
      <c r="HN22" s="155"/>
      <c r="HO22" s="155"/>
      <c r="HP22" s="155"/>
      <c r="HQ22" s="155"/>
      <c r="HR22" s="155"/>
      <c r="HS22" s="155"/>
      <c r="HT22" s="155"/>
      <c r="HU22" s="155"/>
      <c r="HV22" s="155"/>
      <c r="HW22" s="155"/>
      <c r="HX22" s="155"/>
      <c r="HY22" s="155"/>
      <c r="HZ22" s="155"/>
      <c r="IA22" s="155"/>
      <c r="IB22" s="155"/>
      <c r="IC22" s="155"/>
      <c r="ID22" s="155"/>
      <c r="IE22" s="155"/>
      <c r="IF22" s="155"/>
      <c r="IG22" s="155"/>
      <c r="IH22" s="155"/>
      <c r="II22" s="155"/>
      <c r="IJ22" s="155"/>
      <c r="IK22" s="155"/>
      <c r="IL22" s="155"/>
      <c r="IM22" s="155"/>
      <c r="IN22" s="155"/>
      <c r="IO22" s="155"/>
      <c r="IP22" s="155"/>
      <c r="IQ22" s="155"/>
      <c r="IR22" s="155"/>
      <c r="IS22" s="155"/>
      <c r="IT22" s="155"/>
      <c r="IU22" s="155"/>
      <c r="IV22" s="155"/>
    </row>
    <row r="23" s="156" customFormat="true" ht="25.5" hidden="false" customHeight="true" outlineLevel="0" collapsed="false">
      <c r="A23" s="157" t="str">
        <f aca="false">IF(Eingabe!A77="","",Eingabe!A77)</f>
        <v/>
      </c>
      <c r="B23" s="157"/>
      <c r="C23" s="157"/>
      <c r="D23" s="157"/>
      <c r="E23" s="158" t="str">
        <f aca="false">IF(Eingabe!B77="","",Eingabe!B77)</f>
        <v/>
      </c>
      <c r="F23" s="158"/>
      <c r="G23" s="158"/>
      <c r="H23" s="158"/>
      <c r="I23" s="159" t="str">
        <f aca="false">IF(Eingabe!C77="","",Eingabe!C77)</f>
        <v/>
      </c>
      <c r="J23" s="159"/>
      <c r="K23" s="159"/>
      <c r="L23" s="159"/>
      <c r="M23" s="160" t="str">
        <f aca="false">IF(Eingabe!D77&amp;""&amp;Eingabe!E77="","",Eingabe!D77&amp;" 
"&amp;Eingabe!E77)</f>
        <v/>
      </c>
      <c r="N23" s="160"/>
      <c r="O23" s="160"/>
      <c r="P23" s="160"/>
      <c r="Q23" s="160"/>
      <c r="R23" s="160"/>
      <c r="S23" s="160"/>
      <c r="T23" s="160"/>
      <c r="U23" s="160"/>
      <c r="V23" s="160"/>
      <c r="W23" s="160"/>
      <c r="X23" s="160"/>
      <c r="Y23" s="160"/>
      <c r="Z23" s="160"/>
      <c r="AA23" s="160"/>
      <c r="AB23" s="160"/>
      <c r="AC23" s="160"/>
      <c r="AD23" s="160"/>
      <c r="AE23" s="160"/>
      <c r="AF23" s="160"/>
      <c r="AG23" s="159" t="str">
        <f aca="false">IF(Eingabe!F77&amp;""&amp;Eingabe!G77="","",Eingabe!F77&amp;" 
"&amp;Eingabe!G77)</f>
        <v/>
      </c>
      <c r="AH23" s="159"/>
      <c r="AI23" s="159"/>
      <c r="AJ23" s="159"/>
      <c r="AK23" s="159"/>
      <c r="AL23" s="159"/>
      <c r="AM23" s="159"/>
      <c r="AN23" s="159"/>
      <c r="AO23" s="159"/>
      <c r="AP23" s="159"/>
      <c r="AQ23" s="159"/>
      <c r="AR23" s="159"/>
      <c r="AS23" s="159"/>
      <c r="AT23" s="159"/>
      <c r="AU23" s="159"/>
      <c r="AV23" s="159"/>
      <c r="AW23" s="159"/>
      <c r="AX23" s="159" t="str">
        <f aca="false">IF(Eingabe!H77="","",Eingabe!H77)</f>
        <v/>
      </c>
      <c r="AY23" s="159"/>
      <c r="AZ23" s="159"/>
      <c r="BA23" s="159"/>
      <c r="BB23" s="161" t="str">
        <f aca="false">IF(Eingabe!K77="","",Eingabe!K77)</f>
        <v/>
      </c>
      <c r="BC23" s="161"/>
      <c r="BD23" s="161"/>
      <c r="BE23" s="161"/>
      <c r="BF23" s="161"/>
      <c r="BG23" s="161"/>
      <c r="BH23" s="161"/>
      <c r="BI23" s="161"/>
      <c r="BJ23" s="161"/>
      <c r="BK23" s="161"/>
      <c r="BL23" s="161"/>
      <c r="BM23" s="161"/>
      <c r="BN23" s="161"/>
      <c r="BO23" s="155"/>
      <c r="BP23" s="155"/>
      <c r="BQ23" s="155"/>
      <c r="BR23" s="155"/>
      <c r="BS23" s="155"/>
      <c r="BT23" s="155"/>
      <c r="BU23" s="155"/>
      <c r="BV23" s="155"/>
      <c r="BW23" s="155"/>
      <c r="BX23" s="155"/>
      <c r="BY23" s="155"/>
      <c r="BZ23" s="155"/>
      <c r="CA23" s="155"/>
      <c r="CB23" s="155"/>
      <c r="CC23" s="155"/>
      <c r="CD23" s="155"/>
      <c r="CE23" s="155"/>
      <c r="CF23" s="155"/>
      <c r="CG23" s="155"/>
      <c r="CH23" s="155"/>
      <c r="CI23" s="155"/>
      <c r="CJ23" s="155"/>
      <c r="CK23" s="155"/>
      <c r="CL23" s="155"/>
      <c r="CM23" s="155"/>
      <c r="CN23" s="155"/>
      <c r="CO23" s="155"/>
      <c r="CP23" s="155"/>
      <c r="CQ23" s="155"/>
      <c r="CR23" s="155"/>
      <c r="CS23" s="155"/>
      <c r="CT23" s="155"/>
      <c r="CU23" s="155"/>
      <c r="CV23" s="155"/>
      <c r="CW23" s="155"/>
      <c r="CX23" s="155"/>
      <c r="CY23" s="155"/>
      <c r="CZ23" s="155"/>
      <c r="DA23" s="155"/>
      <c r="DB23" s="155"/>
      <c r="DC23" s="155"/>
      <c r="DD23" s="155"/>
      <c r="DE23" s="155"/>
      <c r="DF23" s="155"/>
      <c r="DG23" s="155"/>
      <c r="DH23" s="155"/>
      <c r="DI23" s="155"/>
      <c r="DJ23" s="155"/>
      <c r="DK23" s="155"/>
      <c r="DL23" s="155"/>
      <c r="DM23" s="155"/>
      <c r="DN23" s="155"/>
      <c r="DO23" s="155"/>
      <c r="DP23" s="155"/>
      <c r="DQ23" s="155"/>
      <c r="DR23" s="155"/>
      <c r="DS23" s="155"/>
      <c r="DT23" s="155"/>
      <c r="DU23" s="155"/>
      <c r="DV23" s="155"/>
      <c r="DW23" s="155"/>
      <c r="DX23" s="155"/>
      <c r="DY23" s="155"/>
      <c r="DZ23" s="155"/>
      <c r="EA23" s="155"/>
      <c r="EB23" s="155"/>
      <c r="EC23" s="155"/>
      <c r="ED23" s="155"/>
      <c r="EE23" s="155"/>
      <c r="EF23" s="155"/>
      <c r="EG23" s="155"/>
      <c r="EH23" s="155"/>
      <c r="EI23" s="155"/>
      <c r="EJ23" s="155"/>
      <c r="EK23" s="155"/>
      <c r="EL23" s="155"/>
      <c r="EM23" s="155"/>
      <c r="EN23" s="155"/>
      <c r="EO23" s="155"/>
      <c r="EP23" s="155"/>
      <c r="EQ23" s="155"/>
      <c r="ER23" s="155"/>
      <c r="ES23" s="155"/>
      <c r="ET23" s="155"/>
      <c r="EU23" s="155"/>
      <c r="EV23" s="155"/>
      <c r="EW23" s="155"/>
      <c r="EX23" s="155"/>
      <c r="EY23" s="155"/>
      <c r="EZ23" s="155"/>
      <c r="FA23" s="155"/>
      <c r="FB23" s="155"/>
      <c r="FC23" s="155"/>
      <c r="FD23" s="155"/>
      <c r="FE23" s="155"/>
      <c r="FF23" s="155"/>
      <c r="FG23" s="155"/>
      <c r="FH23" s="155"/>
      <c r="FI23" s="155"/>
      <c r="FJ23" s="155"/>
      <c r="FK23" s="155"/>
      <c r="FL23" s="155"/>
      <c r="FM23" s="155"/>
      <c r="FN23" s="155"/>
      <c r="FO23" s="155"/>
      <c r="FP23" s="155"/>
      <c r="FQ23" s="155"/>
      <c r="FR23" s="155"/>
      <c r="FS23" s="155"/>
      <c r="FT23" s="155"/>
      <c r="FU23" s="155"/>
      <c r="FV23" s="155"/>
      <c r="FW23" s="155"/>
      <c r="FX23" s="155"/>
      <c r="FY23" s="155"/>
      <c r="FZ23" s="155"/>
      <c r="GA23" s="155"/>
      <c r="GB23" s="155"/>
      <c r="GC23" s="155"/>
      <c r="GD23" s="155"/>
      <c r="GE23" s="155"/>
      <c r="GF23" s="155"/>
      <c r="GG23" s="155"/>
      <c r="GH23" s="155"/>
      <c r="GI23" s="155"/>
      <c r="GJ23" s="155"/>
      <c r="GK23" s="155"/>
      <c r="GL23" s="155"/>
      <c r="GM23" s="155"/>
      <c r="GN23" s="155"/>
      <c r="GO23" s="155"/>
      <c r="GP23" s="155"/>
      <c r="GQ23" s="155"/>
      <c r="GR23" s="155"/>
      <c r="GS23" s="155"/>
      <c r="GT23" s="155"/>
      <c r="GU23" s="155"/>
      <c r="GV23" s="155"/>
      <c r="GW23" s="155"/>
      <c r="GX23" s="155"/>
      <c r="GY23" s="155"/>
      <c r="GZ23" s="155"/>
      <c r="HA23" s="155"/>
      <c r="HB23" s="155"/>
      <c r="HC23" s="155"/>
      <c r="HD23" s="155"/>
      <c r="HE23" s="155"/>
      <c r="HF23" s="155"/>
      <c r="HG23" s="155"/>
      <c r="HH23" s="155"/>
      <c r="HI23" s="155"/>
      <c r="HJ23" s="155"/>
      <c r="HK23" s="155"/>
      <c r="HL23" s="155"/>
      <c r="HM23" s="155"/>
      <c r="HN23" s="155"/>
      <c r="HO23" s="155"/>
      <c r="HP23" s="155"/>
      <c r="HQ23" s="155"/>
      <c r="HR23" s="155"/>
      <c r="HS23" s="155"/>
      <c r="HT23" s="155"/>
      <c r="HU23" s="155"/>
      <c r="HV23" s="155"/>
      <c r="HW23" s="155"/>
      <c r="HX23" s="155"/>
      <c r="HY23" s="155"/>
      <c r="HZ23" s="155"/>
      <c r="IA23" s="155"/>
      <c r="IB23" s="155"/>
      <c r="IC23" s="155"/>
      <c r="ID23" s="155"/>
      <c r="IE23" s="155"/>
      <c r="IF23" s="155"/>
      <c r="IG23" s="155"/>
      <c r="IH23" s="155"/>
      <c r="II23" s="155"/>
      <c r="IJ23" s="155"/>
      <c r="IK23" s="155"/>
      <c r="IL23" s="155"/>
      <c r="IM23" s="155"/>
      <c r="IN23" s="155"/>
      <c r="IO23" s="155"/>
      <c r="IP23" s="155"/>
      <c r="IQ23" s="155"/>
      <c r="IR23" s="155"/>
      <c r="IS23" s="155"/>
      <c r="IT23" s="155"/>
      <c r="IU23" s="155"/>
      <c r="IV23" s="155"/>
    </row>
    <row r="24" s="156" customFormat="true" ht="25.5" hidden="false" customHeight="true" outlineLevel="0" collapsed="false">
      <c r="A24" s="157" t="str">
        <f aca="false">IF(Eingabe!A78="","",Eingabe!A78)</f>
        <v/>
      </c>
      <c r="B24" s="157"/>
      <c r="C24" s="157"/>
      <c r="D24" s="157"/>
      <c r="E24" s="158" t="str">
        <f aca="false">IF(Eingabe!B78="","",Eingabe!B78)</f>
        <v/>
      </c>
      <c r="F24" s="158"/>
      <c r="G24" s="158"/>
      <c r="H24" s="158"/>
      <c r="I24" s="159" t="str">
        <f aca="false">IF(Eingabe!C78="","",Eingabe!C78)</f>
        <v/>
      </c>
      <c r="J24" s="159"/>
      <c r="K24" s="159"/>
      <c r="L24" s="159"/>
      <c r="M24" s="160" t="str">
        <f aca="false">IF(Eingabe!D78&amp;""&amp;Eingabe!E78="","",Eingabe!D78&amp;" 
"&amp;Eingabe!E78)</f>
        <v/>
      </c>
      <c r="N24" s="160"/>
      <c r="O24" s="160"/>
      <c r="P24" s="160"/>
      <c r="Q24" s="160"/>
      <c r="R24" s="160"/>
      <c r="S24" s="160"/>
      <c r="T24" s="160"/>
      <c r="U24" s="160"/>
      <c r="V24" s="160"/>
      <c r="W24" s="160"/>
      <c r="X24" s="160"/>
      <c r="Y24" s="160"/>
      <c r="Z24" s="160"/>
      <c r="AA24" s="160"/>
      <c r="AB24" s="160"/>
      <c r="AC24" s="160"/>
      <c r="AD24" s="160"/>
      <c r="AE24" s="160"/>
      <c r="AF24" s="160"/>
      <c r="AG24" s="159" t="str">
        <f aca="false">IF(Eingabe!F78&amp;""&amp;Eingabe!G78="","",Eingabe!F78&amp;" 
"&amp;Eingabe!G78)</f>
        <v/>
      </c>
      <c r="AH24" s="159"/>
      <c r="AI24" s="159"/>
      <c r="AJ24" s="159"/>
      <c r="AK24" s="159"/>
      <c r="AL24" s="159"/>
      <c r="AM24" s="159"/>
      <c r="AN24" s="159"/>
      <c r="AO24" s="159"/>
      <c r="AP24" s="159"/>
      <c r="AQ24" s="159"/>
      <c r="AR24" s="159"/>
      <c r="AS24" s="159"/>
      <c r="AT24" s="159"/>
      <c r="AU24" s="159"/>
      <c r="AV24" s="159"/>
      <c r="AW24" s="159"/>
      <c r="AX24" s="159" t="str">
        <f aca="false">IF(Eingabe!H78="","",Eingabe!H78)</f>
        <v/>
      </c>
      <c r="AY24" s="159"/>
      <c r="AZ24" s="159"/>
      <c r="BA24" s="159"/>
      <c r="BB24" s="161" t="str">
        <f aca="false">IF(Eingabe!K78="","",Eingabe!K78)</f>
        <v/>
      </c>
      <c r="BC24" s="161"/>
      <c r="BD24" s="161"/>
      <c r="BE24" s="161"/>
      <c r="BF24" s="161"/>
      <c r="BG24" s="161"/>
      <c r="BH24" s="161"/>
      <c r="BI24" s="161"/>
      <c r="BJ24" s="161"/>
      <c r="BK24" s="161"/>
      <c r="BL24" s="161"/>
      <c r="BM24" s="161"/>
      <c r="BN24" s="161"/>
      <c r="BO24" s="155"/>
      <c r="BP24" s="155"/>
      <c r="BQ24" s="155"/>
      <c r="BR24" s="155"/>
      <c r="BS24" s="155"/>
      <c r="BT24" s="155"/>
      <c r="BU24" s="155"/>
      <c r="BV24" s="155"/>
      <c r="BW24" s="155"/>
      <c r="BX24" s="155"/>
      <c r="BY24" s="155"/>
      <c r="BZ24" s="155"/>
      <c r="CA24" s="155"/>
      <c r="CB24" s="155"/>
      <c r="CC24" s="155"/>
      <c r="CD24" s="155"/>
      <c r="CE24" s="155"/>
      <c r="CF24" s="155"/>
      <c r="CG24" s="155"/>
      <c r="CH24" s="155"/>
      <c r="CI24" s="155"/>
      <c r="CJ24" s="155"/>
      <c r="CK24" s="155"/>
      <c r="CL24" s="155"/>
      <c r="CM24" s="155"/>
      <c r="CN24" s="155"/>
      <c r="CO24" s="155"/>
      <c r="CP24" s="155"/>
      <c r="CQ24" s="155"/>
      <c r="CR24" s="155"/>
      <c r="CS24" s="155"/>
      <c r="CT24" s="155"/>
      <c r="CU24" s="155"/>
      <c r="CV24" s="155"/>
      <c r="CW24" s="155"/>
      <c r="CX24" s="155"/>
      <c r="CY24" s="155"/>
      <c r="CZ24" s="155"/>
      <c r="DA24" s="155"/>
      <c r="DB24" s="155"/>
      <c r="DC24" s="155"/>
      <c r="DD24" s="155"/>
      <c r="DE24" s="155"/>
      <c r="DF24" s="155"/>
      <c r="DG24" s="155"/>
      <c r="DH24" s="155"/>
      <c r="DI24" s="155"/>
      <c r="DJ24" s="155"/>
      <c r="DK24" s="155"/>
      <c r="DL24" s="155"/>
      <c r="DM24" s="155"/>
      <c r="DN24" s="155"/>
      <c r="DO24" s="155"/>
      <c r="DP24" s="155"/>
      <c r="DQ24" s="155"/>
      <c r="DR24" s="155"/>
      <c r="DS24" s="155"/>
      <c r="DT24" s="155"/>
      <c r="DU24" s="155"/>
      <c r="DV24" s="155"/>
      <c r="DW24" s="155"/>
      <c r="DX24" s="155"/>
      <c r="DY24" s="155"/>
      <c r="DZ24" s="155"/>
      <c r="EA24" s="155"/>
      <c r="EB24" s="155"/>
      <c r="EC24" s="155"/>
      <c r="ED24" s="155"/>
      <c r="EE24" s="155"/>
      <c r="EF24" s="155"/>
      <c r="EG24" s="155"/>
      <c r="EH24" s="155"/>
      <c r="EI24" s="155"/>
      <c r="EJ24" s="155"/>
      <c r="EK24" s="155"/>
      <c r="EL24" s="155"/>
      <c r="EM24" s="155"/>
      <c r="EN24" s="155"/>
      <c r="EO24" s="155"/>
      <c r="EP24" s="155"/>
      <c r="EQ24" s="155"/>
      <c r="ER24" s="155"/>
      <c r="ES24" s="155"/>
      <c r="ET24" s="155"/>
      <c r="EU24" s="155"/>
      <c r="EV24" s="155"/>
      <c r="EW24" s="155"/>
      <c r="EX24" s="155"/>
      <c r="EY24" s="155"/>
      <c r="EZ24" s="155"/>
      <c r="FA24" s="155"/>
      <c r="FB24" s="155"/>
      <c r="FC24" s="155"/>
      <c r="FD24" s="155"/>
      <c r="FE24" s="155"/>
      <c r="FF24" s="155"/>
      <c r="FG24" s="155"/>
      <c r="FH24" s="155"/>
      <c r="FI24" s="155"/>
      <c r="FJ24" s="155"/>
      <c r="FK24" s="155"/>
      <c r="FL24" s="155"/>
      <c r="FM24" s="155"/>
      <c r="FN24" s="155"/>
      <c r="FO24" s="155"/>
      <c r="FP24" s="155"/>
      <c r="FQ24" s="155"/>
      <c r="FR24" s="155"/>
      <c r="FS24" s="155"/>
      <c r="FT24" s="155"/>
      <c r="FU24" s="155"/>
      <c r="FV24" s="155"/>
      <c r="FW24" s="155"/>
      <c r="FX24" s="155"/>
      <c r="FY24" s="155"/>
      <c r="FZ24" s="155"/>
      <c r="GA24" s="155"/>
      <c r="GB24" s="155"/>
      <c r="GC24" s="155"/>
      <c r="GD24" s="155"/>
      <c r="GE24" s="155"/>
      <c r="GF24" s="155"/>
      <c r="GG24" s="155"/>
      <c r="GH24" s="155"/>
      <c r="GI24" s="155"/>
      <c r="GJ24" s="155"/>
      <c r="GK24" s="155"/>
      <c r="GL24" s="155"/>
      <c r="GM24" s="155"/>
      <c r="GN24" s="155"/>
      <c r="GO24" s="155"/>
      <c r="GP24" s="155"/>
      <c r="GQ24" s="155"/>
      <c r="GR24" s="155"/>
      <c r="GS24" s="155"/>
      <c r="GT24" s="155"/>
      <c r="GU24" s="155"/>
      <c r="GV24" s="155"/>
      <c r="GW24" s="155"/>
      <c r="GX24" s="155"/>
      <c r="GY24" s="155"/>
      <c r="GZ24" s="155"/>
      <c r="HA24" s="155"/>
      <c r="HB24" s="155"/>
      <c r="HC24" s="155"/>
      <c r="HD24" s="155"/>
      <c r="HE24" s="155"/>
      <c r="HF24" s="155"/>
      <c r="HG24" s="155"/>
      <c r="HH24" s="155"/>
      <c r="HI24" s="155"/>
      <c r="HJ24" s="155"/>
      <c r="HK24" s="155"/>
      <c r="HL24" s="155"/>
      <c r="HM24" s="155"/>
      <c r="HN24" s="155"/>
      <c r="HO24" s="155"/>
      <c r="HP24" s="155"/>
      <c r="HQ24" s="155"/>
      <c r="HR24" s="155"/>
      <c r="HS24" s="155"/>
      <c r="HT24" s="155"/>
      <c r="HU24" s="155"/>
      <c r="HV24" s="155"/>
      <c r="HW24" s="155"/>
      <c r="HX24" s="155"/>
      <c r="HY24" s="155"/>
      <c r="HZ24" s="155"/>
      <c r="IA24" s="155"/>
      <c r="IB24" s="155"/>
      <c r="IC24" s="155"/>
      <c r="ID24" s="155"/>
      <c r="IE24" s="155"/>
      <c r="IF24" s="155"/>
      <c r="IG24" s="155"/>
      <c r="IH24" s="155"/>
      <c r="II24" s="155"/>
      <c r="IJ24" s="155"/>
      <c r="IK24" s="155"/>
      <c r="IL24" s="155"/>
      <c r="IM24" s="155"/>
      <c r="IN24" s="155"/>
      <c r="IO24" s="155"/>
      <c r="IP24" s="155"/>
      <c r="IQ24" s="155"/>
      <c r="IR24" s="155"/>
      <c r="IS24" s="155"/>
      <c r="IT24" s="155"/>
      <c r="IU24" s="155"/>
      <c r="IV24" s="155"/>
    </row>
    <row r="25" s="156" customFormat="true" ht="25.5" hidden="false" customHeight="true" outlineLevel="0" collapsed="false">
      <c r="A25" s="157" t="str">
        <f aca="false">IF(Eingabe!A79="","",Eingabe!A79)</f>
        <v/>
      </c>
      <c r="B25" s="157"/>
      <c r="C25" s="157"/>
      <c r="D25" s="157"/>
      <c r="E25" s="158" t="str">
        <f aca="false">IF(Eingabe!B79="","",Eingabe!B79)</f>
        <v/>
      </c>
      <c r="F25" s="158"/>
      <c r="G25" s="158"/>
      <c r="H25" s="158"/>
      <c r="I25" s="159" t="str">
        <f aca="false">IF(Eingabe!C79="","",Eingabe!C79)</f>
        <v/>
      </c>
      <c r="J25" s="159"/>
      <c r="K25" s="159"/>
      <c r="L25" s="159"/>
      <c r="M25" s="160" t="str">
        <f aca="false">IF(Eingabe!D79&amp;""&amp;Eingabe!E79="","",Eingabe!D79&amp;" 
"&amp;Eingabe!E79)</f>
        <v/>
      </c>
      <c r="N25" s="160"/>
      <c r="O25" s="160"/>
      <c r="P25" s="160"/>
      <c r="Q25" s="160"/>
      <c r="R25" s="160"/>
      <c r="S25" s="160"/>
      <c r="T25" s="160"/>
      <c r="U25" s="160"/>
      <c r="V25" s="160"/>
      <c r="W25" s="160"/>
      <c r="X25" s="160"/>
      <c r="Y25" s="160"/>
      <c r="Z25" s="160"/>
      <c r="AA25" s="160"/>
      <c r="AB25" s="160"/>
      <c r="AC25" s="160"/>
      <c r="AD25" s="160"/>
      <c r="AE25" s="160"/>
      <c r="AF25" s="160"/>
      <c r="AG25" s="159" t="str">
        <f aca="false">IF(Eingabe!F79&amp;""&amp;Eingabe!G79="","",Eingabe!F79&amp;" 
"&amp;Eingabe!G79)</f>
        <v/>
      </c>
      <c r="AH25" s="159"/>
      <c r="AI25" s="159"/>
      <c r="AJ25" s="159"/>
      <c r="AK25" s="159"/>
      <c r="AL25" s="159"/>
      <c r="AM25" s="159"/>
      <c r="AN25" s="159"/>
      <c r="AO25" s="159"/>
      <c r="AP25" s="159"/>
      <c r="AQ25" s="159"/>
      <c r="AR25" s="159"/>
      <c r="AS25" s="159"/>
      <c r="AT25" s="159"/>
      <c r="AU25" s="159"/>
      <c r="AV25" s="159"/>
      <c r="AW25" s="159"/>
      <c r="AX25" s="159" t="str">
        <f aca="false">IF(Eingabe!H79="","",Eingabe!H79)</f>
        <v/>
      </c>
      <c r="AY25" s="159"/>
      <c r="AZ25" s="159"/>
      <c r="BA25" s="159"/>
      <c r="BB25" s="161" t="str">
        <f aca="false">IF(Eingabe!K79="","",Eingabe!K79)</f>
        <v/>
      </c>
      <c r="BC25" s="161"/>
      <c r="BD25" s="161"/>
      <c r="BE25" s="161"/>
      <c r="BF25" s="161"/>
      <c r="BG25" s="161"/>
      <c r="BH25" s="161"/>
      <c r="BI25" s="161"/>
      <c r="BJ25" s="161"/>
      <c r="BK25" s="161"/>
      <c r="BL25" s="161"/>
      <c r="BM25" s="161"/>
      <c r="BN25" s="161"/>
      <c r="BO25" s="155"/>
      <c r="BP25" s="155"/>
      <c r="BQ25" s="155"/>
      <c r="BR25" s="155"/>
      <c r="BS25" s="155"/>
      <c r="BT25" s="155"/>
      <c r="BU25" s="155"/>
      <c r="BV25" s="155"/>
      <c r="BW25" s="155"/>
      <c r="BX25" s="155"/>
      <c r="BY25" s="155"/>
      <c r="BZ25" s="155"/>
      <c r="CA25" s="155"/>
      <c r="CB25" s="155"/>
      <c r="CC25" s="155"/>
      <c r="CD25" s="155"/>
      <c r="CE25" s="155"/>
      <c r="CF25" s="155"/>
      <c r="CG25" s="155"/>
      <c r="CH25" s="155"/>
      <c r="CI25" s="155"/>
      <c r="CJ25" s="155"/>
      <c r="CK25" s="155"/>
      <c r="CL25" s="155"/>
      <c r="CM25" s="155"/>
      <c r="CN25" s="155"/>
      <c r="CO25" s="155"/>
      <c r="CP25" s="155"/>
      <c r="CQ25" s="155"/>
      <c r="CR25" s="155"/>
      <c r="CS25" s="155"/>
      <c r="CT25" s="155"/>
      <c r="CU25" s="155"/>
      <c r="CV25" s="155"/>
      <c r="CW25" s="155"/>
      <c r="CX25" s="155"/>
      <c r="CY25" s="155"/>
      <c r="CZ25" s="155"/>
      <c r="DA25" s="155"/>
      <c r="DB25" s="155"/>
      <c r="DC25" s="155"/>
      <c r="DD25" s="155"/>
      <c r="DE25" s="155"/>
      <c r="DF25" s="155"/>
      <c r="DG25" s="155"/>
      <c r="DH25" s="155"/>
      <c r="DI25" s="155"/>
      <c r="DJ25" s="155"/>
      <c r="DK25" s="155"/>
      <c r="DL25" s="155"/>
      <c r="DM25" s="155"/>
      <c r="DN25" s="155"/>
      <c r="DO25" s="155"/>
      <c r="DP25" s="155"/>
      <c r="DQ25" s="155"/>
      <c r="DR25" s="155"/>
      <c r="DS25" s="155"/>
      <c r="DT25" s="155"/>
      <c r="DU25" s="155"/>
      <c r="DV25" s="155"/>
      <c r="DW25" s="155"/>
      <c r="DX25" s="155"/>
      <c r="DY25" s="155"/>
      <c r="DZ25" s="155"/>
      <c r="EA25" s="155"/>
      <c r="EB25" s="155"/>
      <c r="EC25" s="155"/>
      <c r="ED25" s="155"/>
      <c r="EE25" s="155"/>
      <c r="EF25" s="155"/>
      <c r="EG25" s="155"/>
      <c r="EH25" s="155"/>
      <c r="EI25" s="155"/>
      <c r="EJ25" s="155"/>
      <c r="EK25" s="155"/>
      <c r="EL25" s="155"/>
      <c r="EM25" s="155"/>
      <c r="EN25" s="155"/>
      <c r="EO25" s="155"/>
      <c r="EP25" s="155"/>
      <c r="EQ25" s="155"/>
      <c r="ER25" s="155"/>
      <c r="ES25" s="155"/>
      <c r="ET25" s="155"/>
      <c r="EU25" s="155"/>
      <c r="EV25" s="155"/>
      <c r="EW25" s="155"/>
      <c r="EX25" s="155"/>
      <c r="EY25" s="155"/>
      <c r="EZ25" s="155"/>
      <c r="FA25" s="155"/>
      <c r="FB25" s="155"/>
      <c r="FC25" s="155"/>
      <c r="FD25" s="155"/>
      <c r="FE25" s="155"/>
      <c r="FF25" s="155"/>
      <c r="FG25" s="155"/>
      <c r="FH25" s="155"/>
      <c r="FI25" s="155"/>
      <c r="FJ25" s="155"/>
      <c r="FK25" s="155"/>
      <c r="FL25" s="155"/>
      <c r="FM25" s="155"/>
      <c r="FN25" s="155"/>
      <c r="FO25" s="155"/>
      <c r="FP25" s="155"/>
      <c r="FQ25" s="155"/>
      <c r="FR25" s="155"/>
      <c r="FS25" s="155"/>
      <c r="FT25" s="155"/>
      <c r="FU25" s="155"/>
      <c r="FV25" s="155"/>
      <c r="FW25" s="155"/>
      <c r="FX25" s="155"/>
      <c r="FY25" s="155"/>
      <c r="FZ25" s="155"/>
      <c r="GA25" s="155"/>
      <c r="GB25" s="155"/>
      <c r="GC25" s="155"/>
      <c r="GD25" s="155"/>
      <c r="GE25" s="155"/>
      <c r="GF25" s="155"/>
      <c r="GG25" s="155"/>
      <c r="GH25" s="155"/>
      <c r="GI25" s="155"/>
      <c r="GJ25" s="155"/>
      <c r="GK25" s="155"/>
      <c r="GL25" s="155"/>
      <c r="GM25" s="155"/>
      <c r="GN25" s="155"/>
      <c r="GO25" s="155"/>
      <c r="GP25" s="155"/>
      <c r="GQ25" s="155"/>
      <c r="GR25" s="155"/>
      <c r="GS25" s="155"/>
      <c r="GT25" s="155"/>
      <c r="GU25" s="155"/>
      <c r="GV25" s="155"/>
      <c r="GW25" s="155"/>
      <c r="GX25" s="155"/>
      <c r="GY25" s="155"/>
      <c r="GZ25" s="155"/>
      <c r="HA25" s="155"/>
      <c r="HB25" s="155"/>
      <c r="HC25" s="155"/>
      <c r="HD25" s="155"/>
      <c r="HE25" s="155"/>
      <c r="HF25" s="155"/>
      <c r="HG25" s="155"/>
      <c r="HH25" s="155"/>
      <c r="HI25" s="155"/>
      <c r="HJ25" s="155"/>
      <c r="HK25" s="155"/>
      <c r="HL25" s="155"/>
      <c r="HM25" s="155"/>
      <c r="HN25" s="155"/>
      <c r="HO25" s="155"/>
      <c r="HP25" s="155"/>
      <c r="HQ25" s="155"/>
      <c r="HR25" s="155"/>
      <c r="HS25" s="155"/>
      <c r="HT25" s="155"/>
      <c r="HU25" s="155"/>
      <c r="HV25" s="155"/>
      <c r="HW25" s="155"/>
      <c r="HX25" s="155"/>
      <c r="HY25" s="155"/>
      <c r="HZ25" s="155"/>
      <c r="IA25" s="155"/>
      <c r="IB25" s="155"/>
      <c r="IC25" s="155"/>
      <c r="ID25" s="155"/>
      <c r="IE25" s="155"/>
      <c r="IF25" s="155"/>
      <c r="IG25" s="155"/>
      <c r="IH25" s="155"/>
      <c r="II25" s="155"/>
      <c r="IJ25" s="155"/>
      <c r="IK25" s="155"/>
      <c r="IL25" s="155"/>
      <c r="IM25" s="155"/>
      <c r="IN25" s="155"/>
      <c r="IO25" s="155"/>
      <c r="IP25" s="155"/>
      <c r="IQ25" s="155"/>
      <c r="IR25" s="155"/>
      <c r="IS25" s="155"/>
      <c r="IT25" s="155"/>
      <c r="IU25" s="155"/>
      <c r="IV25" s="155"/>
    </row>
    <row r="26" s="156" customFormat="true" ht="25.5" hidden="false" customHeight="true" outlineLevel="0" collapsed="false">
      <c r="A26" s="157" t="str">
        <f aca="false">IF(Eingabe!A80="","",Eingabe!A80)</f>
        <v/>
      </c>
      <c r="B26" s="157"/>
      <c r="C26" s="157"/>
      <c r="D26" s="157"/>
      <c r="E26" s="158" t="str">
        <f aca="false">IF(Eingabe!B80="","",Eingabe!B80)</f>
        <v/>
      </c>
      <c r="F26" s="158"/>
      <c r="G26" s="158"/>
      <c r="H26" s="158"/>
      <c r="I26" s="159" t="str">
        <f aca="false">IF(Eingabe!C80="","",Eingabe!C80)</f>
        <v/>
      </c>
      <c r="J26" s="159"/>
      <c r="K26" s="159"/>
      <c r="L26" s="159"/>
      <c r="M26" s="160" t="str">
        <f aca="false">IF(Eingabe!D80&amp;""&amp;Eingabe!E80="","",Eingabe!D80&amp;" 
"&amp;Eingabe!E80)</f>
        <v/>
      </c>
      <c r="N26" s="160"/>
      <c r="O26" s="160"/>
      <c r="P26" s="160"/>
      <c r="Q26" s="160"/>
      <c r="R26" s="160"/>
      <c r="S26" s="160"/>
      <c r="T26" s="160"/>
      <c r="U26" s="160"/>
      <c r="V26" s="160"/>
      <c r="W26" s="160"/>
      <c r="X26" s="160"/>
      <c r="Y26" s="160"/>
      <c r="Z26" s="160"/>
      <c r="AA26" s="160"/>
      <c r="AB26" s="160"/>
      <c r="AC26" s="160"/>
      <c r="AD26" s="160"/>
      <c r="AE26" s="160"/>
      <c r="AF26" s="160"/>
      <c r="AG26" s="159" t="str">
        <f aca="false">IF(Eingabe!F80&amp;""&amp;Eingabe!G80="","",Eingabe!F80&amp;" 
"&amp;Eingabe!G80)</f>
        <v/>
      </c>
      <c r="AH26" s="159"/>
      <c r="AI26" s="159"/>
      <c r="AJ26" s="159"/>
      <c r="AK26" s="159"/>
      <c r="AL26" s="159"/>
      <c r="AM26" s="159"/>
      <c r="AN26" s="159"/>
      <c r="AO26" s="159"/>
      <c r="AP26" s="159"/>
      <c r="AQ26" s="159"/>
      <c r="AR26" s="159"/>
      <c r="AS26" s="159"/>
      <c r="AT26" s="159"/>
      <c r="AU26" s="159"/>
      <c r="AV26" s="159"/>
      <c r="AW26" s="159"/>
      <c r="AX26" s="159" t="str">
        <f aca="false">IF(Eingabe!H80="","",Eingabe!H80)</f>
        <v/>
      </c>
      <c r="AY26" s="159"/>
      <c r="AZ26" s="159"/>
      <c r="BA26" s="159"/>
      <c r="BB26" s="161" t="str">
        <f aca="false">IF(Eingabe!K80="","",Eingabe!K80)</f>
        <v/>
      </c>
      <c r="BC26" s="161"/>
      <c r="BD26" s="161"/>
      <c r="BE26" s="161"/>
      <c r="BF26" s="161"/>
      <c r="BG26" s="161"/>
      <c r="BH26" s="161"/>
      <c r="BI26" s="161"/>
      <c r="BJ26" s="161"/>
      <c r="BK26" s="161"/>
      <c r="BL26" s="161"/>
      <c r="BM26" s="161"/>
      <c r="BN26" s="161"/>
      <c r="BO26" s="155"/>
      <c r="BP26" s="155"/>
      <c r="BQ26" s="155"/>
      <c r="BR26" s="155"/>
      <c r="BS26" s="155"/>
      <c r="BT26" s="155"/>
      <c r="BU26" s="155"/>
      <c r="BV26" s="155"/>
      <c r="BW26" s="155"/>
      <c r="BX26" s="155"/>
      <c r="BY26" s="155"/>
      <c r="BZ26" s="155"/>
      <c r="CA26" s="155"/>
      <c r="CB26" s="155"/>
      <c r="CC26" s="155"/>
      <c r="CD26" s="155"/>
      <c r="CE26" s="155"/>
      <c r="CF26" s="155"/>
      <c r="CG26" s="155"/>
      <c r="CH26" s="155"/>
      <c r="CI26" s="155"/>
      <c r="CJ26" s="155"/>
      <c r="CK26" s="155"/>
      <c r="CL26" s="155"/>
      <c r="CM26" s="155"/>
      <c r="CN26" s="155"/>
      <c r="CO26" s="155"/>
      <c r="CP26" s="155"/>
      <c r="CQ26" s="155"/>
      <c r="CR26" s="155"/>
      <c r="CS26" s="155"/>
      <c r="CT26" s="155"/>
      <c r="CU26" s="155"/>
      <c r="CV26" s="155"/>
      <c r="CW26" s="155"/>
      <c r="CX26" s="155"/>
      <c r="CY26" s="155"/>
      <c r="CZ26" s="155"/>
      <c r="DA26" s="155"/>
      <c r="DB26" s="155"/>
      <c r="DC26" s="155"/>
      <c r="DD26" s="155"/>
      <c r="DE26" s="155"/>
      <c r="DF26" s="155"/>
      <c r="DG26" s="155"/>
      <c r="DH26" s="155"/>
      <c r="DI26" s="155"/>
      <c r="DJ26" s="155"/>
      <c r="DK26" s="155"/>
      <c r="DL26" s="155"/>
      <c r="DM26" s="155"/>
      <c r="DN26" s="155"/>
      <c r="DO26" s="155"/>
      <c r="DP26" s="155"/>
      <c r="DQ26" s="155"/>
      <c r="DR26" s="155"/>
      <c r="DS26" s="155"/>
      <c r="DT26" s="155"/>
      <c r="DU26" s="155"/>
      <c r="DV26" s="155"/>
      <c r="DW26" s="155"/>
      <c r="DX26" s="155"/>
      <c r="DY26" s="155"/>
      <c r="DZ26" s="155"/>
      <c r="EA26" s="155"/>
      <c r="EB26" s="155"/>
      <c r="EC26" s="155"/>
      <c r="ED26" s="155"/>
      <c r="EE26" s="155"/>
      <c r="EF26" s="155"/>
      <c r="EG26" s="155"/>
      <c r="EH26" s="155"/>
      <c r="EI26" s="155"/>
      <c r="EJ26" s="155"/>
      <c r="EK26" s="155"/>
      <c r="EL26" s="155"/>
      <c r="EM26" s="155"/>
      <c r="EN26" s="155"/>
      <c r="EO26" s="155"/>
      <c r="EP26" s="155"/>
      <c r="EQ26" s="155"/>
      <c r="ER26" s="155"/>
      <c r="ES26" s="155"/>
      <c r="ET26" s="155"/>
      <c r="EU26" s="155"/>
      <c r="EV26" s="155"/>
      <c r="EW26" s="155"/>
      <c r="EX26" s="155"/>
      <c r="EY26" s="155"/>
      <c r="EZ26" s="155"/>
      <c r="FA26" s="155"/>
      <c r="FB26" s="155"/>
      <c r="FC26" s="155"/>
      <c r="FD26" s="155"/>
      <c r="FE26" s="155"/>
      <c r="FF26" s="155"/>
      <c r="FG26" s="155"/>
      <c r="FH26" s="155"/>
      <c r="FI26" s="155"/>
      <c r="FJ26" s="155"/>
      <c r="FK26" s="155"/>
      <c r="FL26" s="155"/>
      <c r="FM26" s="155"/>
      <c r="FN26" s="155"/>
      <c r="FO26" s="155"/>
      <c r="FP26" s="155"/>
      <c r="FQ26" s="155"/>
      <c r="FR26" s="155"/>
      <c r="FS26" s="155"/>
      <c r="FT26" s="155"/>
      <c r="FU26" s="155"/>
      <c r="FV26" s="155"/>
      <c r="FW26" s="155"/>
      <c r="FX26" s="155"/>
      <c r="FY26" s="155"/>
      <c r="FZ26" s="155"/>
      <c r="GA26" s="155"/>
      <c r="GB26" s="155"/>
      <c r="GC26" s="155"/>
      <c r="GD26" s="155"/>
      <c r="GE26" s="155"/>
      <c r="GF26" s="155"/>
      <c r="GG26" s="155"/>
      <c r="GH26" s="155"/>
      <c r="GI26" s="155"/>
      <c r="GJ26" s="155"/>
      <c r="GK26" s="155"/>
      <c r="GL26" s="155"/>
      <c r="GM26" s="155"/>
      <c r="GN26" s="155"/>
      <c r="GO26" s="155"/>
      <c r="GP26" s="155"/>
      <c r="GQ26" s="155"/>
      <c r="GR26" s="155"/>
      <c r="GS26" s="155"/>
      <c r="GT26" s="155"/>
      <c r="GU26" s="155"/>
      <c r="GV26" s="155"/>
      <c r="GW26" s="155"/>
      <c r="GX26" s="155"/>
      <c r="GY26" s="155"/>
      <c r="GZ26" s="155"/>
      <c r="HA26" s="155"/>
      <c r="HB26" s="155"/>
      <c r="HC26" s="155"/>
      <c r="HD26" s="155"/>
      <c r="HE26" s="155"/>
      <c r="HF26" s="155"/>
      <c r="HG26" s="155"/>
      <c r="HH26" s="155"/>
      <c r="HI26" s="155"/>
      <c r="HJ26" s="155"/>
      <c r="HK26" s="155"/>
      <c r="HL26" s="155"/>
      <c r="HM26" s="155"/>
      <c r="HN26" s="155"/>
      <c r="HO26" s="155"/>
      <c r="HP26" s="155"/>
      <c r="HQ26" s="155"/>
      <c r="HR26" s="155"/>
      <c r="HS26" s="155"/>
      <c r="HT26" s="155"/>
      <c r="HU26" s="155"/>
      <c r="HV26" s="155"/>
      <c r="HW26" s="155"/>
      <c r="HX26" s="155"/>
      <c r="HY26" s="155"/>
      <c r="HZ26" s="155"/>
      <c r="IA26" s="155"/>
      <c r="IB26" s="155"/>
      <c r="IC26" s="155"/>
      <c r="ID26" s="155"/>
      <c r="IE26" s="155"/>
      <c r="IF26" s="155"/>
      <c r="IG26" s="155"/>
      <c r="IH26" s="155"/>
      <c r="II26" s="155"/>
      <c r="IJ26" s="155"/>
      <c r="IK26" s="155"/>
      <c r="IL26" s="155"/>
      <c r="IM26" s="155"/>
      <c r="IN26" s="155"/>
      <c r="IO26" s="155"/>
      <c r="IP26" s="155"/>
      <c r="IQ26" s="155"/>
      <c r="IR26" s="155"/>
      <c r="IS26" s="155"/>
      <c r="IT26" s="155"/>
      <c r="IU26" s="155"/>
      <c r="IV26" s="155"/>
    </row>
    <row r="27" s="156" customFormat="true" ht="25.5" hidden="false" customHeight="true" outlineLevel="0" collapsed="false">
      <c r="A27" s="157" t="str">
        <f aca="false">IF(Eingabe!A81="","",Eingabe!A81)</f>
        <v/>
      </c>
      <c r="B27" s="157"/>
      <c r="C27" s="157"/>
      <c r="D27" s="157"/>
      <c r="E27" s="158" t="str">
        <f aca="false">IF(Eingabe!B81="","",Eingabe!B81)</f>
        <v/>
      </c>
      <c r="F27" s="158"/>
      <c r="G27" s="158"/>
      <c r="H27" s="158"/>
      <c r="I27" s="159" t="str">
        <f aca="false">IF(Eingabe!C81="","",Eingabe!C81)</f>
        <v/>
      </c>
      <c r="J27" s="159"/>
      <c r="K27" s="159"/>
      <c r="L27" s="159"/>
      <c r="M27" s="160" t="str">
        <f aca="false">IF(Eingabe!D81&amp;""&amp;Eingabe!E81="","",Eingabe!D81&amp;" 
"&amp;Eingabe!E81)</f>
        <v/>
      </c>
      <c r="N27" s="160"/>
      <c r="O27" s="160"/>
      <c r="P27" s="160"/>
      <c r="Q27" s="160"/>
      <c r="R27" s="160"/>
      <c r="S27" s="160"/>
      <c r="T27" s="160"/>
      <c r="U27" s="160"/>
      <c r="V27" s="160"/>
      <c r="W27" s="160"/>
      <c r="X27" s="160"/>
      <c r="Y27" s="160"/>
      <c r="Z27" s="160"/>
      <c r="AA27" s="160"/>
      <c r="AB27" s="160"/>
      <c r="AC27" s="160"/>
      <c r="AD27" s="160"/>
      <c r="AE27" s="160"/>
      <c r="AF27" s="160"/>
      <c r="AG27" s="159" t="str">
        <f aca="false">IF(Eingabe!F81&amp;""&amp;Eingabe!G81="","",Eingabe!F81&amp;" 
"&amp;Eingabe!G81)</f>
        <v/>
      </c>
      <c r="AH27" s="159"/>
      <c r="AI27" s="159"/>
      <c r="AJ27" s="159"/>
      <c r="AK27" s="159"/>
      <c r="AL27" s="159"/>
      <c r="AM27" s="159"/>
      <c r="AN27" s="159"/>
      <c r="AO27" s="159"/>
      <c r="AP27" s="159"/>
      <c r="AQ27" s="159"/>
      <c r="AR27" s="159"/>
      <c r="AS27" s="159"/>
      <c r="AT27" s="159"/>
      <c r="AU27" s="159"/>
      <c r="AV27" s="159"/>
      <c r="AW27" s="159"/>
      <c r="AX27" s="159" t="str">
        <f aca="false">IF(Eingabe!H81="","",Eingabe!H81)</f>
        <v/>
      </c>
      <c r="AY27" s="159"/>
      <c r="AZ27" s="159"/>
      <c r="BA27" s="159"/>
      <c r="BB27" s="161" t="str">
        <f aca="false">IF(Eingabe!K81="","",Eingabe!K81)</f>
        <v/>
      </c>
      <c r="BC27" s="161"/>
      <c r="BD27" s="161"/>
      <c r="BE27" s="161"/>
      <c r="BF27" s="161"/>
      <c r="BG27" s="161"/>
      <c r="BH27" s="161"/>
      <c r="BI27" s="161"/>
      <c r="BJ27" s="161"/>
      <c r="BK27" s="161"/>
      <c r="BL27" s="161"/>
      <c r="BM27" s="161"/>
      <c r="BN27" s="161"/>
      <c r="BO27" s="155"/>
      <c r="BP27" s="155"/>
      <c r="BQ27" s="155"/>
      <c r="BR27" s="155"/>
      <c r="BS27" s="155"/>
      <c r="BT27" s="155"/>
      <c r="BU27" s="155"/>
      <c r="BV27" s="155"/>
      <c r="BW27" s="155"/>
      <c r="BX27" s="155"/>
      <c r="BY27" s="155"/>
      <c r="BZ27" s="155"/>
      <c r="CA27" s="155"/>
      <c r="CB27" s="155"/>
      <c r="CC27" s="155"/>
      <c r="CD27" s="155"/>
      <c r="CE27" s="155"/>
      <c r="CF27" s="155"/>
      <c r="CG27" s="155"/>
      <c r="CH27" s="155"/>
      <c r="CI27" s="155"/>
      <c r="CJ27" s="155"/>
      <c r="CK27" s="155"/>
      <c r="CL27" s="155"/>
      <c r="CM27" s="155"/>
      <c r="CN27" s="155"/>
      <c r="CO27" s="155"/>
      <c r="CP27" s="155"/>
      <c r="CQ27" s="155"/>
      <c r="CR27" s="155"/>
      <c r="CS27" s="155"/>
      <c r="CT27" s="155"/>
      <c r="CU27" s="155"/>
      <c r="CV27" s="155"/>
      <c r="CW27" s="155"/>
      <c r="CX27" s="155"/>
      <c r="CY27" s="155"/>
      <c r="CZ27" s="155"/>
      <c r="DA27" s="155"/>
      <c r="DB27" s="155"/>
      <c r="DC27" s="155"/>
      <c r="DD27" s="155"/>
      <c r="DE27" s="155"/>
      <c r="DF27" s="155"/>
      <c r="DG27" s="155"/>
      <c r="DH27" s="155"/>
      <c r="DI27" s="155"/>
      <c r="DJ27" s="155"/>
      <c r="DK27" s="155"/>
      <c r="DL27" s="155"/>
      <c r="DM27" s="155"/>
      <c r="DN27" s="155"/>
      <c r="DO27" s="155"/>
      <c r="DP27" s="155"/>
      <c r="DQ27" s="155"/>
      <c r="DR27" s="155"/>
      <c r="DS27" s="155"/>
      <c r="DT27" s="155"/>
      <c r="DU27" s="155"/>
      <c r="DV27" s="155"/>
      <c r="DW27" s="155"/>
      <c r="DX27" s="155"/>
      <c r="DY27" s="155"/>
      <c r="DZ27" s="155"/>
      <c r="EA27" s="155"/>
      <c r="EB27" s="155"/>
      <c r="EC27" s="155"/>
      <c r="ED27" s="155"/>
      <c r="EE27" s="155"/>
      <c r="EF27" s="155"/>
      <c r="EG27" s="155"/>
      <c r="EH27" s="155"/>
      <c r="EI27" s="155"/>
      <c r="EJ27" s="155"/>
      <c r="EK27" s="155"/>
      <c r="EL27" s="155"/>
      <c r="EM27" s="155"/>
      <c r="EN27" s="155"/>
      <c r="EO27" s="155"/>
      <c r="EP27" s="155"/>
      <c r="EQ27" s="155"/>
      <c r="ER27" s="155"/>
      <c r="ES27" s="155"/>
      <c r="ET27" s="155"/>
      <c r="EU27" s="155"/>
      <c r="EV27" s="155"/>
      <c r="EW27" s="155"/>
      <c r="EX27" s="155"/>
      <c r="EY27" s="155"/>
      <c r="EZ27" s="155"/>
      <c r="FA27" s="155"/>
      <c r="FB27" s="155"/>
      <c r="FC27" s="155"/>
      <c r="FD27" s="155"/>
      <c r="FE27" s="155"/>
      <c r="FF27" s="155"/>
      <c r="FG27" s="155"/>
      <c r="FH27" s="155"/>
      <c r="FI27" s="155"/>
      <c r="FJ27" s="155"/>
      <c r="FK27" s="155"/>
      <c r="FL27" s="155"/>
      <c r="FM27" s="155"/>
      <c r="FN27" s="155"/>
      <c r="FO27" s="155"/>
      <c r="FP27" s="155"/>
      <c r="FQ27" s="155"/>
      <c r="FR27" s="155"/>
      <c r="FS27" s="155"/>
      <c r="FT27" s="155"/>
      <c r="FU27" s="155"/>
      <c r="FV27" s="155"/>
      <c r="FW27" s="155"/>
      <c r="FX27" s="155"/>
      <c r="FY27" s="155"/>
      <c r="FZ27" s="155"/>
      <c r="GA27" s="155"/>
      <c r="GB27" s="155"/>
      <c r="GC27" s="155"/>
      <c r="GD27" s="155"/>
      <c r="GE27" s="155"/>
      <c r="GF27" s="155"/>
      <c r="GG27" s="155"/>
      <c r="GH27" s="155"/>
      <c r="GI27" s="155"/>
      <c r="GJ27" s="155"/>
      <c r="GK27" s="155"/>
      <c r="GL27" s="155"/>
      <c r="GM27" s="155"/>
      <c r="GN27" s="155"/>
      <c r="GO27" s="155"/>
      <c r="GP27" s="155"/>
      <c r="GQ27" s="155"/>
      <c r="GR27" s="155"/>
      <c r="GS27" s="155"/>
      <c r="GT27" s="155"/>
      <c r="GU27" s="155"/>
      <c r="GV27" s="155"/>
      <c r="GW27" s="155"/>
      <c r="GX27" s="155"/>
      <c r="GY27" s="155"/>
      <c r="GZ27" s="155"/>
      <c r="HA27" s="155"/>
      <c r="HB27" s="155"/>
      <c r="HC27" s="155"/>
      <c r="HD27" s="155"/>
      <c r="HE27" s="155"/>
      <c r="HF27" s="155"/>
      <c r="HG27" s="155"/>
      <c r="HH27" s="155"/>
      <c r="HI27" s="155"/>
      <c r="HJ27" s="155"/>
      <c r="HK27" s="155"/>
      <c r="HL27" s="155"/>
      <c r="HM27" s="155"/>
      <c r="HN27" s="155"/>
      <c r="HO27" s="155"/>
      <c r="HP27" s="155"/>
      <c r="HQ27" s="155"/>
      <c r="HR27" s="155"/>
      <c r="HS27" s="155"/>
      <c r="HT27" s="155"/>
      <c r="HU27" s="155"/>
      <c r="HV27" s="155"/>
      <c r="HW27" s="155"/>
      <c r="HX27" s="155"/>
      <c r="HY27" s="155"/>
      <c r="HZ27" s="155"/>
      <c r="IA27" s="155"/>
      <c r="IB27" s="155"/>
      <c r="IC27" s="155"/>
      <c r="ID27" s="155"/>
      <c r="IE27" s="155"/>
      <c r="IF27" s="155"/>
      <c r="IG27" s="155"/>
      <c r="IH27" s="155"/>
      <c r="II27" s="155"/>
      <c r="IJ27" s="155"/>
      <c r="IK27" s="155"/>
      <c r="IL27" s="155"/>
      <c r="IM27" s="155"/>
      <c r="IN27" s="155"/>
      <c r="IO27" s="155"/>
      <c r="IP27" s="155"/>
      <c r="IQ27" s="155"/>
      <c r="IR27" s="155"/>
      <c r="IS27" s="155"/>
      <c r="IT27" s="155"/>
      <c r="IU27" s="155"/>
      <c r="IV27" s="155"/>
    </row>
    <row r="28" customFormat="false" ht="25.5" hidden="false" customHeight="true" outlineLevel="0" collapsed="false">
      <c r="A28" s="162" t="str">
        <f aca="false">IF(Eingabe!A82="","",Eingabe!A82)</f>
        <v/>
      </c>
      <c r="B28" s="162"/>
      <c r="C28" s="162"/>
      <c r="D28" s="162"/>
      <c r="E28" s="163" t="str">
        <f aca="false">IF(Eingabe!B82="","",Eingabe!B82)</f>
        <v/>
      </c>
      <c r="F28" s="163"/>
      <c r="G28" s="163"/>
      <c r="H28" s="163"/>
      <c r="I28" s="164" t="str">
        <f aca="false">IF(Eingabe!C82="","",Eingabe!C82)</f>
        <v/>
      </c>
      <c r="J28" s="164"/>
      <c r="K28" s="164"/>
      <c r="L28" s="164"/>
      <c r="M28" s="160" t="str">
        <f aca="false">IF(Eingabe!D82&amp;""&amp;Eingabe!E82="","",Eingabe!D82&amp;" 
"&amp;Eingabe!E82)</f>
        <v/>
      </c>
      <c r="N28" s="160"/>
      <c r="O28" s="160"/>
      <c r="P28" s="160"/>
      <c r="Q28" s="160"/>
      <c r="R28" s="160"/>
      <c r="S28" s="160"/>
      <c r="T28" s="160"/>
      <c r="U28" s="160"/>
      <c r="V28" s="160"/>
      <c r="W28" s="160"/>
      <c r="X28" s="160"/>
      <c r="Y28" s="160"/>
      <c r="Z28" s="160"/>
      <c r="AA28" s="160"/>
      <c r="AB28" s="160"/>
      <c r="AC28" s="160"/>
      <c r="AD28" s="160"/>
      <c r="AE28" s="160"/>
      <c r="AF28" s="160"/>
      <c r="AG28" s="159" t="str">
        <f aca="false">IF(Eingabe!F82&amp;""&amp;Eingabe!G82="","",Eingabe!F82&amp;" 
"&amp;Eingabe!G82)</f>
        <v/>
      </c>
      <c r="AH28" s="159"/>
      <c r="AI28" s="159"/>
      <c r="AJ28" s="159"/>
      <c r="AK28" s="159"/>
      <c r="AL28" s="159"/>
      <c r="AM28" s="159"/>
      <c r="AN28" s="159"/>
      <c r="AO28" s="159"/>
      <c r="AP28" s="159"/>
      <c r="AQ28" s="159"/>
      <c r="AR28" s="159"/>
      <c r="AS28" s="159"/>
      <c r="AT28" s="159"/>
      <c r="AU28" s="159"/>
      <c r="AV28" s="159"/>
      <c r="AW28" s="159"/>
      <c r="AX28" s="164" t="str">
        <f aca="false">IF(Eingabe!H82="","",Eingabe!H82)</f>
        <v/>
      </c>
      <c r="AY28" s="164"/>
      <c r="AZ28" s="164"/>
      <c r="BA28" s="164"/>
      <c r="BB28" s="165" t="str">
        <f aca="false">IF(Eingabe!K82="","",Eingabe!K82)</f>
        <v/>
      </c>
      <c r="BC28" s="165"/>
      <c r="BD28" s="165"/>
      <c r="BE28" s="165"/>
      <c r="BF28" s="165"/>
      <c r="BG28" s="165"/>
      <c r="BH28" s="165"/>
      <c r="BI28" s="165"/>
      <c r="BJ28" s="165"/>
      <c r="BK28" s="165"/>
      <c r="BL28" s="165"/>
      <c r="BM28" s="165"/>
      <c r="BN28" s="165"/>
      <c r="BO28" s="155"/>
      <c r="BP28" s="155"/>
      <c r="BQ28" s="155"/>
      <c r="BR28" s="155"/>
      <c r="BS28" s="155"/>
      <c r="BT28" s="155"/>
      <c r="BU28" s="155"/>
      <c r="BV28" s="155"/>
      <c r="BW28" s="155"/>
      <c r="BX28" s="155"/>
      <c r="BY28" s="155"/>
      <c r="BZ28" s="155"/>
      <c r="CA28" s="155"/>
      <c r="CB28" s="155"/>
      <c r="CC28" s="155"/>
      <c r="CD28" s="155"/>
      <c r="CE28" s="155"/>
      <c r="CF28" s="155"/>
      <c r="CG28" s="155"/>
      <c r="CH28" s="155"/>
      <c r="CI28" s="155"/>
      <c r="CJ28" s="155"/>
      <c r="CK28" s="155"/>
      <c r="CL28" s="155"/>
      <c r="CM28" s="155"/>
      <c r="CN28" s="155"/>
      <c r="CO28" s="155"/>
      <c r="CP28" s="155"/>
      <c r="CQ28" s="155"/>
      <c r="CR28" s="155"/>
      <c r="CS28" s="155"/>
      <c r="CT28" s="155"/>
      <c r="CU28" s="155"/>
      <c r="CV28" s="155"/>
      <c r="CW28" s="155"/>
      <c r="CX28" s="155"/>
      <c r="CY28" s="155"/>
      <c r="CZ28" s="155"/>
      <c r="DA28" s="155"/>
      <c r="DB28" s="155"/>
      <c r="DC28" s="155"/>
      <c r="DD28" s="155"/>
      <c r="DE28" s="155"/>
      <c r="DF28" s="155"/>
      <c r="DG28" s="155"/>
      <c r="DH28" s="155"/>
      <c r="DI28" s="155"/>
      <c r="DJ28" s="155"/>
      <c r="DK28" s="155"/>
      <c r="DL28" s="155"/>
      <c r="DM28" s="155"/>
      <c r="DN28" s="155"/>
      <c r="DO28" s="155"/>
      <c r="DP28" s="155"/>
      <c r="DQ28" s="155"/>
      <c r="DR28" s="155"/>
      <c r="DS28" s="155"/>
      <c r="DT28" s="155"/>
      <c r="DU28" s="155"/>
      <c r="DV28" s="155"/>
      <c r="DW28" s="155"/>
      <c r="DX28" s="155"/>
      <c r="DY28" s="155"/>
      <c r="DZ28" s="155"/>
      <c r="EA28" s="155"/>
      <c r="EB28" s="155"/>
      <c r="EC28" s="155"/>
      <c r="ED28" s="155"/>
      <c r="EE28" s="155"/>
      <c r="EF28" s="155"/>
      <c r="EG28" s="155"/>
      <c r="EH28" s="155"/>
      <c r="EI28" s="155"/>
      <c r="EJ28" s="155"/>
      <c r="EK28" s="155"/>
      <c r="EL28" s="155"/>
      <c r="EM28" s="155"/>
      <c r="EN28" s="155"/>
      <c r="EO28" s="155"/>
      <c r="EP28" s="155"/>
      <c r="EQ28" s="155"/>
      <c r="ER28" s="155"/>
      <c r="ES28" s="155"/>
      <c r="ET28" s="155"/>
      <c r="EU28" s="155"/>
      <c r="EV28" s="155"/>
      <c r="EW28" s="155"/>
      <c r="EX28" s="155"/>
      <c r="EY28" s="155"/>
      <c r="EZ28" s="155"/>
      <c r="FA28" s="155"/>
      <c r="FB28" s="155"/>
      <c r="FC28" s="155"/>
      <c r="FD28" s="155"/>
      <c r="FE28" s="155"/>
      <c r="FF28" s="155"/>
      <c r="FG28" s="155"/>
      <c r="FH28" s="155"/>
      <c r="FI28" s="155"/>
      <c r="FJ28" s="155"/>
      <c r="FK28" s="155"/>
      <c r="FL28" s="155"/>
      <c r="FM28" s="155"/>
      <c r="FN28" s="155"/>
      <c r="FO28" s="155"/>
      <c r="FP28" s="155"/>
      <c r="FQ28" s="155"/>
      <c r="FR28" s="155"/>
      <c r="FS28" s="155"/>
      <c r="FT28" s="155"/>
      <c r="FU28" s="155"/>
      <c r="FV28" s="155"/>
      <c r="FW28" s="155"/>
      <c r="FX28" s="155"/>
      <c r="FY28" s="155"/>
      <c r="FZ28" s="155"/>
      <c r="GA28" s="155"/>
      <c r="GB28" s="155"/>
      <c r="GC28" s="155"/>
      <c r="GD28" s="155"/>
      <c r="GE28" s="155"/>
      <c r="GF28" s="155"/>
      <c r="GG28" s="155"/>
      <c r="GH28" s="155"/>
      <c r="GI28" s="155"/>
      <c r="GJ28" s="155"/>
      <c r="GK28" s="155"/>
      <c r="GL28" s="155"/>
      <c r="GM28" s="155"/>
      <c r="GN28" s="155"/>
      <c r="GO28" s="155"/>
      <c r="GP28" s="155"/>
      <c r="GQ28" s="155"/>
      <c r="GR28" s="155"/>
      <c r="GS28" s="155"/>
      <c r="GT28" s="155"/>
      <c r="GU28" s="155"/>
      <c r="GV28" s="155"/>
      <c r="GW28" s="155"/>
      <c r="GX28" s="155"/>
      <c r="GY28" s="155"/>
      <c r="GZ28" s="155"/>
      <c r="HA28" s="155"/>
      <c r="HB28" s="155"/>
      <c r="HC28" s="155"/>
      <c r="HD28" s="155"/>
      <c r="HE28" s="155"/>
      <c r="HF28" s="155"/>
      <c r="HG28" s="155"/>
      <c r="HH28" s="155"/>
      <c r="HI28" s="155"/>
      <c r="HJ28" s="155"/>
      <c r="HK28" s="155"/>
      <c r="HL28" s="155"/>
      <c r="HM28" s="155"/>
      <c r="HN28" s="155"/>
      <c r="HO28" s="155"/>
      <c r="HP28" s="155"/>
      <c r="HQ28" s="155"/>
      <c r="HR28" s="155"/>
      <c r="HS28" s="155"/>
      <c r="HT28" s="155"/>
      <c r="HU28" s="155"/>
      <c r="HV28" s="155"/>
      <c r="HW28" s="155"/>
      <c r="HX28" s="155"/>
      <c r="HY28" s="155"/>
      <c r="HZ28" s="155"/>
      <c r="IA28" s="155"/>
      <c r="IB28" s="155"/>
      <c r="IC28" s="155"/>
      <c r="ID28" s="155"/>
      <c r="IE28" s="155"/>
      <c r="IF28" s="155"/>
      <c r="IG28" s="155"/>
      <c r="IH28" s="155"/>
      <c r="II28" s="155"/>
      <c r="IJ28" s="155"/>
      <c r="IK28" s="155"/>
      <c r="IL28" s="155"/>
      <c r="IM28" s="155"/>
      <c r="IN28" s="155"/>
      <c r="IO28" s="155"/>
      <c r="IP28" s="155"/>
      <c r="IQ28" s="155"/>
      <c r="IR28" s="155"/>
      <c r="IS28" s="155"/>
      <c r="IT28" s="155"/>
      <c r="IU28" s="155"/>
      <c r="IV28" s="155"/>
    </row>
    <row r="29" customFormat="false" ht="10.5" hidden="false" customHeight="true" outlineLevel="0" collapsed="false">
      <c r="A29" s="166" t="s">
        <v>84</v>
      </c>
      <c r="B29" s="166"/>
      <c r="C29" s="166"/>
      <c r="D29" s="166"/>
      <c r="E29" s="166"/>
      <c r="F29" s="166"/>
      <c r="G29" s="166"/>
      <c r="H29" s="166"/>
      <c r="I29" s="166"/>
      <c r="J29" s="166"/>
      <c r="K29" s="166"/>
      <c r="L29" s="166"/>
      <c r="M29" s="166"/>
      <c r="N29" s="166"/>
      <c r="O29" s="166"/>
      <c r="P29" s="166"/>
      <c r="Q29" s="166"/>
      <c r="R29" s="166"/>
      <c r="S29" s="166"/>
      <c r="T29" s="166"/>
      <c r="U29" s="166"/>
      <c r="V29" s="166"/>
      <c r="W29" s="166" t="s">
        <v>85</v>
      </c>
      <c r="X29" s="166"/>
      <c r="Y29" s="166"/>
      <c r="Z29" s="166"/>
      <c r="AA29" s="166"/>
      <c r="AB29" s="166"/>
      <c r="AC29" s="166"/>
      <c r="AD29" s="166"/>
      <c r="AE29" s="166"/>
      <c r="AF29" s="166"/>
      <c r="AG29" s="166"/>
      <c r="AH29" s="166"/>
      <c r="AI29" s="166"/>
      <c r="AJ29" s="166"/>
      <c r="AK29" s="166"/>
      <c r="AL29" s="166"/>
      <c r="AM29" s="166"/>
      <c r="AN29" s="166"/>
      <c r="AO29" s="166"/>
      <c r="AP29" s="166"/>
      <c r="AQ29" s="166"/>
      <c r="AR29" s="166"/>
      <c r="AS29" s="166" t="s">
        <v>86</v>
      </c>
      <c r="AT29" s="166"/>
      <c r="AU29" s="166"/>
      <c r="AV29" s="166"/>
      <c r="AW29" s="166"/>
      <c r="AX29" s="166"/>
      <c r="AY29" s="166"/>
      <c r="AZ29" s="166"/>
      <c r="BA29" s="166"/>
      <c r="BB29" s="166" t="s">
        <v>87</v>
      </c>
      <c r="BC29" s="166"/>
      <c r="BD29" s="166"/>
      <c r="BE29" s="166"/>
      <c r="BF29" s="166"/>
      <c r="BG29" s="166"/>
      <c r="BH29" s="166"/>
      <c r="BI29" s="166"/>
      <c r="BJ29" s="166"/>
      <c r="BK29" s="166"/>
      <c r="BL29" s="166"/>
      <c r="BM29" s="166"/>
      <c r="BN29" s="166"/>
    </row>
    <row r="30" customFormat="false" ht="10.5" hidden="false" customHeight="true" outlineLevel="0" collapsed="false">
      <c r="A30" s="167" t="str">
        <f aca="false">IF(Eingabe!O2="","",Eingabe!O2)</f>
        <v/>
      </c>
      <c r="B30" s="167"/>
      <c r="C30" s="167"/>
      <c r="D30" s="167"/>
      <c r="E30" s="167"/>
      <c r="F30" s="167"/>
      <c r="G30" s="167"/>
      <c r="H30" s="167"/>
      <c r="I30" s="167"/>
      <c r="J30" s="167"/>
      <c r="K30" s="167"/>
      <c r="L30" s="167"/>
      <c r="M30" s="167"/>
      <c r="N30" s="167"/>
      <c r="O30" s="167"/>
      <c r="P30" s="167"/>
      <c r="Q30" s="167"/>
      <c r="R30" s="167"/>
      <c r="S30" s="167"/>
      <c r="T30" s="167"/>
      <c r="U30" s="167"/>
      <c r="V30" s="167"/>
      <c r="W30" s="168" t="str">
        <f aca="false">IF(Eingabe!E3="","",Eingabe!E3)</f>
        <v>Simon Grundner</v>
      </c>
      <c r="X30" s="168"/>
      <c r="Y30" s="168"/>
      <c r="Z30" s="168"/>
      <c r="AA30" s="168"/>
      <c r="AB30" s="168"/>
      <c r="AC30" s="168"/>
      <c r="AD30" s="168"/>
      <c r="AE30" s="168"/>
      <c r="AF30" s="168"/>
      <c r="AG30" s="168"/>
      <c r="AH30" s="168"/>
      <c r="AI30" s="168"/>
      <c r="AJ30" s="168"/>
      <c r="AK30" s="168"/>
      <c r="AL30" s="168"/>
      <c r="AM30" s="168"/>
      <c r="AN30" s="168"/>
      <c r="AO30" s="168"/>
      <c r="AP30" s="168"/>
      <c r="AQ30" s="168"/>
      <c r="AR30" s="168"/>
      <c r="AS30" s="169" t="str">
        <f aca="false">IF(Eingabe!I1="","",Eingabe!I1)</f>
        <v/>
      </c>
      <c r="AT30" s="169"/>
      <c r="AU30" s="169"/>
      <c r="AV30" s="169"/>
      <c r="AW30" s="169"/>
      <c r="AX30" s="169"/>
      <c r="AY30" s="169"/>
      <c r="AZ30" s="169"/>
      <c r="BA30" s="169"/>
      <c r="BB30" s="170" t="str">
        <f aca="false">IF(Eingabe!I2="","",Eingabe!I2)</f>
        <v>FR4</v>
      </c>
      <c r="BC30" s="170"/>
      <c r="BD30" s="170"/>
      <c r="BE30" s="170"/>
      <c r="BF30" s="170"/>
      <c r="BG30" s="170"/>
      <c r="BH30" s="170"/>
      <c r="BI30" s="170"/>
      <c r="BJ30" s="170"/>
      <c r="BK30" s="170"/>
      <c r="BL30" s="170"/>
      <c r="BM30" s="170"/>
      <c r="BN30" s="170"/>
    </row>
    <row r="31" customFormat="false" ht="10.5" hidden="false" customHeight="true" outlineLevel="0" collapsed="false">
      <c r="A31" s="167"/>
      <c r="B31" s="167"/>
      <c r="C31" s="167"/>
      <c r="D31" s="167"/>
      <c r="E31" s="167"/>
      <c r="F31" s="167"/>
      <c r="G31" s="167"/>
      <c r="H31" s="167"/>
      <c r="I31" s="167"/>
      <c r="J31" s="167"/>
      <c r="K31" s="167"/>
      <c r="L31" s="167"/>
      <c r="M31" s="167"/>
      <c r="N31" s="167"/>
      <c r="O31" s="167"/>
      <c r="P31" s="167"/>
      <c r="Q31" s="167"/>
      <c r="R31" s="167"/>
      <c r="S31" s="167"/>
      <c r="T31" s="167"/>
      <c r="U31" s="167"/>
      <c r="V31" s="167"/>
      <c r="W31" s="168"/>
      <c r="X31" s="168"/>
      <c r="Y31" s="168"/>
      <c r="Z31" s="168"/>
      <c r="AA31" s="168"/>
      <c r="AB31" s="168"/>
      <c r="AC31" s="168"/>
      <c r="AD31" s="168"/>
      <c r="AE31" s="168"/>
      <c r="AF31" s="168"/>
      <c r="AG31" s="168"/>
      <c r="AH31" s="168"/>
      <c r="AI31" s="168"/>
      <c r="AJ31" s="168"/>
      <c r="AK31" s="168"/>
      <c r="AL31" s="168"/>
      <c r="AM31" s="168"/>
      <c r="AN31" s="168"/>
      <c r="AO31" s="168"/>
      <c r="AP31" s="168"/>
      <c r="AQ31" s="168"/>
      <c r="AR31" s="168"/>
      <c r="AS31" s="169"/>
      <c r="AT31" s="169"/>
      <c r="AU31" s="169"/>
      <c r="AV31" s="169"/>
      <c r="AW31" s="169"/>
      <c r="AX31" s="169"/>
      <c r="AY31" s="169"/>
      <c r="AZ31" s="169"/>
      <c r="BA31" s="169"/>
      <c r="BB31" s="170"/>
      <c r="BC31" s="170"/>
      <c r="BD31" s="170"/>
      <c r="BE31" s="170"/>
      <c r="BF31" s="170"/>
      <c r="BG31" s="170"/>
      <c r="BH31" s="170"/>
      <c r="BI31" s="170"/>
      <c r="BJ31" s="170"/>
      <c r="BK31" s="170"/>
      <c r="BL31" s="170"/>
      <c r="BM31" s="170"/>
      <c r="BN31" s="170"/>
    </row>
    <row r="32" customFormat="false" ht="10.5" hidden="false" customHeight="true" outlineLevel="0" collapsed="false">
      <c r="A32" s="171"/>
      <c r="B32" s="171"/>
      <c r="C32" s="171"/>
      <c r="D32" s="171"/>
      <c r="E32" s="171"/>
      <c r="F32" s="171"/>
      <c r="G32" s="171"/>
      <c r="H32" s="171"/>
      <c r="I32" s="171"/>
      <c r="J32" s="171"/>
      <c r="K32" s="171"/>
      <c r="L32" s="171"/>
      <c r="M32" s="171"/>
      <c r="N32" s="171"/>
      <c r="O32" s="171"/>
      <c r="P32" s="171"/>
      <c r="Q32" s="171"/>
      <c r="R32" s="171"/>
      <c r="S32" s="171"/>
      <c r="T32" s="171"/>
      <c r="U32" s="171"/>
      <c r="V32" s="171"/>
      <c r="W32" s="166" t="s">
        <v>88</v>
      </c>
      <c r="X32" s="166"/>
      <c r="Y32" s="166"/>
      <c r="Z32" s="166"/>
      <c r="AA32" s="166"/>
      <c r="AB32" s="166"/>
      <c r="AC32" s="166"/>
      <c r="AD32" s="166"/>
      <c r="AE32" s="166"/>
      <c r="AF32" s="166"/>
      <c r="AG32" s="166" t="s">
        <v>89</v>
      </c>
      <c r="AH32" s="166"/>
      <c r="AI32" s="166"/>
      <c r="AJ32" s="166"/>
      <c r="AK32" s="166" t="s">
        <v>90</v>
      </c>
      <c r="AL32" s="166"/>
      <c r="AM32" s="166"/>
      <c r="AN32" s="166"/>
      <c r="AO32" s="166" t="s">
        <v>91</v>
      </c>
      <c r="AP32" s="166"/>
      <c r="AQ32" s="166"/>
      <c r="AR32" s="166"/>
      <c r="AS32" s="172" t="s">
        <v>92</v>
      </c>
      <c r="AT32" s="172"/>
      <c r="AU32" s="172"/>
      <c r="AV32" s="172"/>
      <c r="AW32" s="172"/>
      <c r="AX32" s="172"/>
      <c r="AY32" s="172"/>
      <c r="AZ32" s="172"/>
      <c r="BA32" s="172"/>
      <c r="BB32" s="172"/>
      <c r="BC32" s="172"/>
      <c r="BD32" s="172"/>
      <c r="BE32" s="172"/>
      <c r="BF32" s="172"/>
      <c r="BG32" s="172"/>
      <c r="BH32" s="172"/>
      <c r="BI32" s="166" t="s">
        <v>93</v>
      </c>
      <c r="BJ32" s="166"/>
      <c r="BK32" s="166"/>
      <c r="BL32" s="166"/>
      <c r="BM32" s="166"/>
      <c r="BN32" s="166"/>
    </row>
    <row r="33" customFormat="false" ht="10.5" hidden="false" customHeight="true" outlineLevel="0" collapsed="false">
      <c r="A33" s="171"/>
      <c r="B33" s="171"/>
      <c r="C33" s="171"/>
      <c r="D33" s="171"/>
      <c r="E33" s="171"/>
      <c r="F33" s="171"/>
      <c r="G33" s="171"/>
      <c r="H33" s="171"/>
      <c r="I33" s="171"/>
      <c r="J33" s="171"/>
      <c r="K33" s="171"/>
      <c r="L33" s="171"/>
      <c r="M33" s="171"/>
      <c r="N33" s="171"/>
      <c r="O33" s="171"/>
      <c r="P33" s="171"/>
      <c r="Q33" s="171"/>
      <c r="R33" s="171"/>
      <c r="S33" s="171"/>
      <c r="T33" s="171"/>
      <c r="U33" s="171"/>
      <c r="V33" s="171"/>
      <c r="W33" s="167" t="str">
        <f aca="false">IF(CONCATENATE(Eingabe!E1," ", Eingabe!E2)="","",CONCATENATE(Eingabe!E1," ", Eingabe!E2))</f>
        <v> </v>
      </c>
      <c r="X33" s="167"/>
      <c r="Y33" s="167"/>
      <c r="Z33" s="167"/>
      <c r="AA33" s="167"/>
      <c r="AB33" s="167"/>
      <c r="AC33" s="167"/>
      <c r="AD33" s="167"/>
      <c r="AE33" s="167"/>
      <c r="AF33" s="167"/>
      <c r="AG33" s="167" t="str">
        <f aca="false">IF(Eingabe!E4="","",Eingabe!E4)</f>
        <v>GruS</v>
      </c>
      <c r="AH33" s="167"/>
      <c r="AI33" s="167"/>
      <c r="AJ33" s="167"/>
      <c r="AK33" s="173" t="str">
        <f aca="false">IF(Eingabe!I3="","",Eingabe!I3)</f>
        <v/>
      </c>
      <c r="AL33" s="173"/>
      <c r="AM33" s="173"/>
      <c r="AN33" s="173"/>
      <c r="AO33" s="173" t="str">
        <f aca="false">IF(Eingabe!I4="","",Eingabe!I4)</f>
        <v/>
      </c>
      <c r="AP33" s="173"/>
      <c r="AQ33" s="173"/>
      <c r="AR33" s="173"/>
      <c r="AS33" s="174" t="str">
        <f aca="false">IF(Eingabe!L1="","",Eingabe!L1)</f>
        <v>Stückliste</v>
      </c>
      <c r="AT33" s="174"/>
      <c r="AU33" s="174"/>
      <c r="AV33" s="174"/>
      <c r="AW33" s="174"/>
      <c r="AX33" s="174"/>
      <c r="AY33" s="174"/>
      <c r="AZ33" s="174"/>
      <c r="BA33" s="174"/>
      <c r="BB33" s="174"/>
      <c r="BC33" s="174"/>
      <c r="BD33" s="174"/>
      <c r="BE33" s="174"/>
      <c r="BF33" s="174"/>
      <c r="BG33" s="174"/>
      <c r="BH33" s="174"/>
      <c r="BI33" s="167" t="str">
        <f aca="false">IF(Eingabe!I5="","",Eingabe!I5)</f>
        <v/>
      </c>
      <c r="BJ33" s="167"/>
      <c r="BK33" s="167"/>
      <c r="BL33" s="167"/>
      <c r="BM33" s="167"/>
      <c r="BN33" s="167"/>
    </row>
    <row r="34" customFormat="false" ht="10.5" hidden="false" customHeight="true" outlineLevel="0" collapsed="false">
      <c r="A34" s="171"/>
      <c r="B34" s="171"/>
      <c r="C34" s="171"/>
      <c r="D34" s="171"/>
      <c r="E34" s="171"/>
      <c r="F34" s="171"/>
      <c r="G34" s="171"/>
      <c r="H34" s="171"/>
      <c r="I34" s="171"/>
      <c r="J34" s="171"/>
      <c r="K34" s="171"/>
      <c r="L34" s="171"/>
      <c r="M34" s="171"/>
      <c r="N34" s="171"/>
      <c r="O34" s="171"/>
      <c r="P34" s="171"/>
      <c r="Q34" s="171"/>
      <c r="R34" s="171"/>
      <c r="S34" s="171"/>
      <c r="T34" s="171"/>
      <c r="U34" s="171"/>
      <c r="V34" s="171"/>
      <c r="W34" s="167"/>
      <c r="X34" s="167"/>
      <c r="Y34" s="167"/>
      <c r="Z34" s="167"/>
      <c r="AA34" s="167"/>
      <c r="AB34" s="167"/>
      <c r="AC34" s="167"/>
      <c r="AD34" s="167"/>
      <c r="AE34" s="167"/>
      <c r="AF34" s="167"/>
      <c r="AG34" s="167"/>
      <c r="AH34" s="167"/>
      <c r="AI34" s="167"/>
      <c r="AJ34" s="167"/>
      <c r="AK34" s="173"/>
      <c r="AL34" s="173"/>
      <c r="AM34" s="173"/>
      <c r="AN34" s="173"/>
      <c r="AO34" s="173"/>
      <c r="AP34" s="173"/>
      <c r="AQ34" s="173"/>
      <c r="AR34" s="173"/>
      <c r="AS34" s="174"/>
      <c r="AT34" s="174"/>
      <c r="AU34" s="174"/>
      <c r="AV34" s="174"/>
      <c r="AW34" s="174"/>
      <c r="AX34" s="174"/>
      <c r="AY34" s="174"/>
      <c r="AZ34" s="174"/>
      <c r="BA34" s="174"/>
      <c r="BB34" s="174"/>
      <c r="BC34" s="174"/>
      <c r="BD34" s="174"/>
      <c r="BE34" s="174"/>
      <c r="BF34" s="174"/>
      <c r="BG34" s="174"/>
      <c r="BH34" s="174"/>
      <c r="BI34" s="167"/>
      <c r="BJ34" s="167"/>
      <c r="BK34" s="167"/>
      <c r="BL34" s="167"/>
      <c r="BM34" s="167"/>
      <c r="BN34" s="167"/>
    </row>
    <row r="35" customFormat="false" ht="10.5" hidden="false" customHeight="true" outlineLevel="0" collapsed="false">
      <c r="A35" s="171"/>
      <c r="B35" s="171"/>
      <c r="C35" s="171"/>
      <c r="D35" s="171"/>
      <c r="E35" s="171"/>
      <c r="F35" s="171"/>
      <c r="G35" s="171"/>
      <c r="H35" s="171"/>
      <c r="I35" s="171"/>
      <c r="J35" s="171"/>
      <c r="K35" s="171"/>
      <c r="L35" s="171"/>
      <c r="M35" s="171"/>
      <c r="N35" s="171"/>
      <c r="O35" s="171"/>
      <c r="P35" s="171"/>
      <c r="Q35" s="171"/>
      <c r="R35" s="171"/>
      <c r="S35" s="171"/>
      <c r="T35" s="171"/>
      <c r="U35" s="171"/>
      <c r="V35" s="171"/>
      <c r="W35" s="166" t="s">
        <v>94</v>
      </c>
      <c r="X35" s="166"/>
      <c r="Y35" s="166"/>
      <c r="Z35" s="166"/>
      <c r="AA35" s="166"/>
      <c r="AB35" s="166"/>
      <c r="AC35" s="166"/>
      <c r="AD35" s="166"/>
      <c r="AE35" s="166"/>
      <c r="AF35" s="166"/>
      <c r="AG35" s="166"/>
      <c r="AH35" s="166"/>
      <c r="AI35" s="166"/>
      <c r="AJ35" s="166"/>
      <c r="AK35" s="166"/>
      <c r="AL35" s="166"/>
      <c r="AM35" s="166"/>
      <c r="AN35" s="166"/>
      <c r="AO35" s="166"/>
      <c r="AP35" s="166"/>
      <c r="AQ35" s="166"/>
      <c r="AR35" s="166"/>
      <c r="AS35" s="166" t="s">
        <v>95</v>
      </c>
      <c r="AT35" s="166"/>
      <c r="AU35" s="166"/>
      <c r="AV35" s="166"/>
      <c r="AW35" s="166"/>
      <c r="AX35" s="166"/>
      <c r="AY35" s="166"/>
      <c r="AZ35" s="166" t="s">
        <v>96</v>
      </c>
      <c r="BA35" s="166"/>
      <c r="BB35" s="166"/>
      <c r="BC35" s="166"/>
      <c r="BD35" s="166"/>
      <c r="BE35" s="166" t="s">
        <v>97</v>
      </c>
      <c r="BF35" s="166"/>
      <c r="BG35" s="166"/>
      <c r="BH35" s="166"/>
      <c r="BI35" s="166"/>
      <c r="BJ35" s="166"/>
      <c r="BK35" s="166"/>
      <c r="BL35" s="166"/>
      <c r="BM35" s="166"/>
      <c r="BN35" s="166"/>
    </row>
    <row r="36" customFormat="false" ht="10.5" hidden="false" customHeight="true" outlineLevel="0" collapsed="false">
      <c r="A36" s="171"/>
      <c r="B36" s="171"/>
      <c r="C36" s="171"/>
      <c r="D36" s="171"/>
      <c r="E36" s="171"/>
      <c r="F36" s="171"/>
      <c r="G36" s="171"/>
      <c r="H36" s="171"/>
      <c r="I36" s="171"/>
      <c r="J36" s="171"/>
      <c r="K36" s="171"/>
      <c r="L36" s="171"/>
      <c r="M36" s="171"/>
      <c r="N36" s="171"/>
      <c r="O36" s="171"/>
      <c r="P36" s="171"/>
      <c r="Q36" s="171"/>
      <c r="R36" s="171"/>
      <c r="S36" s="171"/>
      <c r="T36" s="171"/>
      <c r="U36" s="171"/>
      <c r="V36" s="171"/>
      <c r="W36" s="175" t="str">
        <f aca="false">IF(Eingabe!E5="","",Eingabe!E5)</f>
        <v>TOTEM - Bluetooth</v>
      </c>
      <c r="X36" s="175"/>
      <c r="Y36" s="175"/>
      <c r="Z36" s="175"/>
      <c r="AA36" s="175"/>
      <c r="AB36" s="175"/>
      <c r="AC36" s="175"/>
      <c r="AD36" s="175"/>
      <c r="AE36" s="175"/>
      <c r="AF36" s="175"/>
      <c r="AG36" s="175"/>
      <c r="AH36" s="175"/>
      <c r="AI36" s="175"/>
      <c r="AJ36" s="175"/>
      <c r="AK36" s="175"/>
      <c r="AL36" s="175"/>
      <c r="AM36" s="175"/>
      <c r="AN36" s="175"/>
      <c r="AO36" s="175"/>
      <c r="AP36" s="175"/>
      <c r="AQ36" s="175"/>
      <c r="AR36" s="175"/>
      <c r="AS36" s="170" t="str">
        <f aca="false">IF(Eingabe!L3="","",Eingabe!L3)</f>
        <v>1.0</v>
      </c>
      <c r="AT36" s="170"/>
      <c r="AU36" s="170"/>
      <c r="AV36" s="170"/>
      <c r="AW36" s="170"/>
      <c r="AX36" s="170"/>
      <c r="AY36" s="170"/>
      <c r="AZ36" s="170" t="str">
        <f aca="false">IF(Eingabe!L4="","",Eingabe!L4)</f>
        <v>1</v>
      </c>
      <c r="BA36" s="170"/>
      <c r="BB36" s="170"/>
      <c r="BC36" s="170"/>
      <c r="BD36" s="170"/>
      <c r="BE36" s="174" t="str">
        <f aca="false">IF(Eingabe!L5="","",Eingabe!L5)</f>
        <v>Fertigung</v>
      </c>
      <c r="BF36" s="174"/>
      <c r="BG36" s="174"/>
      <c r="BH36" s="174"/>
      <c r="BI36" s="174"/>
      <c r="BJ36" s="174"/>
      <c r="BK36" s="174"/>
      <c r="BL36" s="174"/>
      <c r="BM36" s="174"/>
      <c r="BN36" s="174"/>
    </row>
    <row r="37" customFormat="false" ht="10.5" hidden="false" customHeight="true" outlineLevel="0" collapsed="false">
      <c r="A37" s="176" t="s">
        <v>98</v>
      </c>
      <c r="B37" s="176"/>
      <c r="C37" s="176"/>
      <c r="D37" s="176"/>
      <c r="E37" s="176"/>
      <c r="F37" s="176"/>
      <c r="G37" s="176"/>
      <c r="H37" s="176"/>
      <c r="I37" s="176"/>
      <c r="J37" s="176"/>
      <c r="K37" s="176"/>
      <c r="L37" s="176"/>
      <c r="M37" s="176"/>
      <c r="N37" s="176"/>
      <c r="O37" s="176"/>
      <c r="P37" s="176"/>
      <c r="Q37" s="176"/>
      <c r="R37" s="176"/>
      <c r="S37" s="176"/>
      <c r="T37" s="176"/>
      <c r="U37" s="176"/>
      <c r="V37" s="176"/>
      <c r="W37" s="175"/>
      <c r="X37" s="175"/>
      <c r="Y37" s="175"/>
      <c r="Z37" s="175"/>
      <c r="AA37" s="175"/>
      <c r="AB37" s="175"/>
      <c r="AC37" s="175"/>
      <c r="AD37" s="175"/>
      <c r="AE37" s="175"/>
      <c r="AF37" s="175"/>
      <c r="AG37" s="175"/>
      <c r="AH37" s="175"/>
      <c r="AI37" s="175"/>
      <c r="AJ37" s="175"/>
      <c r="AK37" s="175"/>
      <c r="AL37" s="175"/>
      <c r="AM37" s="175"/>
      <c r="AN37" s="175"/>
      <c r="AO37" s="175"/>
      <c r="AP37" s="175"/>
      <c r="AQ37" s="175"/>
      <c r="AR37" s="175"/>
      <c r="AS37" s="170"/>
      <c r="AT37" s="170"/>
      <c r="AU37" s="170"/>
      <c r="AV37" s="170"/>
      <c r="AW37" s="170"/>
      <c r="AX37" s="170"/>
      <c r="AY37" s="170"/>
      <c r="AZ37" s="170"/>
      <c r="BA37" s="170"/>
      <c r="BB37" s="170"/>
      <c r="BC37" s="170"/>
      <c r="BD37" s="170"/>
      <c r="BE37" s="174"/>
      <c r="BF37" s="174"/>
      <c r="BG37" s="174"/>
      <c r="BH37" s="174"/>
      <c r="BI37" s="174"/>
      <c r="BJ37" s="174"/>
      <c r="BK37" s="174"/>
      <c r="BL37" s="174"/>
      <c r="BM37" s="174"/>
      <c r="BN37" s="174"/>
    </row>
    <row r="38" customFormat="false" ht="10.5" hidden="false" customHeight="true" outlineLevel="0" collapsed="false">
      <c r="A38" s="176"/>
      <c r="B38" s="176"/>
      <c r="C38" s="176"/>
      <c r="D38" s="176"/>
      <c r="E38" s="176"/>
      <c r="F38" s="176"/>
      <c r="G38" s="176"/>
      <c r="H38" s="176"/>
      <c r="I38" s="176"/>
      <c r="J38" s="176"/>
      <c r="K38" s="176"/>
      <c r="L38" s="176"/>
      <c r="M38" s="176"/>
      <c r="N38" s="176"/>
      <c r="O38" s="176"/>
      <c r="P38" s="176"/>
      <c r="Q38" s="176"/>
      <c r="R38" s="176"/>
      <c r="S38" s="176"/>
      <c r="T38" s="176"/>
      <c r="U38" s="176"/>
      <c r="V38" s="176"/>
      <c r="W38" s="175"/>
      <c r="X38" s="175"/>
      <c r="Y38" s="175"/>
      <c r="Z38" s="175"/>
      <c r="AA38" s="175"/>
      <c r="AB38" s="175"/>
      <c r="AC38" s="175"/>
      <c r="AD38" s="175"/>
      <c r="AE38" s="175"/>
      <c r="AF38" s="175"/>
      <c r="AG38" s="175"/>
      <c r="AH38" s="175"/>
      <c r="AI38" s="175"/>
      <c r="AJ38" s="175"/>
      <c r="AK38" s="175"/>
      <c r="AL38" s="175"/>
      <c r="AM38" s="175"/>
      <c r="AN38" s="175"/>
      <c r="AO38" s="175"/>
      <c r="AP38" s="175"/>
      <c r="AQ38" s="175"/>
      <c r="AR38" s="175"/>
      <c r="AS38" s="177" t="s">
        <v>99</v>
      </c>
      <c r="AT38" s="177"/>
      <c r="AU38" s="177"/>
      <c r="AV38" s="177"/>
      <c r="AW38" s="178" t="s">
        <v>100</v>
      </c>
      <c r="AX38" s="178"/>
      <c r="AY38" s="178"/>
      <c r="AZ38" s="166" t="s">
        <v>101</v>
      </c>
      <c r="BA38" s="166"/>
      <c r="BB38" s="166"/>
      <c r="BC38" s="166"/>
      <c r="BD38" s="166"/>
      <c r="BE38" s="166"/>
      <c r="BF38" s="166"/>
      <c r="BG38" s="166"/>
      <c r="BH38" s="166"/>
      <c r="BI38" s="166" t="s">
        <v>102</v>
      </c>
      <c r="BJ38" s="166"/>
      <c r="BK38" s="166"/>
      <c r="BL38" s="179" t="s">
        <v>103</v>
      </c>
      <c r="BM38" s="180"/>
      <c r="BN38" s="181"/>
    </row>
    <row r="39" customFormat="false" ht="10.5" hidden="false" customHeight="true" outlineLevel="0" collapsed="false">
      <c r="A39" s="182" t="str">
        <f aca="false">IF(Eingabe!M6="","",Eingabe!M6)</f>
        <v>Technische Informatik</v>
      </c>
      <c r="B39" s="182"/>
      <c r="C39" s="182"/>
      <c r="D39" s="182"/>
      <c r="E39" s="182"/>
      <c r="F39" s="182"/>
      <c r="G39" s="182"/>
      <c r="H39" s="182"/>
      <c r="I39" s="182"/>
      <c r="J39" s="182"/>
      <c r="K39" s="182"/>
      <c r="L39" s="182"/>
      <c r="M39" s="182"/>
      <c r="N39" s="182"/>
      <c r="O39" s="182"/>
      <c r="P39" s="182"/>
      <c r="Q39" s="182"/>
      <c r="R39" s="182"/>
      <c r="S39" s="182"/>
      <c r="T39" s="182"/>
      <c r="U39" s="182"/>
      <c r="V39" s="182"/>
      <c r="W39" s="174" t="str">
        <f aca="false">IF(Eingabe!E6="","",Eingabe!E6)</f>
        <v>40 Key Split Ergomech KB</v>
      </c>
      <c r="X39" s="174"/>
      <c r="Y39" s="174"/>
      <c r="Z39" s="174"/>
      <c r="AA39" s="174"/>
      <c r="AB39" s="174"/>
      <c r="AC39" s="174"/>
      <c r="AD39" s="174"/>
      <c r="AE39" s="174"/>
      <c r="AF39" s="174"/>
      <c r="AG39" s="174"/>
      <c r="AH39" s="174"/>
      <c r="AI39" s="174"/>
      <c r="AJ39" s="174"/>
      <c r="AK39" s="174"/>
      <c r="AL39" s="174"/>
      <c r="AM39" s="174"/>
      <c r="AN39" s="174"/>
      <c r="AO39" s="174"/>
      <c r="AP39" s="174"/>
      <c r="AQ39" s="174"/>
      <c r="AR39" s="174"/>
      <c r="AS39" s="173" t="str">
        <f aca="false">IF(Eingabe!L6="","",Eingabe!L6)</f>
        <v>ohne</v>
      </c>
      <c r="AT39" s="173"/>
      <c r="AU39" s="173"/>
      <c r="AV39" s="173"/>
      <c r="AW39" s="183" t="str">
        <f aca="false">IF(Eingabe!I6="","",Eingabe!I6)</f>
        <v>DE</v>
      </c>
      <c r="AX39" s="183"/>
      <c r="AY39" s="183"/>
      <c r="AZ39" s="184" t="n">
        <f aca="false">IF(Eingabe!L2="","",Eingabe!L2)</f>
        <v>45824</v>
      </c>
      <c r="BA39" s="184"/>
      <c r="BB39" s="184"/>
      <c r="BC39" s="184"/>
      <c r="BD39" s="184"/>
      <c r="BE39" s="184"/>
      <c r="BF39" s="184"/>
      <c r="BG39" s="184"/>
      <c r="BH39" s="184"/>
      <c r="BI39" s="173" t="n">
        <v>3</v>
      </c>
      <c r="BJ39" s="173"/>
      <c r="BK39" s="173"/>
      <c r="BL39" s="173" t="n">
        <f aca="false">(5-(IF(Eingabe!$C$33="","1","0"))-(IF(Eingabe!$C$58="","1","0"))-(IF(Eingabe!$C$83="","1","0"))-(IF(Eingabe!$C$108="","1","0")))</f>
        <v>1</v>
      </c>
      <c r="BM39" s="173"/>
      <c r="BN39" s="173"/>
    </row>
    <row r="40" customFormat="false" ht="10.5" hidden="false" customHeight="true" outlineLevel="0" collapsed="false">
      <c r="A40" s="182"/>
      <c r="B40" s="182"/>
      <c r="C40" s="182"/>
      <c r="D40" s="182"/>
      <c r="E40" s="182"/>
      <c r="F40" s="182"/>
      <c r="G40" s="182"/>
      <c r="H40" s="182"/>
      <c r="I40" s="182"/>
      <c r="J40" s="182"/>
      <c r="K40" s="182"/>
      <c r="L40" s="182"/>
      <c r="M40" s="182"/>
      <c r="N40" s="182"/>
      <c r="O40" s="182"/>
      <c r="P40" s="182"/>
      <c r="Q40" s="182"/>
      <c r="R40" s="182"/>
      <c r="S40" s="182"/>
      <c r="T40" s="182"/>
      <c r="U40" s="182"/>
      <c r="V40" s="182"/>
      <c r="W40" s="174"/>
      <c r="X40" s="174"/>
      <c r="Y40" s="174"/>
      <c r="Z40" s="174"/>
      <c r="AA40" s="174"/>
      <c r="AB40" s="174"/>
      <c r="AC40" s="174"/>
      <c r="AD40" s="174"/>
      <c r="AE40" s="174"/>
      <c r="AF40" s="174"/>
      <c r="AG40" s="174"/>
      <c r="AH40" s="174"/>
      <c r="AI40" s="174"/>
      <c r="AJ40" s="174"/>
      <c r="AK40" s="174"/>
      <c r="AL40" s="174"/>
      <c r="AM40" s="174"/>
      <c r="AN40" s="174"/>
      <c r="AO40" s="174"/>
      <c r="AP40" s="174"/>
      <c r="AQ40" s="174"/>
      <c r="AR40" s="174"/>
      <c r="AS40" s="173"/>
      <c r="AT40" s="173"/>
      <c r="AU40" s="173"/>
      <c r="AV40" s="173"/>
      <c r="AW40" s="183"/>
      <c r="AX40" s="183"/>
      <c r="AY40" s="183"/>
      <c r="AZ40" s="184"/>
      <c r="BA40" s="184"/>
      <c r="BB40" s="184"/>
      <c r="BC40" s="184"/>
      <c r="BD40" s="184"/>
      <c r="BE40" s="184"/>
      <c r="BF40" s="184"/>
      <c r="BG40" s="184"/>
      <c r="BH40" s="184"/>
      <c r="BI40" s="173"/>
      <c r="BJ40" s="173"/>
      <c r="BK40" s="173"/>
      <c r="BL40" s="173"/>
      <c r="BM40" s="173"/>
      <c r="BN40" s="173"/>
    </row>
    <row r="41" customFormat="false" ht="14.25" hidden="false" customHeight="false" outlineLevel="0" collapsed="false">
      <c r="A41" s="185"/>
      <c r="B41" s="185"/>
      <c r="C41" s="185"/>
      <c r="D41" s="185"/>
      <c r="E41" s="185"/>
      <c r="F41" s="185"/>
      <c r="G41" s="185"/>
      <c r="H41" s="185"/>
      <c r="I41" s="185"/>
      <c r="J41" s="185"/>
      <c r="K41" s="185"/>
      <c r="L41" s="185"/>
      <c r="M41" s="185"/>
      <c r="N41" s="185"/>
      <c r="O41" s="185"/>
      <c r="P41" s="185"/>
      <c r="Q41" s="185"/>
      <c r="R41" s="185"/>
      <c r="S41" s="185"/>
      <c r="T41" s="185"/>
      <c r="U41" s="185"/>
      <c r="V41" s="185"/>
      <c r="W41" s="185"/>
      <c r="X41" s="185"/>
      <c r="Y41" s="185"/>
      <c r="Z41" s="185"/>
      <c r="AA41" s="185"/>
      <c r="AB41" s="185"/>
      <c r="AC41" s="185"/>
      <c r="AD41" s="185"/>
      <c r="AE41" s="185"/>
      <c r="AF41" s="185"/>
      <c r="AG41" s="185"/>
      <c r="AH41" s="185"/>
      <c r="AI41" s="185"/>
      <c r="AJ41" s="185"/>
      <c r="AK41" s="185"/>
      <c r="AL41" s="185"/>
      <c r="AM41" s="185"/>
      <c r="AN41" s="185"/>
      <c r="AO41" s="185"/>
      <c r="AP41" s="185"/>
      <c r="AQ41" s="185"/>
      <c r="AR41" s="185"/>
      <c r="AS41" s="185"/>
      <c r="AT41" s="185"/>
      <c r="AU41" s="185"/>
      <c r="AV41" s="185"/>
      <c r="AW41" s="185"/>
      <c r="AX41" s="185"/>
      <c r="AY41" s="185"/>
      <c r="AZ41" s="185"/>
      <c r="BA41" s="185"/>
      <c r="BB41" s="185"/>
      <c r="BC41" s="185"/>
      <c r="BD41" s="185"/>
      <c r="BE41" s="185"/>
      <c r="BF41" s="185"/>
      <c r="BG41" s="185"/>
      <c r="BH41" s="185"/>
      <c r="BI41" s="185"/>
      <c r="BJ41" s="185"/>
      <c r="BK41" s="185"/>
      <c r="BL41" s="185"/>
      <c r="BM41" s="185"/>
      <c r="BN41" s="185"/>
    </row>
  </sheetData>
  <sheetProtection sheet="true" objects="true" scenarios="true" selectLockedCells="true"/>
  <mergeCells count="230">
    <mergeCell ref="A1:D1"/>
    <mergeCell ref="E1:H1"/>
    <mergeCell ref="I1:L1"/>
    <mergeCell ref="M1:AF1"/>
    <mergeCell ref="AG1:AW1"/>
    <mergeCell ref="AX1:BA1"/>
    <mergeCell ref="BB1:BN1"/>
    <mergeCell ref="A2:D3"/>
    <mergeCell ref="E2:H3"/>
    <mergeCell ref="I2:L3"/>
    <mergeCell ref="M2:AF3"/>
    <mergeCell ref="AG2:AW3"/>
    <mergeCell ref="AX2:BA3"/>
    <mergeCell ref="BB2:BN3"/>
    <mergeCell ref="A4:D4"/>
    <mergeCell ref="E4:H4"/>
    <mergeCell ref="I4:L4"/>
    <mergeCell ref="M4:AF4"/>
    <mergeCell ref="AG4:AW4"/>
    <mergeCell ref="AX4:BA4"/>
    <mergeCell ref="BB4:BN4"/>
    <mergeCell ref="A5:D5"/>
    <mergeCell ref="E5:H5"/>
    <mergeCell ref="I5:L5"/>
    <mergeCell ref="M5:AF5"/>
    <mergeCell ref="AG5:AW5"/>
    <mergeCell ref="AX5:BA5"/>
    <mergeCell ref="BB5:BN5"/>
    <mergeCell ref="A6:D6"/>
    <mergeCell ref="E6:H6"/>
    <mergeCell ref="I6:L6"/>
    <mergeCell ref="M6:AF6"/>
    <mergeCell ref="AG6:AW6"/>
    <mergeCell ref="AX6:BA6"/>
    <mergeCell ref="BB6:BN6"/>
    <mergeCell ref="A7:D7"/>
    <mergeCell ref="E7:H7"/>
    <mergeCell ref="I7:L7"/>
    <mergeCell ref="M7:AF7"/>
    <mergeCell ref="AG7:AW7"/>
    <mergeCell ref="AX7:BA7"/>
    <mergeCell ref="BB7:BN7"/>
    <mergeCell ref="A8:D8"/>
    <mergeCell ref="E8:H8"/>
    <mergeCell ref="I8:L8"/>
    <mergeCell ref="M8:AF8"/>
    <mergeCell ref="AG8:AW8"/>
    <mergeCell ref="AX8:BA8"/>
    <mergeCell ref="BB8:BN8"/>
    <mergeCell ref="A9:D9"/>
    <mergeCell ref="E9:H9"/>
    <mergeCell ref="I9:L9"/>
    <mergeCell ref="M9:AF9"/>
    <mergeCell ref="AG9:AW9"/>
    <mergeCell ref="AX9:BA9"/>
    <mergeCell ref="BB9:BN9"/>
    <mergeCell ref="A10:D10"/>
    <mergeCell ref="E10:H10"/>
    <mergeCell ref="I10:L10"/>
    <mergeCell ref="M10:AF10"/>
    <mergeCell ref="AG10:AW10"/>
    <mergeCell ref="AX10:BA10"/>
    <mergeCell ref="BB10:BN10"/>
    <mergeCell ref="A11:D11"/>
    <mergeCell ref="E11:H11"/>
    <mergeCell ref="I11:L11"/>
    <mergeCell ref="M11:AF11"/>
    <mergeCell ref="AG11:AW11"/>
    <mergeCell ref="AX11:BA11"/>
    <mergeCell ref="BB11:BN11"/>
    <mergeCell ref="A12:D12"/>
    <mergeCell ref="E12:H12"/>
    <mergeCell ref="I12:L12"/>
    <mergeCell ref="M12:AF12"/>
    <mergeCell ref="AG12:AW12"/>
    <mergeCell ref="AX12:BA12"/>
    <mergeCell ref="BB12:BN12"/>
    <mergeCell ref="A13:D13"/>
    <mergeCell ref="E13:H13"/>
    <mergeCell ref="I13:L13"/>
    <mergeCell ref="M13:AF13"/>
    <mergeCell ref="AG13:AW13"/>
    <mergeCell ref="AX13:BA13"/>
    <mergeCell ref="BB13:BN13"/>
    <mergeCell ref="A14:D14"/>
    <mergeCell ref="E14:H14"/>
    <mergeCell ref="I14:L14"/>
    <mergeCell ref="M14:AF14"/>
    <mergeCell ref="AG14:AW14"/>
    <mergeCell ref="AX14:BA14"/>
    <mergeCell ref="BB14:BN14"/>
    <mergeCell ref="A15:D15"/>
    <mergeCell ref="E15:H15"/>
    <mergeCell ref="I15:L15"/>
    <mergeCell ref="M15:AF15"/>
    <mergeCell ref="AG15:AW15"/>
    <mergeCell ref="AX15:BA15"/>
    <mergeCell ref="BB15:BN15"/>
    <mergeCell ref="A16:D16"/>
    <mergeCell ref="E16:H16"/>
    <mergeCell ref="I16:L16"/>
    <mergeCell ref="M16:AF16"/>
    <mergeCell ref="AG16:AW16"/>
    <mergeCell ref="AX16:BA16"/>
    <mergeCell ref="BB16:BN16"/>
    <mergeCell ref="A17:D17"/>
    <mergeCell ref="E17:H17"/>
    <mergeCell ref="I17:L17"/>
    <mergeCell ref="M17:AF17"/>
    <mergeCell ref="AG17:AW17"/>
    <mergeCell ref="AX17:BA17"/>
    <mergeCell ref="BB17:BN17"/>
    <mergeCell ref="A18:D18"/>
    <mergeCell ref="E18:H18"/>
    <mergeCell ref="I18:L18"/>
    <mergeCell ref="M18:AF18"/>
    <mergeCell ref="AG18:AW18"/>
    <mergeCell ref="AX18:BA18"/>
    <mergeCell ref="BB18:BN18"/>
    <mergeCell ref="A19:D19"/>
    <mergeCell ref="E19:H19"/>
    <mergeCell ref="I19:L19"/>
    <mergeCell ref="M19:AF19"/>
    <mergeCell ref="AG19:AW19"/>
    <mergeCell ref="AX19:BA19"/>
    <mergeCell ref="BB19:BN19"/>
    <mergeCell ref="A20:D20"/>
    <mergeCell ref="E20:H20"/>
    <mergeCell ref="I20:L20"/>
    <mergeCell ref="M20:AF20"/>
    <mergeCell ref="AG20:AW20"/>
    <mergeCell ref="AX20:BA20"/>
    <mergeCell ref="BB20:BN20"/>
    <mergeCell ref="A21:D21"/>
    <mergeCell ref="E21:H21"/>
    <mergeCell ref="I21:L21"/>
    <mergeCell ref="M21:AF21"/>
    <mergeCell ref="AG21:AW21"/>
    <mergeCell ref="AX21:BA21"/>
    <mergeCell ref="BB21:BN21"/>
    <mergeCell ref="A22:D22"/>
    <mergeCell ref="E22:H22"/>
    <mergeCell ref="I22:L22"/>
    <mergeCell ref="M22:AF22"/>
    <mergeCell ref="AG22:AW22"/>
    <mergeCell ref="AX22:BA22"/>
    <mergeCell ref="BB22:BN22"/>
    <mergeCell ref="A23:D23"/>
    <mergeCell ref="E23:H23"/>
    <mergeCell ref="I23:L23"/>
    <mergeCell ref="M23:AF23"/>
    <mergeCell ref="AG23:AW23"/>
    <mergeCell ref="AX23:BA23"/>
    <mergeCell ref="BB23:BN23"/>
    <mergeCell ref="A24:D24"/>
    <mergeCell ref="E24:H24"/>
    <mergeCell ref="I24:L24"/>
    <mergeCell ref="M24:AF24"/>
    <mergeCell ref="AG24:AW24"/>
    <mergeCell ref="AX24:BA24"/>
    <mergeCell ref="BB24:BN24"/>
    <mergeCell ref="A25:D25"/>
    <mergeCell ref="E25:H25"/>
    <mergeCell ref="I25:L25"/>
    <mergeCell ref="M25:AF25"/>
    <mergeCell ref="AG25:AW25"/>
    <mergeCell ref="AX25:BA25"/>
    <mergeCell ref="BB25:BN25"/>
    <mergeCell ref="A26:D26"/>
    <mergeCell ref="E26:H26"/>
    <mergeCell ref="I26:L26"/>
    <mergeCell ref="M26:AF26"/>
    <mergeCell ref="AG26:AW26"/>
    <mergeCell ref="AX26:BA26"/>
    <mergeCell ref="BB26:BN26"/>
    <mergeCell ref="A27:D27"/>
    <mergeCell ref="E27:H27"/>
    <mergeCell ref="I27:L27"/>
    <mergeCell ref="M27:AF27"/>
    <mergeCell ref="AG27:AW27"/>
    <mergeCell ref="AX27:BA27"/>
    <mergeCell ref="BB27:BN27"/>
    <mergeCell ref="A28:D28"/>
    <mergeCell ref="E28:H28"/>
    <mergeCell ref="I28:L28"/>
    <mergeCell ref="M28:AF28"/>
    <mergeCell ref="AG28:AW28"/>
    <mergeCell ref="AX28:BA28"/>
    <mergeCell ref="BB28:BN28"/>
    <mergeCell ref="A29:V29"/>
    <mergeCell ref="W29:AR29"/>
    <mergeCell ref="AS29:BA29"/>
    <mergeCell ref="BB29:BN29"/>
    <mergeCell ref="A30:V31"/>
    <mergeCell ref="W30:AR31"/>
    <mergeCell ref="AS30:BA31"/>
    <mergeCell ref="BB30:BN31"/>
    <mergeCell ref="A32:V36"/>
    <mergeCell ref="W32:AF32"/>
    <mergeCell ref="AG32:AJ32"/>
    <mergeCell ref="AK32:AN32"/>
    <mergeCell ref="AO32:AR32"/>
    <mergeCell ref="AS32:BH32"/>
    <mergeCell ref="BI32:BN32"/>
    <mergeCell ref="W33:AF34"/>
    <mergeCell ref="AG33:AJ34"/>
    <mergeCell ref="AK33:AN34"/>
    <mergeCell ref="AO33:AR34"/>
    <mergeCell ref="AS33:BH34"/>
    <mergeCell ref="BI33:BN34"/>
    <mergeCell ref="W35:AR35"/>
    <mergeCell ref="AS35:AY35"/>
    <mergeCell ref="AZ35:BD35"/>
    <mergeCell ref="BE35:BN35"/>
    <mergeCell ref="W36:AR38"/>
    <mergeCell ref="AS36:AY37"/>
    <mergeCell ref="AZ36:BD37"/>
    <mergeCell ref="BE36:BN37"/>
    <mergeCell ref="A37:V38"/>
    <mergeCell ref="AS38:AV38"/>
    <mergeCell ref="AW38:AY38"/>
    <mergeCell ref="AZ38:BH38"/>
    <mergeCell ref="BI38:BK38"/>
    <mergeCell ref="A39:V40"/>
    <mergeCell ref="W39:AR40"/>
    <mergeCell ref="AS39:AV40"/>
    <mergeCell ref="AW39:AY40"/>
    <mergeCell ref="AZ39:BH40"/>
    <mergeCell ref="BI39:BK40"/>
    <mergeCell ref="BL39:BN40"/>
  </mergeCells>
  <printOptions headings="false" gridLines="false" gridLinesSet="true" horizontalCentered="false" verticalCentered="false"/>
  <pageMargins left="0.7875" right="0.39375" top="0.39375" bottom="0.39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41"/>
  <sheetViews>
    <sheetView showFormulas="false" showGridLines="true" showRowColHeaders="true" showZeros="true" rightToLeft="false" tabSelected="false" showOutlineSymbols="true" defaultGridColor="true" view="pageBreakPreview" topLeftCell="A1" colorId="64" zoomScale="100" zoomScaleNormal="57" zoomScalePageLayoutView="100" workbookViewId="0">
      <selection pane="topLeft" activeCell="A4" activeCellId="0" sqref="A4"/>
    </sheetView>
  </sheetViews>
  <sheetFormatPr defaultColWidth="10.625" defaultRowHeight="14.25" customHeight="true" zeroHeight="false" outlineLevelRow="0" outlineLevelCol="0"/>
  <cols>
    <col collapsed="false" customWidth="true" hidden="false" outlineLevel="0" max="66" min="1" style="1" width="1.25"/>
    <col collapsed="false" customWidth="false" hidden="false" outlineLevel="0" max="16384" min="67" style="1" width="10.62"/>
  </cols>
  <sheetData>
    <row r="1" customFormat="false" ht="15.75" hidden="false" customHeight="true" outlineLevel="0" collapsed="false">
      <c r="A1" s="142" t="n">
        <v>1</v>
      </c>
      <c r="B1" s="142"/>
      <c r="C1" s="142"/>
      <c r="D1" s="142"/>
      <c r="E1" s="143" t="n">
        <v>2</v>
      </c>
      <c r="F1" s="143"/>
      <c r="G1" s="143"/>
      <c r="H1" s="143"/>
      <c r="I1" s="143" t="n">
        <v>3</v>
      </c>
      <c r="J1" s="143"/>
      <c r="K1" s="143"/>
      <c r="L1" s="143"/>
      <c r="M1" s="143" t="n">
        <v>4</v>
      </c>
      <c r="N1" s="143"/>
      <c r="O1" s="143"/>
      <c r="P1" s="143"/>
      <c r="Q1" s="143"/>
      <c r="R1" s="143"/>
      <c r="S1" s="143"/>
      <c r="T1" s="143"/>
      <c r="U1" s="143"/>
      <c r="V1" s="143"/>
      <c r="W1" s="143"/>
      <c r="X1" s="143"/>
      <c r="Y1" s="143"/>
      <c r="Z1" s="143"/>
      <c r="AA1" s="143"/>
      <c r="AB1" s="143"/>
      <c r="AC1" s="143"/>
      <c r="AD1" s="143"/>
      <c r="AE1" s="143"/>
      <c r="AF1" s="143"/>
      <c r="AG1" s="143" t="n">
        <v>5</v>
      </c>
      <c r="AH1" s="143"/>
      <c r="AI1" s="143"/>
      <c r="AJ1" s="143"/>
      <c r="AK1" s="143"/>
      <c r="AL1" s="143"/>
      <c r="AM1" s="143"/>
      <c r="AN1" s="143"/>
      <c r="AO1" s="143"/>
      <c r="AP1" s="143"/>
      <c r="AQ1" s="143"/>
      <c r="AR1" s="143"/>
      <c r="AS1" s="143"/>
      <c r="AT1" s="143"/>
      <c r="AU1" s="143"/>
      <c r="AV1" s="143"/>
      <c r="AW1" s="143"/>
      <c r="AX1" s="143" t="n">
        <v>6</v>
      </c>
      <c r="AY1" s="143"/>
      <c r="AZ1" s="143"/>
      <c r="BA1" s="143"/>
      <c r="BB1" s="144" t="n">
        <v>7</v>
      </c>
      <c r="BC1" s="144"/>
      <c r="BD1" s="144"/>
      <c r="BE1" s="144"/>
      <c r="BF1" s="144"/>
      <c r="BG1" s="144"/>
      <c r="BH1" s="144"/>
      <c r="BI1" s="144"/>
      <c r="BJ1" s="144"/>
      <c r="BK1" s="144"/>
      <c r="BL1" s="144"/>
      <c r="BM1" s="144"/>
      <c r="BN1" s="144"/>
    </row>
    <row r="2" customFormat="false" ht="18.75" hidden="false" customHeight="true" outlineLevel="0" collapsed="false">
      <c r="A2" s="145" t="str">
        <f aca="false">Eingabe!A7</f>
        <v>Lfd. 
Nr.</v>
      </c>
      <c r="B2" s="145"/>
      <c r="C2" s="145"/>
      <c r="D2" s="145"/>
      <c r="E2" s="146" t="str">
        <f aca="false">Eingabe!B7</f>
        <v>Stück-
zahl</v>
      </c>
      <c r="F2" s="146"/>
      <c r="G2" s="146"/>
      <c r="H2" s="146"/>
      <c r="I2" s="146" t="str">
        <f aca="false">Eingabe!C7</f>
        <v>Ein-
heit</v>
      </c>
      <c r="J2" s="146"/>
      <c r="K2" s="146"/>
      <c r="L2" s="146"/>
      <c r="M2" s="147" t="str">
        <f aca="false">Eingabe!D7</f>
        <v>Benennung</v>
      </c>
      <c r="N2" s="147"/>
      <c r="O2" s="147"/>
      <c r="P2" s="147"/>
      <c r="Q2" s="147"/>
      <c r="R2" s="147"/>
      <c r="S2" s="147"/>
      <c r="T2" s="147"/>
      <c r="U2" s="147"/>
      <c r="V2" s="147"/>
      <c r="W2" s="147"/>
      <c r="X2" s="147"/>
      <c r="Y2" s="147"/>
      <c r="Z2" s="147"/>
      <c r="AA2" s="147"/>
      <c r="AB2" s="147"/>
      <c r="AC2" s="147"/>
      <c r="AD2" s="147"/>
      <c r="AE2" s="147"/>
      <c r="AF2" s="147"/>
      <c r="AG2" s="147" t="str">
        <f aca="false">Eingabe!F7&amp;" / "&amp;Eingabe!G7</f>
        <v>Lieferant / Bestellnummer</v>
      </c>
      <c r="AH2" s="147"/>
      <c r="AI2" s="147"/>
      <c r="AJ2" s="147"/>
      <c r="AK2" s="147"/>
      <c r="AL2" s="147"/>
      <c r="AM2" s="147"/>
      <c r="AN2" s="147"/>
      <c r="AO2" s="147"/>
      <c r="AP2" s="147"/>
      <c r="AQ2" s="147"/>
      <c r="AR2" s="147"/>
      <c r="AS2" s="147"/>
      <c r="AT2" s="147"/>
      <c r="AU2" s="147"/>
      <c r="AV2" s="147"/>
      <c r="AW2" s="147"/>
      <c r="AX2" s="148" t="str">
        <f aca="false">Eingabe!H7</f>
        <v>MCd</v>
      </c>
      <c r="AY2" s="148"/>
      <c r="AZ2" s="148"/>
      <c r="BA2" s="148"/>
      <c r="BB2" s="149" t="str">
        <f aca="false">Eingabe!K7</f>
        <v>Bemerkung</v>
      </c>
      <c r="BC2" s="149"/>
      <c r="BD2" s="149"/>
      <c r="BE2" s="149"/>
      <c r="BF2" s="149"/>
      <c r="BG2" s="149"/>
      <c r="BH2" s="149"/>
      <c r="BI2" s="149"/>
      <c r="BJ2" s="149"/>
      <c r="BK2" s="149"/>
      <c r="BL2" s="149"/>
      <c r="BM2" s="149"/>
      <c r="BN2" s="149"/>
    </row>
    <row r="3" customFormat="false" ht="18.75" hidden="false" customHeight="true" outlineLevel="0" collapsed="false">
      <c r="A3" s="145"/>
      <c r="B3" s="145"/>
      <c r="C3" s="145"/>
      <c r="D3" s="145"/>
      <c r="E3" s="146"/>
      <c r="F3" s="146"/>
      <c r="G3" s="146"/>
      <c r="H3" s="146"/>
      <c r="I3" s="146"/>
      <c r="J3" s="146"/>
      <c r="K3" s="146"/>
      <c r="L3" s="146"/>
      <c r="M3" s="147"/>
      <c r="N3" s="147"/>
      <c r="O3" s="147"/>
      <c r="P3" s="147"/>
      <c r="Q3" s="147"/>
      <c r="R3" s="147"/>
      <c r="S3" s="147"/>
      <c r="T3" s="147"/>
      <c r="U3" s="147"/>
      <c r="V3" s="147"/>
      <c r="W3" s="147"/>
      <c r="X3" s="147"/>
      <c r="Y3" s="147"/>
      <c r="Z3" s="147"/>
      <c r="AA3" s="147"/>
      <c r="AB3" s="147"/>
      <c r="AC3" s="147"/>
      <c r="AD3" s="147"/>
      <c r="AE3" s="147"/>
      <c r="AF3" s="147"/>
      <c r="AG3" s="147"/>
      <c r="AH3" s="147"/>
      <c r="AI3" s="147"/>
      <c r="AJ3" s="147"/>
      <c r="AK3" s="147"/>
      <c r="AL3" s="147"/>
      <c r="AM3" s="147"/>
      <c r="AN3" s="147"/>
      <c r="AO3" s="147"/>
      <c r="AP3" s="147"/>
      <c r="AQ3" s="147"/>
      <c r="AR3" s="147"/>
      <c r="AS3" s="147"/>
      <c r="AT3" s="147"/>
      <c r="AU3" s="147"/>
      <c r="AV3" s="147"/>
      <c r="AW3" s="147"/>
      <c r="AX3" s="148"/>
      <c r="AY3" s="148"/>
      <c r="AZ3" s="148"/>
      <c r="BA3" s="148"/>
      <c r="BB3" s="149"/>
      <c r="BC3" s="149"/>
      <c r="BD3" s="149"/>
      <c r="BE3" s="149"/>
      <c r="BF3" s="149"/>
      <c r="BG3" s="149"/>
      <c r="BH3" s="149"/>
      <c r="BI3" s="149"/>
      <c r="BJ3" s="149"/>
      <c r="BK3" s="149"/>
      <c r="BL3" s="149"/>
      <c r="BM3" s="149"/>
      <c r="BN3" s="149"/>
    </row>
    <row r="4" s="156" customFormat="true" ht="25.5" hidden="false" customHeight="true" outlineLevel="0" collapsed="false">
      <c r="A4" s="150" t="str">
        <f aca="false">IF(Eingabe!A83="","",Eingabe!A83)</f>
        <v/>
      </c>
      <c r="B4" s="150"/>
      <c r="C4" s="150"/>
      <c r="D4" s="150"/>
      <c r="E4" s="151" t="str">
        <f aca="false">IF(Eingabe!B83="","",Eingabe!B83)</f>
        <v/>
      </c>
      <c r="F4" s="151"/>
      <c r="G4" s="151"/>
      <c r="H4" s="151"/>
      <c r="I4" s="152" t="str">
        <f aca="false">IF(Eingabe!C83="","",Eingabe!C83)</f>
        <v/>
      </c>
      <c r="J4" s="152"/>
      <c r="K4" s="152"/>
      <c r="L4" s="152"/>
      <c r="M4" s="153" t="str">
        <f aca="false">IF(Eingabe!D83&amp;""&amp;Eingabe!E83="","",Eingabe!D83&amp;" 
"&amp;Eingabe!E83)</f>
        <v/>
      </c>
      <c r="N4" s="153"/>
      <c r="O4" s="153"/>
      <c r="P4" s="153"/>
      <c r="Q4" s="153"/>
      <c r="R4" s="153"/>
      <c r="S4" s="153"/>
      <c r="T4" s="153"/>
      <c r="U4" s="153"/>
      <c r="V4" s="153"/>
      <c r="W4" s="153"/>
      <c r="X4" s="153"/>
      <c r="Y4" s="153"/>
      <c r="Z4" s="153"/>
      <c r="AA4" s="153"/>
      <c r="AB4" s="153"/>
      <c r="AC4" s="153"/>
      <c r="AD4" s="153"/>
      <c r="AE4" s="153"/>
      <c r="AF4" s="153"/>
      <c r="AG4" s="152" t="str">
        <f aca="false">IF(Eingabe!F83&amp;""&amp;Eingabe!G83="","",Eingabe!F83&amp;" 
"&amp;Eingabe!G83)</f>
        <v/>
      </c>
      <c r="AH4" s="152"/>
      <c r="AI4" s="152"/>
      <c r="AJ4" s="152"/>
      <c r="AK4" s="152"/>
      <c r="AL4" s="152"/>
      <c r="AM4" s="152"/>
      <c r="AN4" s="152"/>
      <c r="AO4" s="152"/>
      <c r="AP4" s="152"/>
      <c r="AQ4" s="152"/>
      <c r="AR4" s="152"/>
      <c r="AS4" s="152"/>
      <c r="AT4" s="152"/>
      <c r="AU4" s="152"/>
      <c r="AV4" s="152"/>
      <c r="AW4" s="152"/>
      <c r="AX4" s="152" t="str">
        <f aca="false">IF(Eingabe!H83="","",Eingabe!H83)</f>
        <v/>
      </c>
      <c r="AY4" s="152"/>
      <c r="AZ4" s="152"/>
      <c r="BA4" s="152"/>
      <c r="BB4" s="154" t="str">
        <f aca="false">IF(Eingabe!K83="","",Eingabe!K83)</f>
        <v/>
      </c>
      <c r="BC4" s="154"/>
      <c r="BD4" s="154"/>
      <c r="BE4" s="154"/>
      <c r="BF4" s="154"/>
      <c r="BG4" s="154"/>
      <c r="BH4" s="154"/>
      <c r="BI4" s="154"/>
      <c r="BJ4" s="154"/>
      <c r="BK4" s="154"/>
      <c r="BL4" s="154"/>
      <c r="BM4" s="154"/>
      <c r="BN4" s="154"/>
      <c r="BO4" s="155"/>
      <c r="BP4" s="155"/>
      <c r="BQ4" s="155"/>
      <c r="BR4" s="155"/>
      <c r="BS4" s="155"/>
      <c r="BT4" s="155"/>
      <c r="BU4" s="155"/>
      <c r="BV4" s="155"/>
      <c r="BW4" s="155"/>
      <c r="BX4" s="155"/>
      <c r="BY4" s="155"/>
      <c r="BZ4" s="155"/>
      <c r="CA4" s="155"/>
      <c r="CB4" s="155"/>
      <c r="CC4" s="155"/>
      <c r="CD4" s="155"/>
      <c r="CE4" s="155"/>
      <c r="CF4" s="155"/>
      <c r="CG4" s="155"/>
      <c r="CH4" s="155"/>
      <c r="CI4" s="155"/>
      <c r="CJ4" s="155"/>
      <c r="CK4" s="155"/>
      <c r="CL4" s="155"/>
      <c r="CM4" s="155"/>
      <c r="CN4" s="155"/>
      <c r="CO4" s="155"/>
      <c r="CP4" s="155"/>
      <c r="CQ4" s="155"/>
      <c r="CR4" s="155"/>
      <c r="CS4" s="155"/>
      <c r="CT4" s="155"/>
      <c r="CU4" s="155"/>
      <c r="CV4" s="155"/>
      <c r="CW4" s="155"/>
      <c r="CX4" s="155"/>
      <c r="CY4" s="155"/>
      <c r="CZ4" s="155"/>
      <c r="DA4" s="155"/>
      <c r="DB4" s="155"/>
      <c r="DC4" s="155"/>
      <c r="DD4" s="155"/>
      <c r="DE4" s="155"/>
      <c r="DF4" s="155"/>
      <c r="DG4" s="155"/>
      <c r="DH4" s="155"/>
      <c r="DI4" s="155"/>
      <c r="DJ4" s="155"/>
      <c r="DK4" s="155"/>
      <c r="DL4" s="155"/>
      <c r="DM4" s="155"/>
      <c r="DN4" s="155"/>
      <c r="DO4" s="155"/>
      <c r="DP4" s="155"/>
      <c r="DQ4" s="155"/>
      <c r="DR4" s="155"/>
      <c r="DS4" s="155"/>
      <c r="DT4" s="155"/>
      <c r="DU4" s="155"/>
      <c r="DV4" s="155"/>
      <c r="DW4" s="155"/>
      <c r="DX4" s="155"/>
      <c r="DY4" s="155"/>
      <c r="DZ4" s="155"/>
      <c r="EA4" s="155"/>
      <c r="EB4" s="155"/>
      <c r="EC4" s="155"/>
      <c r="ED4" s="155"/>
      <c r="EE4" s="155"/>
      <c r="EF4" s="155"/>
      <c r="EG4" s="155"/>
      <c r="EH4" s="155"/>
      <c r="EI4" s="155"/>
      <c r="EJ4" s="155"/>
      <c r="EK4" s="155"/>
      <c r="EL4" s="155"/>
      <c r="EM4" s="155"/>
      <c r="EN4" s="155"/>
      <c r="EO4" s="155"/>
      <c r="EP4" s="155"/>
      <c r="EQ4" s="155"/>
      <c r="ER4" s="155"/>
      <c r="ES4" s="155"/>
      <c r="ET4" s="155"/>
      <c r="EU4" s="155"/>
      <c r="EV4" s="155"/>
      <c r="EW4" s="155"/>
      <c r="EX4" s="155"/>
      <c r="EY4" s="155"/>
      <c r="EZ4" s="155"/>
      <c r="FA4" s="155"/>
      <c r="FB4" s="155"/>
      <c r="FC4" s="155"/>
      <c r="FD4" s="155"/>
      <c r="FE4" s="155"/>
      <c r="FF4" s="155"/>
      <c r="FG4" s="155"/>
      <c r="FH4" s="155"/>
      <c r="FI4" s="155"/>
      <c r="FJ4" s="155"/>
      <c r="FK4" s="155"/>
      <c r="FL4" s="155"/>
      <c r="FM4" s="155"/>
      <c r="FN4" s="155"/>
      <c r="FO4" s="155"/>
      <c r="FP4" s="155"/>
      <c r="FQ4" s="155"/>
      <c r="FR4" s="155"/>
      <c r="FS4" s="155"/>
      <c r="FT4" s="155"/>
      <c r="FU4" s="155"/>
      <c r="FV4" s="155"/>
      <c r="FW4" s="155"/>
      <c r="FX4" s="155"/>
      <c r="FY4" s="155"/>
      <c r="FZ4" s="155"/>
      <c r="GA4" s="155"/>
      <c r="GB4" s="155"/>
      <c r="GC4" s="155"/>
      <c r="GD4" s="155"/>
      <c r="GE4" s="155"/>
      <c r="GF4" s="155"/>
      <c r="GG4" s="155"/>
      <c r="GH4" s="155"/>
      <c r="GI4" s="155"/>
      <c r="GJ4" s="155"/>
      <c r="GK4" s="155"/>
      <c r="GL4" s="155"/>
      <c r="GM4" s="155"/>
      <c r="GN4" s="155"/>
      <c r="GO4" s="155"/>
      <c r="GP4" s="155"/>
      <c r="GQ4" s="155"/>
      <c r="GR4" s="155"/>
      <c r="GS4" s="155"/>
      <c r="GT4" s="155"/>
      <c r="GU4" s="155"/>
      <c r="GV4" s="155"/>
      <c r="GW4" s="155"/>
      <c r="GX4" s="155"/>
      <c r="GY4" s="155"/>
      <c r="GZ4" s="155"/>
      <c r="HA4" s="155"/>
      <c r="HB4" s="155"/>
      <c r="HC4" s="155"/>
      <c r="HD4" s="155"/>
      <c r="HE4" s="155"/>
      <c r="HF4" s="155"/>
      <c r="HG4" s="155"/>
      <c r="HH4" s="155"/>
      <c r="HI4" s="155"/>
      <c r="HJ4" s="155"/>
      <c r="HK4" s="155"/>
      <c r="HL4" s="155"/>
      <c r="HM4" s="155"/>
      <c r="HN4" s="155"/>
      <c r="HO4" s="155"/>
      <c r="HP4" s="155"/>
      <c r="HQ4" s="155"/>
      <c r="HR4" s="155"/>
      <c r="HS4" s="155"/>
      <c r="HT4" s="155"/>
      <c r="HU4" s="155"/>
      <c r="HV4" s="155"/>
      <c r="HW4" s="155"/>
      <c r="HX4" s="155"/>
      <c r="HY4" s="155"/>
      <c r="HZ4" s="155"/>
      <c r="IA4" s="155"/>
      <c r="IB4" s="155"/>
      <c r="IC4" s="155"/>
      <c r="ID4" s="155"/>
      <c r="IE4" s="155"/>
      <c r="IF4" s="155"/>
      <c r="IG4" s="155"/>
      <c r="IH4" s="155"/>
      <c r="II4" s="155"/>
      <c r="IJ4" s="155"/>
      <c r="IK4" s="155"/>
      <c r="IL4" s="155"/>
      <c r="IM4" s="155"/>
      <c r="IN4" s="155"/>
      <c r="IO4" s="155"/>
      <c r="IP4" s="155"/>
      <c r="IQ4" s="155"/>
      <c r="IR4" s="155"/>
      <c r="IS4" s="155"/>
      <c r="IT4" s="155"/>
      <c r="IU4" s="155"/>
      <c r="IV4" s="155"/>
    </row>
    <row r="5" s="156" customFormat="true" ht="25.5" hidden="false" customHeight="true" outlineLevel="0" collapsed="false">
      <c r="A5" s="157" t="str">
        <f aca="false">IF(Eingabe!A84="","",Eingabe!A84)</f>
        <v/>
      </c>
      <c r="B5" s="157"/>
      <c r="C5" s="157"/>
      <c r="D5" s="157"/>
      <c r="E5" s="158" t="str">
        <f aca="false">IF(Eingabe!B84="","",Eingabe!B84)</f>
        <v/>
      </c>
      <c r="F5" s="158"/>
      <c r="G5" s="158"/>
      <c r="H5" s="158"/>
      <c r="I5" s="159" t="str">
        <f aca="false">IF(Eingabe!C84="","",Eingabe!C84)</f>
        <v/>
      </c>
      <c r="J5" s="159"/>
      <c r="K5" s="159"/>
      <c r="L5" s="159"/>
      <c r="M5" s="160" t="str">
        <f aca="false">IF(Eingabe!D84&amp;""&amp;Eingabe!E84="","",Eingabe!D84&amp;" 
"&amp;Eingabe!E84)</f>
        <v/>
      </c>
      <c r="N5" s="160"/>
      <c r="O5" s="160"/>
      <c r="P5" s="160"/>
      <c r="Q5" s="160"/>
      <c r="R5" s="160"/>
      <c r="S5" s="160"/>
      <c r="T5" s="160"/>
      <c r="U5" s="160"/>
      <c r="V5" s="160"/>
      <c r="W5" s="160"/>
      <c r="X5" s="160"/>
      <c r="Y5" s="160"/>
      <c r="Z5" s="160"/>
      <c r="AA5" s="160"/>
      <c r="AB5" s="160"/>
      <c r="AC5" s="160"/>
      <c r="AD5" s="160"/>
      <c r="AE5" s="160"/>
      <c r="AF5" s="160"/>
      <c r="AG5" s="159" t="str">
        <f aca="false">IF(Eingabe!F84&amp;""&amp;Eingabe!G84="","",Eingabe!F84&amp;" 
"&amp;Eingabe!G84)</f>
        <v/>
      </c>
      <c r="AH5" s="159"/>
      <c r="AI5" s="159"/>
      <c r="AJ5" s="159"/>
      <c r="AK5" s="159"/>
      <c r="AL5" s="159"/>
      <c r="AM5" s="159"/>
      <c r="AN5" s="159"/>
      <c r="AO5" s="159"/>
      <c r="AP5" s="159"/>
      <c r="AQ5" s="159"/>
      <c r="AR5" s="159"/>
      <c r="AS5" s="159"/>
      <c r="AT5" s="159"/>
      <c r="AU5" s="159"/>
      <c r="AV5" s="159"/>
      <c r="AW5" s="159"/>
      <c r="AX5" s="159" t="str">
        <f aca="false">IF(Eingabe!H84="","",Eingabe!H84)</f>
        <v/>
      </c>
      <c r="AY5" s="159"/>
      <c r="AZ5" s="159"/>
      <c r="BA5" s="159"/>
      <c r="BB5" s="161" t="str">
        <f aca="false">IF(Eingabe!K84="","",Eingabe!K84)</f>
        <v/>
      </c>
      <c r="BC5" s="161"/>
      <c r="BD5" s="161"/>
      <c r="BE5" s="161"/>
      <c r="BF5" s="161"/>
      <c r="BG5" s="161"/>
      <c r="BH5" s="161"/>
      <c r="BI5" s="161"/>
      <c r="BJ5" s="161"/>
      <c r="BK5" s="161"/>
      <c r="BL5" s="161"/>
      <c r="BM5" s="161"/>
      <c r="BN5" s="161"/>
      <c r="BO5" s="155"/>
      <c r="BP5" s="155"/>
      <c r="BQ5" s="155"/>
      <c r="BR5" s="155"/>
      <c r="BS5" s="155"/>
      <c r="BT5" s="155"/>
      <c r="BU5" s="155"/>
      <c r="BV5" s="155"/>
      <c r="BW5" s="155"/>
      <c r="BX5" s="155"/>
      <c r="BY5" s="155"/>
      <c r="BZ5" s="155"/>
      <c r="CA5" s="155"/>
      <c r="CB5" s="155"/>
      <c r="CC5" s="155"/>
      <c r="CD5" s="155"/>
      <c r="CE5" s="155"/>
      <c r="CF5" s="155"/>
      <c r="CG5" s="155"/>
      <c r="CH5" s="155"/>
      <c r="CI5" s="155"/>
      <c r="CJ5" s="155"/>
      <c r="CK5" s="155"/>
      <c r="CL5" s="155"/>
      <c r="CM5" s="155"/>
      <c r="CN5" s="155"/>
      <c r="CO5" s="155"/>
      <c r="CP5" s="155"/>
      <c r="CQ5" s="155"/>
      <c r="CR5" s="155"/>
      <c r="CS5" s="155"/>
      <c r="CT5" s="155"/>
      <c r="CU5" s="155"/>
      <c r="CV5" s="155"/>
      <c r="CW5" s="155"/>
      <c r="CX5" s="155"/>
      <c r="CY5" s="155"/>
      <c r="CZ5" s="155"/>
      <c r="DA5" s="155"/>
      <c r="DB5" s="155"/>
      <c r="DC5" s="155"/>
      <c r="DD5" s="155"/>
      <c r="DE5" s="155"/>
      <c r="DF5" s="155"/>
      <c r="DG5" s="155"/>
      <c r="DH5" s="155"/>
      <c r="DI5" s="155"/>
      <c r="DJ5" s="155"/>
      <c r="DK5" s="155"/>
      <c r="DL5" s="155"/>
      <c r="DM5" s="155"/>
      <c r="DN5" s="155"/>
      <c r="DO5" s="155"/>
      <c r="DP5" s="155"/>
      <c r="DQ5" s="155"/>
      <c r="DR5" s="155"/>
      <c r="DS5" s="155"/>
      <c r="DT5" s="155"/>
      <c r="DU5" s="155"/>
      <c r="DV5" s="155"/>
      <c r="DW5" s="155"/>
      <c r="DX5" s="155"/>
      <c r="DY5" s="155"/>
      <c r="DZ5" s="155"/>
      <c r="EA5" s="155"/>
      <c r="EB5" s="155"/>
      <c r="EC5" s="155"/>
      <c r="ED5" s="155"/>
      <c r="EE5" s="155"/>
      <c r="EF5" s="155"/>
      <c r="EG5" s="155"/>
      <c r="EH5" s="155"/>
      <c r="EI5" s="155"/>
      <c r="EJ5" s="155"/>
      <c r="EK5" s="155"/>
      <c r="EL5" s="155"/>
      <c r="EM5" s="155"/>
      <c r="EN5" s="155"/>
      <c r="EO5" s="155"/>
      <c r="EP5" s="155"/>
      <c r="EQ5" s="155"/>
      <c r="ER5" s="155"/>
      <c r="ES5" s="155"/>
      <c r="ET5" s="155"/>
      <c r="EU5" s="155"/>
      <c r="EV5" s="155"/>
      <c r="EW5" s="155"/>
      <c r="EX5" s="155"/>
      <c r="EY5" s="155"/>
      <c r="EZ5" s="155"/>
      <c r="FA5" s="155"/>
      <c r="FB5" s="155"/>
      <c r="FC5" s="155"/>
      <c r="FD5" s="155"/>
      <c r="FE5" s="155"/>
      <c r="FF5" s="155"/>
      <c r="FG5" s="155"/>
      <c r="FH5" s="155"/>
      <c r="FI5" s="155"/>
      <c r="FJ5" s="155"/>
      <c r="FK5" s="155"/>
      <c r="FL5" s="155"/>
      <c r="FM5" s="155"/>
      <c r="FN5" s="155"/>
      <c r="FO5" s="155"/>
      <c r="FP5" s="155"/>
      <c r="FQ5" s="155"/>
      <c r="FR5" s="155"/>
      <c r="FS5" s="155"/>
      <c r="FT5" s="155"/>
      <c r="FU5" s="155"/>
      <c r="FV5" s="155"/>
      <c r="FW5" s="155"/>
      <c r="FX5" s="155"/>
      <c r="FY5" s="155"/>
      <c r="FZ5" s="155"/>
      <c r="GA5" s="155"/>
      <c r="GB5" s="155"/>
      <c r="GC5" s="155"/>
      <c r="GD5" s="155"/>
      <c r="GE5" s="155"/>
      <c r="GF5" s="155"/>
      <c r="GG5" s="155"/>
      <c r="GH5" s="155"/>
      <c r="GI5" s="155"/>
      <c r="GJ5" s="155"/>
      <c r="GK5" s="155"/>
      <c r="GL5" s="155"/>
      <c r="GM5" s="155"/>
      <c r="GN5" s="155"/>
      <c r="GO5" s="155"/>
      <c r="GP5" s="155"/>
      <c r="GQ5" s="155"/>
      <c r="GR5" s="155"/>
      <c r="GS5" s="155"/>
      <c r="GT5" s="155"/>
      <c r="GU5" s="155"/>
      <c r="GV5" s="155"/>
      <c r="GW5" s="155"/>
      <c r="GX5" s="155"/>
      <c r="GY5" s="155"/>
      <c r="GZ5" s="155"/>
      <c r="HA5" s="155"/>
      <c r="HB5" s="155"/>
      <c r="HC5" s="155"/>
      <c r="HD5" s="155"/>
      <c r="HE5" s="155"/>
      <c r="HF5" s="155"/>
      <c r="HG5" s="155"/>
      <c r="HH5" s="155"/>
      <c r="HI5" s="155"/>
      <c r="HJ5" s="155"/>
      <c r="HK5" s="155"/>
      <c r="HL5" s="155"/>
      <c r="HM5" s="155"/>
      <c r="HN5" s="155"/>
      <c r="HO5" s="155"/>
      <c r="HP5" s="155"/>
      <c r="HQ5" s="155"/>
      <c r="HR5" s="155"/>
      <c r="HS5" s="155"/>
      <c r="HT5" s="155"/>
      <c r="HU5" s="155"/>
      <c r="HV5" s="155"/>
      <c r="HW5" s="155"/>
      <c r="HX5" s="155"/>
      <c r="HY5" s="155"/>
      <c r="HZ5" s="155"/>
      <c r="IA5" s="155"/>
      <c r="IB5" s="155"/>
      <c r="IC5" s="155"/>
      <c r="ID5" s="155"/>
      <c r="IE5" s="155"/>
      <c r="IF5" s="155"/>
      <c r="IG5" s="155"/>
      <c r="IH5" s="155"/>
      <c r="II5" s="155"/>
      <c r="IJ5" s="155"/>
      <c r="IK5" s="155"/>
      <c r="IL5" s="155"/>
      <c r="IM5" s="155"/>
      <c r="IN5" s="155"/>
      <c r="IO5" s="155"/>
      <c r="IP5" s="155"/>
      <c r="IQ5" s="155"/>
      <c r="IR5" s="155"/>
      <c r="IS5" s="155"/>
      <c r="IT5" s="155"/>
      <c r="IU5" s="155"/>
      <c r="IV5" s="155"/>
    </row>
    <row r="6" s="156" customFormat="true" ht="25.5" hidden="false" customHeight="true" outlineLevel="0" collapsed="false">
      <c r="A6" s="157" t="str">
        <f aca="false">IF(Eingabe!A85="","",Eingabe!A85)</f>
        <v/>
      </c>
      <c r="B6" s="157"/>
      <c r="C6" s="157"/>
      <c r="D6" s="157"/>
      <c r="E6" s="158" t="str">
        <f aca="false">IF(Eingabe!B85="","",Eingabe!B85)</f>
        <v/>
      </c>
      <c r="F6" s="158"/>
      <c r="G6" s="158"/>
      <c r="H6" s="158"/>
      <c r="I6" s="159" t="str">
        <f aca="false">IF(Eingabe!C85="","",Eingabe!C85)</f>
        <v/>
      </c>
      <c r="J6" s="159"/>
      <c r="K6" s="159"/>
      <c r="L6" s="159"/>
      <c r="M6" s="160" t="str">
        <f aca="false">IF(Eingabe!D85&amp;""&amp;Eingabe!E85="","",Eingabe!D85&amp;" 
"&amp;Eingabe!E85)</f>
        <v/>
      </c>
      <c r="N6" s="160"/>
      <c r="O6" s="160"/>
      <c r="P6" s="160"/>
      <c r="Q6" s="160"/>
      <c r="R6" s="160"/>
      <c r="S6" s="160"/>
      <c r="T6" s="160"/>
      <c r="U6" s="160"/>
      <c r="V6" s="160"/>
      <c r="W6" s="160"/>
      <c r="X6" s="160"/>
      <c r="Y6" s="160"/>
      <c r="Z6" s="160"/>
      <c r="AA6" s="160"/>
      <c r="AB6" s="160"/>
      <c r="AC6" s="160"/>
      <c r="AD6" s="160"/>
      <c r="AE6" s="160"/>
      <c r="AF6" s="160"/>
      <c r="AG6" s="159" t="str">
        <f aca="false">IF(Eingabe!F85&amp;""&amp;Eingabe!G85="","",Eingabe!F85&amp;" 
"&amp;Eingabe!G85)</f>
        <v/>
      </c>
      <c r="AH6" s="159"/>
      <c r="AI6" s="159"/>
      <c r="AJ6" s="159"/>
      <c r="AK6" s="159"/>
      <c r="AL6" s="159"/>
      <c r="AM6" s="159"/>
      <c r="AN6" s="159"/>
      <c r="AO6" s="159"/>
      <c r="AP6" s="159"/>
      <c r="AQ6" s="159"/>
      <c r="AR6" s="159"/>
      <c r="AS6" s="159"/>
      <c r="AT6" s="159"/>
      <c r="AU6" s="159"/>
      <c r="AV6" s="159"/>
      <c r="AW6" s="159"/>
      <c r="AX6" s="159" t="str">
        <f aca="false">IF(Eingabe!H85="","",Eingabe!H85)</f>
        <v/>
      </c>
      <c r="AY6" s="159"/>
      <c r="AZ6" s="159"/>
      <c r="BA6" s="159"/>
      <c r="BB6" s="161" t="str">
        <f aca="false">IF(Eingabe!K85="","",Eingabe!K85)</f>
        <v/>
      </c>
      <c r="BC6" s="161"/>
      <c r="BD6" s="161"/>
      <c r="BE6" s="161"/>
      <c r="BF6" s="161"/>
      <c r="BG6" s="161"/>
      <c r="BH6" s="161"/>
      <c r="BI6" s="161"/>
      <c r="BJ6" s="161"/>
      <c r="BK6" s="161"/>
      <c r="BL6" s="161"/>
      <c r="BM6" s="161"/>
      <c r="BN6" s="161"/>
      <c r="BO6" s="155"/>
      <c r="BP6" s="155"/>
      <c r="BQ6" s="155"/>
      <c r="BR6" s="155"/>
      <c r="BS6" s="155"/>
      <c r="BT6" s="155"/>
      <c r="BU6" s="155"/>
      <c r="BV6" s="155"/>
      <c r="BW6" s="155"/>
      <c r="BX6" s="155"/>
      <c r="BY6" s="155"/>
      <c r="BZ6" s="155"/>
      <c r="CA6" s="155"/>
      <c r="CB6" s="155"/>
      <c r="CC6" s="155"/>
      <c r="CD6" s="155"/>
      <c r="CE6" s="155"/>
      <c r="CF6" s="155"/>
      <c r="CG6" s="155"/>
      <c r="CH6" s="155"/>
      <c r="CI6" s="155"/>
      <c r="CJ6" s="155"/>
      <c r="CK6" s="155"/>
      <c r="CL6" s="155"/>
      <c r="CM6" s="155"/>
      <c r="CN6" s="155"/>
      <c r="CO6" s="155"/>
      <c r="CP6" s="155"/>
      <c r="CQ6" s="155"/>
      <c r="CR6" s="155"/>
      <c r="CS6" s="155"/>
      <c r="CT6" s="155"/>
      <c r="CU6" s="155"/>
      <c r="CV6" s="155"/>
      <c r="CW6" s="155"/>
      <c r="CX6" s="155"/>
      <c r="CY6" s="155"/>
      <c r="CZ6" s="155"/>
      <c r="DA6" s="155"/>
      <c r="DB6" s="155"/>
      <c r="DC6" s="155"/>
      <c r="DD6" s="155"/>
      <c r="DE6" s="155"/>
      <c r="DF6" s="155"/>
      <c r="DG6" s="155"/>
      <c r="DH6" s="155"/>
      <c r="DI6" s="155"/>
      <c r="DJ6" s="155"/>
      <c r="DK6" s="155"/>
      <c r="DL6" s="155"/>
      <c r="DM6" s="155"/>
      <c r="DN6" s="155"/>
      <c r="DO6" s="155"/>
      <c r="DP6" s="155"/>
      <c r="DQ6" s="155"/>
      <c r="DR6" s="155"/>
      <c r="DS6" s="155"/>
      <c r="DT6" s="155"/>
      <c r="DU6" s="155"/>
      <c r="DV6" s="155"/>
      <c r="DW6" s="155"/>
      <c r="DX6" s="155"/>
      <c r="DY6" s="155"/>
      <c r="DZ6" s="155"/>
      <c r="EA6" s="155"/>
      <c r="EB6" s="155"/>
      <c r="EC6" s="155"/>
      <c r="ED6" s="155"/>
      <c r="EE6" s="155"/>
      <c r="EF6" s="155"/>
      <c r="EG6" s="155"/>
      <c r="EH6" s="155"/>
      <c r="EI6" s="155"/>
      <c r="EJ6" s="155"/>
      <c r="EK6" s="155"/>
      <c r="EL6" s="155"/>
      <c r="EM6" s="155"/>
      <c r="EN6" s="155"/>
      <c r="EO6" s="155"/>
      <c r="EP6" s="155"/>
      <c r="EQ6" s="155"/>
      <c r="ER6" s="155"/>
      <c r="ES6" s="155"/>
      <c r="ET6" s="155"/>
      <c r="EU6" s="155"/>
      <c r="EV6" s="155"/>
      <c r="EW6" s="155"/>
      <c r="EX6" s="155"/>
      <c r="EY6" s="155"/>
      <c r="EZ6" s="155"/>
      <c r="FA6" s="155"/>
      <c r="FB6" s="155"/>
      <c r="FC6" s="155"/>
      <c r="FD6" s="155"/>
      <c r="FE6" s="155"/>
      <c r="FF6" s="155"/>
      <c r="FG6" s="155"/>
      <c r="FH6" s="155"/>
      <c r="FI6" s="155"/>
      <c r="FJ6" s="155"/>
      <c r="FK6" s="155"/>
      <c r="FL6" s="155"/>
      <c r="FM6" s="155"/>
      <c r="FN6" s="155"/>
      <c r="FO6" s="155"/>
      <c r="FP6" s="155"/>
      <c r="FQ6" s="155"/>
      <c r="FR6" s="155"/>
      <c r="FS6" s="155"/>
      <c r="FT6" s="155"/>
      <c r="FU6" s="155"/>
      <c r="FV6" s="155"/>
      <c r="FW6" s="155"/>
      <c r="FX6" s="155"/>
      <c r="FY6" s="155"/>
      <c r="FZ6" s="155"/>
      <c r="GA6" s="155"/>
      <c r="GB6" s="155"/>
      <c r="GC6" s="155"/>
      <c r="GD6" s="155"/>
      <c r="GE6" s="155"/>
      <c r="GF6" s="155"/>
      <c r="GG6" s="155"/>
      <c r="GH6" s="155"/>
      <c r="GI6" s="155"/>
      <c r="GJ6" s="155"/>
      <c r="GK6" s="155"/>
      <c r="GL6" s="155"/>
      <c r="GM6" s="155"/>
      <c r="GN6" s="155"/>
      <c r="GO6" s="155"/>
      <c r="GP6" s="155"/>
      <c r="GQ6" s="155"/>
      <c r="GR6" s="155"/>
      <c r="GS6" s="155"/>
      <c r="GT6" s="155"/>
      <c r="GU6" s="155"/>
      <c r="GV6" s="155"/>
      <c r="GW6" s="155"/>
      <c r="GX6" s="155"/>
      <c r="GY6" s="155"/>
      <c r="GZ6" s="155"/>
      <c r="HA6" s="155"/>
      <c r="HB6" s="155"/>
      <c r="HC6" s="155"/>
      <c r="HD6" s="155"/>
      <c r="HE6" s="155"/>
      <c r="HF6" s="155"/>
      <c r="HG6" s="155"/>
      <c r="HH6" s="155"/>
      <c r="HI6" s="155"/>
      <c r="HJ6" s="155"/>
      <c r="HK6" s="155"/>
      <c r="HL6" s="155"/>
      <c r="HM6" s="155"/>
      <c r="HN6" s="155"/>
      <c r="HO6" s="155"/>
      <c r="HP6" s="155"/>
      <c r="HQ6" s="155"/>
      <c r="HR6" s="155"/>
      <c r="HS6" s="155"/>
      <c r="HT6" s="155"/>
      <c r="HU6" s="155"/>
      <c r="HV6" s="155"/>
      <c r="HW6" s="155"/>
      <c r="HX6" s="155"/>
      <c r="HY6" s="155"/>
      <c r="HZ6" s="155"/>
      <c r="IA6" s="155"/>
      <c r="IB6" s="155"/>
      <c r="IC6" s="155"/>
      <c r="ID6" s="155"/>
      <c r="IE6" s="155"/>
      <c r="IF6" s="155"/>
      <c r="IG6" s="155"/>
      <c r="IH6" s="155"/>
      <c r="II6" s="155"/>
      <c r="IJ6" s="155"/>
      <c r="IK6" s="155"/>
      <c r="IL6" s="155"/>
      <c r="IM6" s="155"/>
      <c r="IN6" s="155"/>
      <c r="IO6" s="155"/>
      <c r="IP6" s="155"/>
      <c r="IQ6" s="155"/>
      <c r="IR6" s="155"/>
      <c r="IS6" s="155"/>
      <c r="IT6" s="155"/>
      <c r="IU6" s="155"/>
      <c r="IV6" s="155"/>
    </row>
    <row r="7" s="156" customFormat="true" ht="25.5" hidden="false" customHeight="true" outlineLevel="0" collapsed="false">
      <c r="A7" s="157" t="str">
        <f aca="false">IF(Eingabe!A86="","",Eingabe!A86)</f>
        <v/>
      </c>
      <c r="B7" s="157"/>
      <c r="C7" s="157"/>
      <c r="D7" s="157"/>
      <c r="E7" s="158" t="str">
        <f aca="false">IF(Eingabe!B86="","",Eingabe!B86)</f>
        <v/>
      </c>
      <c r="F7" s="158"/>
      <c r="G7" s="158"/>
      <c r="H7" s="158"/>
      <c r="I7" s="159" t="str">
        <f aca="false">IF(Eingabe!C86="","",Eingabe!C86)</f>
        <v/>
      </c>
      <c r="J7" s="159"/>
      <c r="K7" s="159"/>
      <c r="L7" s="159"/>
      <c r="M7" s="160" t="str">
        <f aca="false">IF(Eingabe!D86&amp;""&amp;Eingabe!E86="","",Eingabe!D86&amp;" 
"&amp;Eingabe!E86)</f>
        <v/>
      </c>
      <c r="N7" s="160"/>
      <c r="O7" s="160"/>
      <c r="P7" s="160"/>
      <c r="Q7" s="160"/>
      <c r="R7" s="160"/>
      <c r="S7" s="160"/>
      <c r="T7" s="160"/>
      <c r="U7" s="160"/>
      <c r="V7" s="160"/>
      <c r="W7" s="160"/>
      <c r="X7" s="160"/>
      <c r="Y7" s="160"/>
      <c r="Z7" s="160"/>
      <c r="AA7" s="160"/>
      <c r="AB7" s="160"/>
      <c r="AC7" s="160"/>
      <c r="AD7" s="160"/>
      <c r="AE7" s="160"/>
      <c r="AF7" s="160"/>
      <c r="AG7" s="159" t="str">
        <f aca="false">IF(Eingabe!F86&amp;""&amp;Eingabe!G86="","",Eingabe!F86&amp;" 
"&amp;Eingabe!G86)</f>
        <v/>
      </c>
      <c r="AH7" s="159"/>
      <c r="AI7" s="159"/>
      <c r="AJ7" s="159"/>
      <c r="AK7" s="159"/>
      <c r="AL7" s="159"/>
      <c r="AM7" s="159"/>
      <c r="AN7" s="159"/>
      <c r="AO7" s="159"/>
      <c r="AP7" s="159"/>
      <c r="AQ7" s="159"/>
      <c r="AR7" s="159"/>
      <c r="AS7" s="159"/>
      <c r="AT7" s="159"/>
      <c r="AU7" s="159"/>
      <c r="AV7" s="159"/>
      <c r="AW7" s="159"/>
      <c r="AX7" s="159" t="str">
        <f aca="false">IF(Eingabe!H86="","",Eingabe!H86)</f>
        <v/>
      </c>
      <c r="AY7" s="159"/>
      <c r="AZ7" s="159"/>
      <c r="BA7" s="159"/>
      <c r="BB7" s="161" t="str">
        <f aca="false">IF(Eingabe!K86="","",Eingabe!K86)</f>
        <v/>
      </c>
      <c r="BC7" s="161"/>
      <c r="BD7" s="161"/>
      <c r="BE7" s="161"/>
      <c r="BF7" s="161"/>
      <c r="BG7" s="161"/>
      <c r="BH7" s="161"/>
      <c r="BI7" s="161"/>
      <c r="BJ7" s="161"/>
      <c r="BK7" s="161"/>
      <c r="BL7" s="161"/>
      <c r="BM7" s="161"/>
      <c r="BN7" s="161"/>
      <c r="BO7" s="155"/>
      <c r="BP7" s="155"/>
      <c r="BQ7" s="155"/>
      <c r="BR7" s="155"/>
      <c r="BS7" s="155"/>
      <c r="BT7" s="155"/>
      <c r="BU7" s="155"/>
      <c r="BV7" s="155"/>
      <c r="BW7" s="155"/>
      <c r="BX7" s="155"/>
      <c r="BY7" s="155"/>
      <c r="BZ7" s="155"/>
      <c r="CA7" s="155"/>
      <c r="CB7" s="155"/>
      <c r="CC7" s="155"/>
      <c r="CD7" s="155"/>
      <c r="CE7" s="155"/>
      <c r="CF7" s="155"/>
      <c r="CG7" s="155"/>
      <c r="CH7" s="155"/>
      <c r="CI7" s="155"/>
      <c r="CJ7" s="155"/>
      <c r="CK7" s="155"/>
      <c r="CL7" s="155"/>
      <c r="CM7" s="155"/>
      <c r="CN7" s="155"/>
      <c r="CO7" s="155"/>
      <c r="CP7" s="155"/>
      <c r="CQ7" s="155"/>
      <c r="CR7" s="155"/>
      <c r="CS7" s="155"/>
      <c r="CT7" s="155"/>
      <c r="CU7" s="155"/>
      <c r="CV7" s="155"/>
      <c r="CW7" s="155"/>
      <c r="CX7" s="155"/>
      <c r="CY7" s="155"/>
      <c r="CZ7" s="155"/>
      <c r="DA7" s="155"/>
      <c r="DB7" s="155"/>
      <c r="DC7" s="155"/>
      <c r="DD7" s="155"/>
      <c r="DE7" s="155"/>
      <c r="DF7" s="155"/>
      <c r="DG7" s="155"/>
      <c r="DH7" s="155"/>
      <c r="DI7" s="155"/>
      <c r="DJ7" s="155"/>
      <c r="DK7" s="155"/>
      <c r="DL7" s="155"/>
      <c r="DM7" s="155"/>
      <c r="DN7" s="155"/>
      <c r="DO7" s="155"/>
      <c r="DP7" s="155"/>
      <c r="DQ7" s="155"/>
      <c r="DR7" s="155"/>
      <c r="DS7" s="155"/>
      <c r="DT7" s="155"/>
      <c r="DU7" s="155"/>
      <c r="DV7" s="155"/>
      <c r="DW7" s="155"/>
      <c r="DX7" s="155"/>
      <c r="DY7" s="155"/>
      <c r="DZ7" s="155"/>
      <c r="EA7" s="155"/>
      <c r="EB7" s="155"/>
      <c r="EC7" s="155"/>
      <c r="ED7" s="155"/>
      <c r="EE7" s="155"/>
      <c r="EF7" s="155"/>
      <c r="EG7" s="155"/>
      <c r="EH7" s="155"/>
      <c r="EI7" s="155"/>
      <c r="EJ7" s="155"/>
      <c r="EK7" s="155"/>
      <c r="EL7" s="155"/>
      <c r="EM7" s="155"/>
      <c r="EN7" s="155"/>
      <c r="EO7" s="155"/>
      <c r="EP7" s="155"/>
      <c r="EQ7" s="155"/>
      <c r="ER7" s="155"/>
      <c r="ES7" s="155"/>
      <c r="ET7" s="155"/>
      <c r="EU7" s="155"/>
      <c r="EV7" s="155"/>
      <c r="EW7" s="155"/>
      <c r="EX7" s="155"/>
      <c r="EY7" s="155"/>
      <c r="EZ7" s="155"/>
      <c r="FA7" s="155"/>
      <c r="FB7" s="155"/>
      <c r="FC7" s="155"/>
      <c r="FD7" s="155"/>
      <c r="FE7" s="155"/>
      <c r="FF7" s="155"/>
      <c r="FG7" s="155"/>
      <c r="FH7" s="155"/>
      <c r="FI7" s="155"/>
      <c r="FJ7" s="155"/>
      <c r="FK7" s="155"/>
      <c r="FL7" s="155"/>
      <c r="FM7" s="155"/>
      <c r="FN7" s="155"/>
      <c r="FO7" s="155"/>
      <c r="FP7" s="155"/>
      <c r="FQ7" s="155"/>
      <c r="FR7" s="155"/>
      <c r="FS7" s="155"/>
      <c r="FT7" s="155"/>
      <c r="FU7" s="155"/>
      <c r="FV7" s="155"/>
      <c r="FW7" s="155"/>
      <c r="FX7" s="155"/>
      <c r="FY7" s="155"/>
      <c r="FZ7" s="155"/>
      <c r="GA7" s="155"/>
      <c r="GB7" s="155"/>
      <c r="GC7" s="155"/>
      <c r="GD7" s="155"/>
      <c r="GE7" s="155"/>
      <c r="GF7" s="155"/>
      <c r="GG7" s="155"/>
      <c r="GH7" s="155"/>
      <c r="GI7" s="155"/>
      <c r="GJ7" s="155"/>
      <c r="GK7" s="155"/>
      <c r="GL7" s="155"/>
      <c r="GM7" s="155"/>
      <c r="GN7" s="155"/>
      <c r="GO7" s="155"/>
      <c r="GP7" s="155"/>
      <c r="GQ7" s="155"/>
      <c r="GR7" s="155"/>
      <c r="GS7" s="155"/>
      <c r="GT7" s="155"/>
      <c r="GU7" s="155"/>
      <c r="GV7" s="155"/>
      <c r="GW7" s="155"/>
      <c r="GX7" s="155"/>
      <c r="GY7" s="155"/>
      <c r="GZ7" s="155"/>
      <c r="HA7" s="155"/>
      <c r="HB7" s="155"/>
      <c r="HC7" s="155"/>
      <c r="HD7" s="155"/>
      <c r="HE7" s="155"/>
      <c r="HF7" s="155"/>
      <c r="HG7" s="155"/>
      <c r="HH7" s="155"/>
      <c r="HI7" s="155"/>
      <c r="HJ7" s="155"/>
      <c r="HK7" s="155"/>
      <c r="HL7" s="155"/>
      <c r="HM7" s="155"/>
      <c r="HN7" s="155"/>
      <c r="HO7" s="155"/>
      <c r="HP7" s="155"/>
      <c r="HQ7" s="155"/>
      <c r="HR7" s="155"/>
      <c r="HS7" s="155"/>
      <c r="HT7" s="155"/>
      <c r="HU7" s="155"/>
      <c r="HV7" s="155"/>
      <c r="HW7" s="155"/>
      <c r="HX7" s="155"/>
      <c r="HY7" s="155"/>
      <c r="HZ7" s="155"/>
      <c r="IA7" s="155"/>
      <c r="IB7" s="155"/>
      <c r="IC7" s="155"/>
      <c r="ID7" s="155"/>
      <c r="IE7" s="155"/>
      <c r="IF7" s="155"/>
      <c r="IG7" s="155"/>
      <c r="IH7" s="155"/>
      <c r="II7" s="155"/>
      <c r="IJ7" s="155"/>
      <c r="IK7" s="155"/>
      <c r="IL7" s="155"/>
      <c r="IM7" s="155"/>
      <c r="IN7" s="155"/>
      <c r="IO7" s="155"/>
      <c r="IP7" s="155"/>
      <c r="IQ7" s="155"/>
      <c r="IR7" s="155"/>
      <c r="IS7" s="155"/>
      <c r="IT7" s="155"/>
      <c r="IU7" s="155"/>
      <c r="IV7" s="155"/>
    </row>
    <row r="8" s="156" customFormat="true" ht="25.5" hidden="false" customHeight="true" outlineLevel="0" collapsed="false">
      <c r="A8" s="157" t="str">
        <f aca="false">IF(Eingabe!A87="","",Eingabe!A87)</f>
        <v/>
      </c>
      <c r="B8" s="157"/>
      <c r="C8" s="157"/>
      <c r="D8" s="157"/>
      <c r="E8" s="158" t="str">
        <f aca="false">IF(Eingabe!B87="","",Eingabe!B87)</f>
        <v/>
      </c>
      <c r="F8" s="158"/>
      <c r="G8" s="158"/>
      <c r="H8" s="158"/>
      <c r="I8" s="159" t="str">
        <f aca="false">IF(Eingabe!C87="","",Eingabe!C87)</f>
        <v/>
      </c>
      <c r="J8" s="159"/>
      <c r="K8" s="159"/>
      <c r="L8" s="159"/>
      <c r="M8" s="160" t="str">
        <f aca="false">IF(Eingabe!D87&amp;""&amp;Eingabe!E87="","",Eingabe!D87&amp;" 
"&amp;Eingabe!E87)</f>
        <v/>
      </c>
      <c r="N8" s="160"/>
      <c r="O8" s="160"/>
      <c r="P8" s="160"/>
      <c r="Q8" s="160"/>
      <c r="R8" s="160"/>
      <c r="S8" s="160"/>
      <c r="T8" s="160"/>
      <c r="U8" s="160"/>
      <c r="V8" s="160"/>
      <c r="W8" s="160"/>
      <c r="X8" s="160"/>
      <c r="Y8" s="160"/>
      <c r="Z8" s="160"/>
      <c r="AA8" s="160"/>
      <c r="AB8" s="160"/>
      <c r="AC8" s="160"/>
      <c r="AD8" s="160"/>
      <c r="AE8" s="160"/>
      <c r="AF8" s="160"/>
      <c r="AG8" s="159" t="str">
        <f aca="false">IF(Eingabe!F87&amp;""&amp;Eingabe!G87="","",Eingabe!F87&amp;" 
"&amp;Eingabe!G87)</f>
        <v/>
      </c>
      <c r="AH8" s="159"/>
      <c r="AI8" s="159"/>
      <c r="AJ8" s="159"/>
      <c r="AK8" s="159"/>
      <c r="AL8" s="159"/>
      <c r="AM8" s="159"/>
      <c r="AN8" s="159"/>
      <c r="AO8" s="159"/>
      <c r="AP8" s="159"/>
      <c r="AQ8" s="159"/>
      <c r="AR8" s="159"/>
      <c r="AS8" s="159"/>
      <c r="AT8" s="159"/>
      <c r="AU8" s="159"/>
      <c r="AV8" s="159"/>
      <c r="AW8" s="159"/>
      <c r="AX8" s="159" t="str">
        <f aca="false">IF(Eingabe!H87="","",Eingabe!H87)</f>
        <v/>
      </c>
      <c r="AY8" s="159"/>
      <c r="AZ8" s="159"/>
      <c r="BA8" s="159"/>
      <c r="BB8" s="161" t="str">
        <f aca="false">IF(Eingabe!K87="","",Eingabe!K87)</f>
        <v/>
      </c>
      <c r="BC8" s="161"/>
      <c r="BD8" s="161"/>
      <c r="BE8" s="161"/>
      <c r="BF8" s="161"/>
      <c r="BG8" s="161"/>
      <c r="BH8" s="161"/>
      <c r="BI8" s="161"/>
      <c r="BJ8" s="161"/>
      <c r="BK8" s="161"/>
      <c r="BL8" s="161"/>
      <c r="BM8" s="161"/>
      <c r="BN8" s="161"/>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c r="CR8" s="155"/>
      <c r="CS8" s="155"/>
      <c r="CT8" s="155"/>
      <c r="CU8" s="155"/>
      <c r="CV8" s="155"/>
      <c r="CW8" s="155"/>
      <c r="CX8" s="155"/>
      <c r="CY8" s="155"/>
      <c r="CZ8" s="155"/>
      <c r="DA8" s="155"/>
      <c r="DB8" s="155"/>
      <c r="DC8" s="155"/>
      <c r="DD8" s="155"/>
      <c r="DE8" s="155"/>
      <c r="DF8" s="155"/>
      <c r="DG8" s="155"/>
      <c r="DH8" s="155"/>
      <c r="DI8" s="155"/>
      <c r="DJ8" s="155"/>
      <c r="DK8" s="155"/>
      <c r="DL8" s="155"/>
      <c r="DM8" s="155"/>
      <c r="DN8" s="155"/>
      <c r="DO8" s="155"/>
      <c r="DP8" s="155"/>
      <c r="DQ8" s="155"/>
      <c r="DR8" s="155"/>
      <c r="DS8" s="155"/>
      <c r="DT8" s="155"/>
      <c r="DU8" s="155"/>
      <c r="DV8" s="155"/>
      <c r="DW8" s="155"/>
      <c r="DX8" s="155"/>
      <c r="DY8" s="155"/>
      <c r="DZ8" s="155"/>
      <c r="EA8" s="155"/>
      <c r="EB8" s="155"/>
      <c r="EC8" s="155"/>
      <c r="ED8" s="155"/>
      <c r="EE8" s="155"/>
      <c r="EF8" s="155"/>
      <c r="EG8" s="155"/>
      <c r="EH8" s="155"/>
      <c r="EI8" s="155"/>
      <c r="EJ8" s="155"/>
      <c r="EK8" s="155"/>
      <c r="EL8" s="155"/>
      <c r="EM8" s="155"/>
      <c r="EN8" s="155"/>
      <c r="EO8" s="155"/>
      <c r="EP8" s="155"/>
      <c r="EQ8" s="155"/>
      <c r="ER8" s="155"/>
      <c r="ES8" s="155"/>
      <c r="ET8" s="155"/>
      <c r="EU8" s="155"/>
      <c r="EV8" s="155"/>
      <c r="EW8" s="155"/>
      <c r="EX8" s="155"/>
      <c r="EY8" s="155"/>
      <c r="EZ8" s="155"/>
      <c r="FA8" s="155"/>
      <c r="FB8" s="155"/>
      <c r="FC8" s="155"/>
      <c r="FD8" s="155"/>
      <c r="FE8" s="155"/>
      <c r="FF8" s="155"/>
      <c r="FG8" s="155"/>
      <c r="FH8" s="155"/>
      <c r="FI8" s="155"/>
      <c r="FJ8" s="155"/>
      <c r="FK8" s="155"/>
      <c r="FL8" s="155"/>
      <c r="FM8" s="155"/>
      <c r="FN8" s="155"/>
      <c r="FO8" s="155"/>
      <c r="FP8" s="155"/>
      <c r="FQ8" s="155"/>
      <c r="FR8" s="155"/>
      <c r="FS8" s="155"/>
      <c r="FT8" s="155"/>
      <c r="FU8" s="155"/>
      <c r="FV8" s="155"/>
      <c r="FW8" s="155"/>
      <c r="FX8" s="155"/>
      <c r="FY8" s="155"/>
      <c r="FZ8" s="155"/>
      <c r="GA8" s="155"/>
      <c r="GB8" s="155"/>
      <c r="GC8" s="155"/>
      <c r="GD8" s="155"/>
      <c r="GE8" s="155"/>
      <c r="GF8" s="155"/>
      <c r="GG8" s="155"/>
      <c r="GH8" s="155"/>
      <c r="GI8" s="155"/>
      <c r="GJ8" s="155"/>
      <c r="GK8" s="155"/>
      <c r="GL8" s="155"/>
      <c r="GM8" s="155"/>
      <c r="GN8" s="155"/>
      <c r="GO8" s="155"/>
      <c r="GP8" s="155"/>
      <c r="GQ8" s="155"/>
      <c r="GR8" s="155"/>
      <c r="GS8" s="155"/>
      <c r="GT8" s="155"/>
      <c r="GU8" s="155"/>
      <c r="GV8" s="155"/>
      <c r="GW8" s="155"/>
      <c r="GX8" s="155"/>
      <c r="GY8" s="155"/>
      <c r="GZ8" s="155"/>
      <c r="HA8" s="155"/>
      <c r="HB8" s="155"/>
      <c r="HC8" s="155"/>
      <c r="HD8" s="155"/>
      <c r="HE8" s="155"/>
      <c r="HF8" s="155"/>
      <c r="HG8" s="155"/>
      <c r="HH8" s="155"/>
      <c r="HI8" s="155"/>
      <c r="HJ8" s="155"/>
      <c r="HK8" s="155"/>
      <c r="HL8" s="155"/>
      <c r="HM8" s="155"/>
      <c r="HN8" s="155"/>
      <c r="HO8" s="155"/>
      <c r="HP8" s="155"/>
      <c r="HQ8" s="155"/>
      <c r="HR8" s="155"/>
      <c r="HS8" s="155"/>
      <c r="HT8" s="155"/>
      <c r="HU8" s="155"/>
      <c r="HV8" s="155"/>
      <c r="HW8" s="155"/>
      <c r="HX8" s="155"/>
      <c r="HY8" s="155"/>
      <c r="HZ8" s="155"/>
      <c r="IA8" s="155"/>
      <c r="IB8" s="155"/>
      <c r="IC8" s="155"/>
      <c r="ID8" s="155"/>
      <c r="IE8" s="155"/>
      <c r="IF8" s="155"/>
      <c r="IG8" s="155"/>
      <c r="IH8" s="155"/>
      <c r="II8" s="155"/>
      <c r="IJ8" s="155"/>
      <c r="IK8" s="155"/>
      <c r="IL8" s="155"/>
      <c r="IM8" s="155"/>
      <c r="IN8" s="155"/>
      <c r="IO8" s="155"/>
      <c r="IP8" s="155"/>
      <c r="IQ8" s="155"/>
      <c r="IR8" s="155"/>
      <c r="IS8" s="155"/>
      <c r="IT8" s="155"/>
      <c r="IU8" s="155"/>
      <c r="IV8" s="155"/>
    </row>
    <row r="9" s="156" customFormat="true" ht="25.5" hidden="false" customHeight="true" outlineLevel="0" collapsed="false">
      <c r="A9" s="157" t="str">
        <f aca="false">IF(Eingabe!A88="","",Eingabe!A88)</f>
        <v/>
      </c>
      <c r="B9" s="157"/>
      <c r="C9" s="157"/>
      <c r="D9" s="157"/>
      <c r="E9" s="158" t="str">
        <f aca="false">IF(Eingabe!B88="","",Eingabe!B88)</f>
        <v/>
      </c>
      <c r="F9" s="158"/>
      <c r="G9" s="158"/>
      <c r="H9" s="158"/>
      <c r="I9" s="159" t="str">
        <f aca="false">IF(Eingabe!C88="","",Eingabe!C88)</f>
        <v/>
      </c>
      <c r="J9" s="159"/>
      <c r="K9" s="159"/>
      <c r="L9" s="159"/>
      <c r="M9" s="160" t="str">
        <f aca="false">IF(Eingabe!D88&amp;""&amp;Eingabe!E88="","",Eingabe!D88&amp;" 
"&amp;Eingabe!E88)</f>
        <v/>
      </c>
      <c r="N9" s="160"/>
      <c r="O9" s="160"/>
      <c r="P9" s="160"/>
      <c r="Q9" s="160"/>
      <c r="R9" s="160"/>
      <c r="S9" s="160"/>
      <c r="T9" s="160"/>
      <c r="U9" s="160"/>
      <c r="V9" s="160"/>
      <c r="W9" s="160"/>
      <c r="X9" s="160"/>
      <c r="Y9" s="160"/>
      <c r="Z9" s="160"/>
      <c r="AA9" s="160"/>
      <c r="AB9" s="160"/>
      <c r="AC9" s="160"/>
      <c r="AD9" s="160"/>
      <c r="AE9" s="160"/>
      <c r="AF9" s="160"/>
      <c r="AG9" s="159" t="str">
        <f aca="false">IF(Eingabe!F88&amp;""&amp;Eingabe!G88="","",Eingabe!F88&amp;" 
"&amp;Eingabe!G88)</f>
        <v/>
      </c>
      <c r="AH9" s="159"/>
      <c r="AI9" s="159"/>
      <c r="AJ9" s="159"/>
      <c r="AK9" s="159"/>
      <c r="AL9" s="159"/>
      <c r="AM9" s="159"/>
      <c r="AN9" s="159"/>
      <c r="AO9" s="159"/>
      <c r="AP9" s="159"/>
      <c r="AQ9" s="159"/>
      <c r="AR9" s="159"/>
      <c r="AS9" s="159"/>
      <c r="AT9" s="159"/>
      <c r="AU9" s="159"/>
      <c r="AV9" s="159"/>
      <c r="AW9" s="159"/>
      <c r="AX9" s="159" t="str">
        <f aca="false">IF(Eingabe!H88="","",Eingabe!H88)</f>
        <v/>
      </c>
      <c r="AY9" s="159"/>
      <c r="AZ9" s="159"/>
      <c r="BA9" s="159"/>
      <c r="BB9" s="161" t="str">
        <f aca="false">IF(Eingabe!K88="","",Eingabe!K88)</f>
        <v/>
      </c>
      <c r="BC9" s="161"/>
      <c r="BD9" s="161"/>
      <c r="BE9" s="161"/>
      <c r="BF9" s="161"/>
      <c r="BG9" s="161"/>
      <c r="BH9" s="161"/>
      <c r="BI9" s="161"/>
      <c r="BJ9" s="161"/>
      <c r="BK9" s="161"/>
      <c r="BL9" s="161"/>
      <c r="BM9" s="161"/>
      <c r="BN9" s="161"/>
      <c r="BO9" s="155"/>
      <c r="BP9" s="155"/>
      <c r="BQ9" s="155"/>
      <c r="BR9" s="155"/>
      <c r="BS9" s="155"/>
      <c r="BT9" s="155"/>
      <c r="BU9" s="155"/>
      <c r="BV9" s="155"/>
      <c r="BW9" s="155"/>
      <c r="BX9" s="155"/>
      <c r="BY9" s="155"/>
      <c r="BZ9" s="155"/>
      <c r="CA9" s="155"/>
      <c r="CB9" s="155"/>
      <c r="CC9" s="155"/>
      <c r="CD9" s="155"/>
      <c r="CE9" s="155"/>
      <c r="CF9" s="155"/>
      <c r="CG9" s="155"/>
      <c r="CH9" s="155"/>
      <c r="CI9" s="155"/>
      <c r="CJ9" s="155"/>
      <c r="CK9" s="155"/>
      <c r="CL9" s="155"/>
      <c r="CM9" s="155"/>
      <c r="CN9" s="155"/>
      <c r="CO9" s="155"/>
      <c r="CP9" s="155"/>
      <c r="CQ9" s="155"/>
      <c r="CR9" s="155"/>
      <c r="CS9" s="155"/>
      <c r="CT9" s="155"/>
      <c r="CU9" s="155"/>
      <c r="CV9" s="155"/>
      <c r="CW9" s="155"/>
      <c r="CX9" s="155"/>
      <c r="CY9" s="155"/>
      <c r="CZ9" s="155"/>
      <c r="DA9" s="155"/>
      <c r="DB9" s="155"/>
      <c r="DC9" s="155"/>
      <c r="DD9" s="155"/>
      <c r="DE9" s="155"/>
      <c r="DF9" s="155"/>
      <c r="DG9" s="155"/>
      <c r="DH9" s="155"/>
      <c r="DI9" s="155"/>
      <c r="DJ9" s="155"/>
      <c r="DK9" s="155"/>
      <c r="DL9" s="155"/>
      <c r="DM9" s="155"/>
      <c r="DN9" s="155"/>
      <c r="DO9" s="155"/>
      <c r="DP9" s="155"/>
      <c r="DQ9" s="155"/>
      <c r="DR9" s="155"/>
      <c r="DS9" s="155"/>
      <c r="DT9" s="155"/>
      <c r="DU9" s="155"/>
      <c r="DV9" s="155"/>
      <c r="DW9" s="155"/>
      <c r="DX9" s="155"/>
      <c r="DY9" s="155"/>
      <c r="DZ9" s="155"/>
      <c r="EA9" s="155"/>
      <c r="EB9" s="155"/>
      <c r="EC9" s="155"/>
      <c r="ED9" s="155"/>
      <c r="EE9" s="155"/>
      <c r="EF9" s="155"/>
      <c r="EG9" s="155"/>
      <c r="EH9" s="155"/>
      <c r="EI9" s="155"/>
      <c r="EJ9" s="155"/>
      <c r="EK9" s="155"/>
      <c r="EL9" s="155"/>
      <c r="EM9" s="155"/>
      <c r="EN9" s="155"/>
      <c r="EO9" s="155"/>
      <c r="EP9" s="155"/>
      <c r="EQ9" s="155"/>
      <c r="ER9" s="155"/>
      <c r="ES9" s="155"/>
      <c r="ET9" s="155"/>
      <c r="EU9" s="155"/>
      <c r="EV9" s="155"/>
      <c r="EW9" s="155"/>
      <c r="EX9" s="155"/>
      <c r="EY9" s="155"/>
      <c r="EZ9" s="155"/>
      <c r="FA9" s="155"/>
      <c r="FB9" s="155"/>
      <c r="FC9" s="155"/>
      <c r="FD9" s="155"/>
      <c r="FE9" s="155"/>
      <c r="FF9" s="155"/>
      <c r="FG9" s="155"/>
      <c r="FH9" s="155"/>
      <c r="FI9" s="155"/>
      <c r="FJ9" s="155"/>
      <c r="FK9" s="155"/>
      <c r="FL9" s="155"/>
      <c r="FM9" s="155"/>
      <c r="FN9" s="155"/>
      <c r="FO9" s="155"/>
      <c r="FP9" s="155"/>
      <c r="FQ9" s="155"/>
      <c r="FR9" s="155"/>
      <c r="FS9" s="155"/>
      <c r="FT9" s="155"/>
      <c r="FU9" s="155"/>
      <c r="FV9" s="155"/>
      <c r="FW9" s="155"/>
      <c r="FX9" s="155"/>
      <c r="FY9" s="155"/>
      <c r="FZ9" s="155"/>
      <c r="GA9" s="155"/>
      <c r="GB9" s="155"/>
      <c r="GC9" s="155"/>
      <c r="GD9" s="155"/>
      <c r="GE9" s="155"/>
      <c r="GF9" s="155"/>
      <c r="GG9" s="155"/>
      <c r="GH9" s="155"/>
      <c r="GI9" s="155"/>
      <c r="GJ9" s="155"/>
      <c r="GK9" s="155"/>
      <c r="GL9" s="155"/>
      <c r="GM9" s="155"/>
      <c r="GN9" s="155"/>
      <c r="GO9" s="155"/>
      <c r="GP9" s="155"/>
      <c r="GQ9" s="155"/>
      <c r="GR9" s="155"/>
      <c r="GS9" s="155"/>
      <c r="GT9" s="155"/>
      <c r="GU9" s="155"/>
      <c r="GV9" s="155"/>
      <c r="GW9" s="155"/>
      <c r="GX9" s="155"/>
      <c r="GY9" s="155"/>
      <c r="GZ9" s="155"/>
      <c r="HA9" s="155"/>
      <c r="HB9" s="155"/>
      <c r="HC9" s="155"/>
      <c r="HD9" s="155"/>
      <c r="HE9" s="155"/>
      <c r="HF9" s="155"/>
      <c r="HG9" s="155"/>
      <c r="HH9" s="155"/>
      <c r="HI9" s="155"/>
      <c r="HJ9" s="155"/>
      <c r="HK9" s="155"/>
      <c r="HL9" s="155"/>
      <c r="HM9" s="155"/>
      <c r="HN9" s="155"/>
      <c r="HO9" s="155"/>
      <c r="HP9" s="155"/>
      <c r="HQ9" s="155"/>
      <c r="HR9" s="155"/>
      <c r="HS9" s="155"/>
      <c r="HT9" s="155"/>
      <c r="HU9" s="155"/>
      <c r="HV9" s="155"/>
      <c r="HW9" s="155"/>
      <c r="HX9" s="155"/>
      <c r="HY9" s="155"/>
      <c r="HZ9" s="155"/>
      <c r="IA9" s="155"/>
      <c r="IB9" s="155"/>
      <c r="IC9" s="155"/>
      <c r="ID9" s="155"/>
      <c r="IE9" s="155"/>
      <c r="IF9" s="155"/>
      <c r="IG9" s="155"/>
      <c r="IH9" s="155"/>
      <c r="II9" s="155"/>
      <c r="IJ9" s="155"/>
      <c r="IK9" s="155"/>
      <c r="IL9" s="155"/>
      <c r="IM9" s="155"/>
      <c r="IN9" s="155"/>
      <c r="IO9" s="155"/>
      <c r="IP9" s="155"/>
      <c r="IQ9" s="155"/>
      <c r="IR9" s="155"/>
      <c r="IS9" s="155"/>
      <c r="IT9" s="155"/>
      <c r="IU9" s="155"/>
      <c r="IV9" s="155"/>
    </row>
    <row r="10" s="156" customFormat="true" ht="25.5" hidden="false" customHeight="true" outlineLevel="0" collapsed="false">
      <c r="A10" s="157" t="str">
        <f aca="false">IF(Eingabe!A89="","",Eingabe!A89)</f>
        <v/>
      </c>
      <c r="B10" s="157"/>
      <c r="C10" s="157"/>
      <c r="D10" s="157"/>
      <c r="E10" s="158" t="str">
        <f aca="false">IF(Eingabe!B89="","",Eingabe!B89)</f>
        <v/>
      </c>
      <c r="F10" s="158"/>
      <c r="G10" s="158"/>
      <c r="H10" s="158"/>
      <c r="I10" s="159" t="str">
        <f aca="false">IF(Eingabe!C89="","",Eingabe!C89)</f>
        <v/>
      </c>
      <c r="J10" s="159"/>
      <c r="K10" s="159"/>
      <c r="L10" s="159"/>
      <c r="M10" s="160" t="str">
        <f aca="false">IF(Eingabe!D89&amp;""&amp;Eingabe!E89="","",Eingabe!D89&amp;" 
"&amp;Eingabe!E89)</f>
        <v/>
      </c>
      <c r="N10" s="160"/>
      <c r="O10" s="160"/>
      <c r="P10" s="160"/>
      <c r="Q10" s="160"/>
      <c r="R10" s="160"/>
      <c r="S10" s="160"/>
      <c r="T10" s="160"/>
      <c r="U10" s="160"/>
      <c r="V10" s="160"/>
      <c r="W10" s="160"/>
      <c r="X10" s="160"/>
      <c r="Y10" s="160"/>
      <c r="Z10" s="160"/>
      <c r="AA10" s="160"/>
      <c r="AB10" s="160"/>
      <c r="AC10" s="160"/>
      <c r="AD10" s="160"/>
      <c r="AE10" s="160"/>
      <c r="AF10" s="160"/>
      <c r="AG10" s="159" t="str">
        <f aca="false">IF(Eingabe!F89&amp;""&amp;Eingabe!G89="","",Eingabe!F89&amp;" 
"&amp;Eingabe!G89)</f>
        <v/>
      </c>
      <c r="AH10" s="159"/>
      <c r="AI10" s="159"/>
      <c r="AJ10" s="159"/>
      <c r="AK10" s="159"/>
      <c r="AL10" s="159"/>
      <c r="AM10" s="159"/>
      <c r="AN10" s="159"/>
      <c r="AO10" s="159"/>
      <c r="AP10" s="159"/>
      <c r="AQ10" s="159"/>
      <c r="AR10" s="159"/>
      <c r="AS10" s="159"/>
      <c r="AT10" s="159"/>
      <c r="AU10" s="159"/>
      <c r="AV10" s="159"/>
      <c r="AW10" s="159"/>
      <c r="AX10" s="159" t="str">
        <f aca="false">IF(Eingabe!H89="","",Eingabe!H89)</f>
        <v/>
      </c>
      <c r="AY10" s="159"/>
      <c r="AZ10" s="159"/>
      <c r="BA10" s="159"/>
      <c r="BB10" s="161" t="str">
        <f aca="false">IF(Eingabe!K89="","",Eingabe!K89)</f>
        <v/>
      </c>
      <c r="BC10" s="161"/>
      <c r="BD10" s="161"/>
      <c r="BE10" s="161"/>
      <c r="BF10" s="161"/>
      <c r="BG10" s="161"/>
      <c r="BH10" s="161"/>
      <c r="BI10" s="161"/>
      <c r="BJ10" s="161"/>
      <c r="BK10" s="161"/>
      <c r="BL10" s="161"/>
      <c r="BM10" s="161"/>
      <c r="BN10" s="161"/>
      <c r="BO10" s="155"/>
      <c r="BP10" s="155"/>
      <c r="BQ10" s="155"/>
      <c r="BR10" s="155"/>
      <c r="BS10" s="155"/>
      <c r="BT10" s="155"/>
      <c r="BU10" s="155"/>
      <c r="BV10" s="155"/>
      <c r="BW10" s="155"/>
      <c r="BX10" s="155"/>
      <c r="BY10" s="155"/>
      <c r="BZ10" s="155"/>
      <c r="CA10" s="155"/>
      <c r="CB10" s="155"/>
      <c r="CC10" s="155"/>
      <c r="CD10" s="155"/>
      <c r="CE10" s="155"/>
      <c r="CF10" s="155"/>
      <c r="CG10" s="155"/>
      <c r="CH10" s="155"/>
      <c r="CI10" s="155"/>
      <c r="CJ10" s="155"/>
      <c r="CK10" s="155"/>
      <c r="CL10" s="155"/>
      <c r="CM10" s="155"/>
      <c r="CN10" s="155"/>
      <c r="CO10" s="155"/>
      <c r="CP10" s="155"/>
      <c r="CQ10" s="155"/>
      <c r="CR10" s="155"/>
      <c r="CS10" s="155"/>
      <c r="CT10" s="155"/>
      <c r="CU10" s="155"/>
      <c r="CV10" s="155"/>
      <c r="CW10" s="155"/>
      <c r="CX10" s="155"/>
      <c r="CY10" s="155"/>
      <c r="CZ10" s="155"/>
      <c r="DA10" s="155"/>
      <c r="DB10" s="155"/>
      <c r="DC10" s="155"/>
      <c r="DD10" s="155"/>
      <c r="DE10" s="155"/>
      <c r="DF10" s="155"/>
      <c r="DG10" s="155"/>
      <c r="DH10" s="155"/>
      <c r="DI10" s="155"/>
      <c r="DJ10" s="155"/>
      <c r="DK10" s="155"/>
      <c r="DL10" s="155"/>
      <c r="DM10" s="155"/>
      <c r="DN10" s="155"/>
      <c r="DO10" s="155"/>
      <c r="DP10" s="155"/>
      <c r="DQ10" s="155"/>
      <c r="DR10" s="155"/>
      <c r="DS10" s="155"/>
      <c r="DT10" s="155"/>
      <c r="DU10" s="155"/>
      <c r="DV10" s="155"/>
      <c r="DW10" s="155"/>
      <c r="DX10" s="155"/>
      <c r="DY10" s="155"/>
      <c r="DZ10" s="155"/>
      <c r="EA10" s="155"/>
      <c r="EB10" s="155"/>
      <c r="EC10" s="155"/>
      <c r="ED10" s="155"/>
      <c r="EE10" s="155"/>
      <c r="EF10" s="155"/>
      <c r="EG10" s="155"/>
      <c r="EH10" s="155"/>
      <c r="EI10" s="155"/>
      <c r="EJ10" s="155"/>
      <c r="EK10" s="155"/>
      <c r="EL10" s="155"/>
      <c r="EM10" s="155"/>
      <c r="EN10" s="155"/>
      <c r="EO10" s="155"/>
      <c r="EP10" s="155"/>
      <c r="EQ10" s="155"/>
      <c r="ER10" s="155"/>
      <c r="ES10" s="155"/>
      <c r="ET10" s="155"/>
      <c r="EU10" s="155"/>
      <c r="EV10" s="155"/>
      <c r="EW10" s="155"/>
      <c r="EX10" s="155"/>
      <c r="EY10" s="155"/>
      <c r="EZ10" s="155"/>
      <c r="FA10" s="155"/>
      <c r="FB10" s="155"/>
      <c r="FC10" s="155"/>
      <c r="FD10" s="155"/>
      <c r="FE10" s="155"/>
      <c r="FF10" s="155"/>
      <c r="FG10" s="155"/>
      <c r="FH10" s="155"/>
      <c r="FI10" s="155"/>
      <c r="FJ10" s="155"/>
      <c r="FK10" s="155"/>
      <c r="FL10" s="155"/>
      <c r="FM10" s="155"/>
      <c r="FN10" s="155"/>
      <c r="FO10" s="155"/>
      <c r="FP10" s="155"/>
      <c r="FQ10" s="155"/>
      <c r="FR10" s="155"/>
      <c r="FS10" s="155"/>
      <c r="FT10" s="155"/>
      <c r="FU10" s="155"/>
      <c r="FV10" s="155"/>
      <c r="FW10" s="155"/>
      <c r="FX10" s="155"/>
      <c r="FY10" s="155"/>
      <c r="FZ10" s="155"/>
      <c r="GA10" s="155"/>
      <c r="GB10" s="155"/>
      <c r="GC10" s="155"/>
      <c r="GD10" s="155"/>
      <c r="GE10" s="155"/>
      <c r="GF10" s="155"/>
      <c r="GG10" s="155"/>
      <c r="GH10" s="155"/>
      <c r="GI10" s="155"/>
      <c r="GJ10" s="155"/>
      <c r="GK10" s="155"/>
      <c r="GL10" s="155"/>
      <c r="GM10" s="155"/>
      <c r="GN10" s="155"/>
      <c r="GO10" s="155"/>
      <c r="GP10" s="155"/>
      <c r="GQ10" s="155"/>
      <c r="GR10" s="155"/>
      <c r="GS10" s="155"/>
      <c r="GT10" s="155"/>
      <c r="GU10" s="155"/>
      <c r="GV10" s="155"/>
      <c r="GW10" s="155"/>
      <c r="GX10" s="155"/>
      <c r="GY10" s="155"/>
      <c r="GZ10" s="155"/>
      <c r="HA10" s="155"/>
      <c r="HB10" s="155"/>
      <c r="HC10" s="155"/>
      <c r="HD10" s="155"/>
      <c r="HE10" s="155"/>
      <c r="HF10" s="155"/>
      <c r="HG10" s="155"/>
      <c r="HH10" s="155"/>
      <c r="HI10" s="155"/>
      <c r="HJ10" s="155"/>
      <c r="HK10" s="155"/>
      <c r="HL10" s="155"/>
      <c r="HM10" s="155"/>
      <c r="HN10" s="155"/>
      <c r="HO10" s="155"/>
      <c r="HP10" s="155"/>
      <c r="HQ10" s="155"/>
      <c r="HR10" s="155"/>
      <c r="HS10" s="155"/>
      <c r="HT10" s="155"/>
      <c r="HU10" s="155"/>
      <c r="HV10" s="155"/>
      <c r="HW10" s="155"/>
      <c r="HX10" s="155"/>
      <c r="HY10" s="155"/>
      <c r="HZ10" s="155"/>
      <c r="IA10" s="155"/>
      <c r="IB10" s="155"/>
      <c r="IC10" s="155"/>
      <c r="ID10" s="155"/>
      <c r="IE10" s="155"/>
      <c r="IF10" s="155"/>
      <c r="IG10" s="155"/>
      <c r="IH10" s="155"/>
      <c r="II10" s="155"/>
      <c r="IJ10" s="155"/>
      <c r="IK10" s="155"/>
      <c r="IL10" s="155"/>
      <c r="IM10" s="155"/>
      <c r="IN10" s="155"/>
      <c r="IO10" s="155"/>
      <c r="IP10" s="155"/>
      <c r="IQ10" s="155"/>
      <c r="IR10" s="155"/>
      <c r="IS10" s="155"/>
      <c r="IT10" s="155"/>
      <c r="IU10" s="155"/>
      <c r="IV10" s="155"/>
    </row>
    <row r="11" s="156" customFormat="true" ht="25.5" hidden="false" customHeight="true" outlineLevel="0" collapsed="false">
      <c r="A11" s="157" t="str">
        <f aca="false">IF(Eingabe!A90="","",Eingabe!A90)</f>
        <v/>
      </c>
      <c r="B11" s="157"/>
      <c r="C11" s="157"/>
      <c r="D11" s="157"/>
      <c r="E11" s="158" t="str">
        <f aca="false">IF(Eingabe!B90="","",Eingabe!B90)</f>
        <v/>
      </c>
      <c r="F11" s="158"/>
      <c r="G11" s="158"/>
      <c r="H11" s="158"/>
      <c r="I11" s="159" t="str">
        <f aca="false">IF(Eingabe!C90="","",Eingabe!C90)</f>
        <v/>
      </c>
      <c r="J11" s="159"/>
      <c r="K11" s="159"/>
      <c r="L11" s="159"/>
      <c r="M11" s="160" t="str">
        <f aca="false">IF(Eingabe!D90&amp;""&amp;Eingabe!E90="","",Eingabe!D90&amp;" 
"&amp;Eingabe!E90)</f>
        <v/>
      </c>
      <c r="N11" s="160"/>
      <c r="O11" s="160"/>
      <c r="P11" s="160"/>
      <c r="Q11" s="160"/>
      <c r="R11" s="160"/>
      <c r="S11" s="160"/>
      <c r="T11" s="160"/>
      <c r="U11" s="160"/>
      <c r="V11" s="160"/>
      <c r="W11" s="160"/>
      <c r="X11" s="160"/>
      <c r="Y11" s="160"/>
      <c r="Z11" s="160"/>
      <c r="AA11" s="160"/>
      <c r="AB11" s="160"/>
      <c r="AC11" s="160"/>
      <c r="AD11" s="160"/>
      <c r="AE11" s="160"/>
      <c r="AF11" s="160"/>
      <c r="AG11" s="159" t="str">
        <f aca="false">IF(Eingabe!F90&amp;""&amp;Eingabe!G90="","",Eingabe!F90&amp;" 
"&amp;Eingabe!G90)</f>
        <v/>
      </c>
      <c r="AH11" s="159"/>
      <c r="AI11" s="159"/>
      <c r="AJ11" s="159"/>
      <c r="AK11" s="159"/>
      <c r="AL11" s="159"/>
      <c r="AM11" s="159"/>
      <c r="AN11" s="159"/>
      <c r="AO11" s="159"/>
      <c r="AP11" s="159"/>
      <c r="AQ11" s="159"/>
      <c r="AR11" s="159"/>
      <c r="AS11" s="159"/>
      <c r="AT11" s="159"/>
      <c r="AU11" s="159"/>
      <c r="AV11" s="159"/>
      <c r="AW11" s="159"/>
      <c r="AX11" s="159" t="str">
        <f aca="false">IF(Eingabe!H90="","",Eingabe!H90)</f>
        <v/>
      </c>
      <c r="AY11" s="159"/>
      <c r="AZ11" s="159"/>
      <c r="BA11" s="159"/>
      <c r="BB11" s="161" t="str">
        <f aca="false">IF(Eingabe!K90="","",Eingabe!K90)</f>
        <v/>
      </c>
      <c r="BC11" s="161"/>
      <c r="BD11" s="161"/>
      <c r="BE11" s="161"/>
      <c r="BF11" s="161"/>
      <c r="BG11" s="161"/>
      <c r="BH11" s="161"/>
      <c r="BI11" s="161"/>
      <c r="BJ11" s="161"/>
      <c r="BK11" s="161"/>
      <c r="BL11" s="161"/>
      <c r="BM11" s="161"/>
      <c r="BN11" s="161"/>
      <c r="BO11" s="155"/>
      <c r="BP11" s="155"/>
      <c r="BQ11" s="155"/>
      <c r="BR11" s="155"/>
      <c r="BS11" s="155"/>
      <c r="BT11" s="155"/>
      <c r="BU11" s="155"/>
      <c r="BV11" s="155"/>
      <c r="BW11" s="155"/>
      <c r="BX11" s="155"/>
      <c r="BY11" s="155"/>
      <c r="BZ11" s="155"/>
      <c r="CA11" s="155"/>
      <c r="CB11" s="155"/>
      <c r="CC11" s="155"/>
      <c r="CD11" s="155"/>
      <c r="CE11" s="155"/>
      <c r="CF11" s="155"/>
      <c r="CG11" s="155"/>
      <c r="CH11" s="155"/>
      <c r="CI11" s="155"/>
      <c r="CJ11" s="155"/>
      <c r="CK11" s="155"/>
      <c r="CL11" s="155"/>
      <c r="CM11" s="155"/>
      <c r="CN11" s="155"/>
      <c r="CO11" s="155"/>
      <c r="CP11" s="155"/>
      <c r="CQ11" s="155"/>
      <c r="CR11" s="155"/>
      <c r="CS11" s="155"/>
      <c r="CT11" s="155"/>
      <c r="CU11" s="155"/>
      <c r="CV11" s="155"/>
      <c r="CW11" s="155"/>
      <c r="CX11" s="155"/>
      <c r="CY11" s="155"/>
      <c r="CZ11" s="155"/>
      <c r="DA11" s="155"/>
      <c r="DB11" s="155"/>
      <c r="DC11" s="155"/>
      <c r="DD11" s="155"/>
      <c r="DE11" s="155"/>
      <c r="DF11" s="155"/>
      <c r="DG11" s="155"/>
      <c r="DH11" s="155"/>
      <c r="DI11" s="155"/>
      <c r="DJ11" s="155"/>
      <c r="DK11" s="155"/>
      <c r="DL11" s="155"/>
      <c r="DM11" s="155"/>
      <c r="DN11" s="155"/>
      <c r="DO11" s="155"/>
      <c r="DP11" s="155"/>
      <c r="DQ11" s="155"/>
      <c r="DR11" s="155"/>
      <c r="DS11" s="155"/>
      <c r="DT11" s="155"/>
      <c r="DU11" s="155"/>
      <c r="DV11" s="155"/>
      <c r="DW11" s="155"/>
      <c r="DX11" s="155"/>
      <c r="DY11" s="155"/>
      <c r="DZ11" s="155"/>
      <c r="EA11" s="155"/>
      <c r="EB11" s="155"/>
      <c r="EC11" s="155"/>
      <c r="ED11" s="155"/>
      <c r="EE11" s="155"/>
      <c r="EF11" s="155"/>
      <c r="EG11" s="155"/>
      <c r="EH11" s="155"/>
      <c r="EI11" s="155"/>
      <c r="EJ11" s="155"/>
      <c r="EK11" s="155"/>
      <c r="EL11" s="155"/>
      <c r="EM11" s="155"/>
      <c r="EN11" s="155"/>
      <c r="EO11" s="155"/>
      <c r="EP11" s="155"/>
      <c r="EQ11" s="155"/>
      <c r="ER11" s="155"/>
      <c r="ES11" s="155"/>
      <c r="ET11" s="155"/>
      <c r="EU11" s="155"/>
      <c r="EV11" s="155"/>
      <c r="EW11" s="155"/>
      <c r="EX11" s="155"/>
      <c r="EY11" s="155"/>
      <c r="EZ11" s="155"/>
      <c r="FA11" s="155"/>
      <c r="FB11" s="155"/>
      <c r="FC11" s="155"/>
      <c r="FD11" s="155"/>
      <c r="FE11" s="155"/>
      <c r="FF11" s="155"/>
      <c r="FG11" s="155"/>
      <c r="FH11" s="155"/>
      <c r="FI11" s="155"/>
      <c r="FJ11" s="155"/>
      <c r="FK11" s="155"/>
      <c r="FL11" s="155"/>
      <c r="FM11" s="155"/>
      <c r="FN11" s="155"/>
      <c r="FO11" s="155"/>
      <c r="FP11" s="155"/>
      <c r="FQ11" s="155"/>
      <c r="FR11" s="155"/>
      <c r="FS11" s="155"/>
      <c r="FT11" s="155"/>
      <c r="FU11" s="155"/>
      <c r="FV11" s="155"/>
      <c r="FW11" s="155"/>
      <c r="FX11" s="155"/>
      <c r="FY11" s="155"/>
      <c r="FZ11" s="155"/>
      <c r="GA11" s="155"/>
      <c r="GB11" s="155"/>
      <c r="GC11" s="155"/>
      <c r="GD11" s="155"/>
      <c r="GE11" s="155"/>
      <c r="GF11" s="155"/>
      <c r="GG11" s="155"/>
      <c r="GH11" s="155"/>
      <c r="GI11" s="155"/>
      <c r="GJ11" s="155"/>
      <c r="GK11" s="155"/>
      <c r="GL11" s="155"/>
      <c r="GM11" s="155"/>
      <c r="GN11" s="155"/>
      <c r="GO11" s="155"/>
      <c r="GP11" s="155"/>
      <c r="GQ11" s="155"/>
      <c r="GR11" s="155"/>
      <c r="GS11" s="155"/>
      <c r="GT11" s="155"/>
      <c r="GU11" s="155"/>
      <c r="GV11" s="155"/>
      <c r="GW11" s="155"/>
      <c r="GX11" s="155"/>
      <c r="GY11" s="155"/>
      <c r="GZ11" s="155"/>
      <c r="HA11" s="155"/>
      <c r="HB11" s="155"/>
      <c r="HC11" s="155"/>
      <c r="HD11" s="155"/>
      <c r="HE11" s="155"/>
      <c r="HF11" s="155"/>
      <c r="HG11" s="155"/>
      <c r="HH11" s="155"/>
      <c r="HI11" s="155"/>
      <c r="HJ11" s="155"/>
      <c r="HK11" s="155"/>
      <c r="HL11" s="155"/>
      <c r="HM11" s="155"/>
      <c r="HN11" s="155"/>
      <c r="HO11" s="155"/>
      <c r="HP11" s="155"/>
      <c r="HQ11" s="155"/>
      <c r="HR11" s="155"/>
      <c r="HS11" s="155"/>
      <c r="HT11" s="155"/>
      <c r="HU11" s="155"/>
      <c r="HV11" s="155"/>
      <c r="HW11" s="155"/>
      <c r="HX11" s="155"/>
      <c r="HY11" s="155"/>
      <c r="HZ11" s="155"/>
      <c r="IA11" s="155"/>
      <c r="IB11" s="155"/>
      <c r="IC11" s="155"/>
      <c r="ID11" s="155"/>
      <c r="IE11" s="155"/>
      <c r="IF11" s="155"/>
      <c r="IG11" s="155"/>
      <c r="IH11" s="155"/>
      <c r="II11" s="155"/>
      <c r="IJ11" s="155"/>
      <c r="IK11" s="155"/>
      <c r="IL11" s="155"/>
      <c r="IM11" s="155"/>
      <c r="IN11" s="155"/>
      <c r="IO11" s="155"/>
      <c r="IP11" s="155"/>
      <c r="IQ11" s="155"/>
      <c r="IR11" s="155"/>
      <c r="IS11" s="155"/>
      <c r="IT11" s="155"/>
      <c r="IU11" s="155"/>
      <c r="IV11" s="155"/>
    </row>
    <row r="12" s="156" customFormat="true" ht="25.5" hidden="false" customHeight="true" outlineLevel="0" collapsed="false">
      <c r="A12" s="157" t="str">
        <f aca="false">IF(Eingabe!A91="","",Eingabe!A91)</f>
        <v/>
      </c>
      <c r="B12" s="157"/>
      <c r="C12" s="157"/>
      <c r="D12" s="157"/>
      <c r="E12" s="158" t="str">
        <f aca="false">IF(Eingabe!B91="","",Eingabe!B91)</f>
        <v/>
      </c>
      <c r="F12" s="158"/>
      <c r="G12" s="158"/>
      <c r="H12" s="158"/>
      <c r="I12" s="159" t="str">
        <f aca="false">IF(Eingabe!C91="","",Eingabe!C91)</f>
        <v/>
      </c>
      <c r="J12" s="159"/>
      <c r="K12" s="159"/>
      <c r="L12" s="159"/>
      <c r="M12" s="160" t="str">
        <f aca="false">IF(Eingabe!D91&amp;""&amp;Eingabe!E91="","",Eingabe!D91&amp;" 
"&amp;Eingabe!E91)</f>
        <v/>
      </c>
      <c r="N12" s="160"/>
      <c r="O12" s="160"/>
      <c r="P12" s="160"/>
      <c r="Q12" s="160"/>
      <c r="R12" s="160"/>
      <c r="S12" s="160"/>
      <c r="T12" s="160"/>
      <c r="U12" s="160"/>
      <c r="V12" s="160"/>
      <c r="W12" s="160"/>
      <c r="X12" s="160"/>
      <c r="Y12" s="160"/>
      <c r="Z12" s="160"/>
      <c r="AA12" s="160"/>
      <c r="AB12" s="160"/>
      <c r="AC12" s="160"/>
      <c r="AD12" s="160"/>
      <c r="AE12" s="160"/>
      <c r="AF12" s="160"/>
      <c r="AG12" s="159" t="str">
        <f aca="false">IF(Eingabe!F91&amp;""&amp;Eingabe!G91="","",Eingabe!F91&amp;" 
"&amp;Eingabe!G91)</f>
        <v/>
      </c>
      <c r="AH12" s="159"/>
      <c r="AI12" s="159"/>
      <c r="AJ12" s="159"/>
      <c r="AK12" s="159"/>
      <c r="AL12" s="159"/>
      <c r="AM12" s="159"/>
      <c r="AN12" s="159"/>
      <c r="AO12" s="159"/>
      <c r="AP12" s="159"/>
      <c r="AQ12" s="159"/>
      <c r="AR12" s="159"/>
      <c r="AS12" s="159"/>
      <c r="AT12" s="159"/>
      <c r="AU12" s="159"/>
      <c r="AV12" s="159"/>
      <c r="AW12" s="159"/>
      <c r="AX12" s="159" t="str">
        <f aca="false">IF(Eingabe!H91="","",Eingabe!H91)</f>
        <v/>
      </c>
      <c r="AY12" s="159"/>
      <c r="AZ12" s="159"/>
      <c r="BA12" s="159"/>
      <c r="BB12" s="161" t="str">
        <f aca="false">IF(Eingabe!K91="","",Eingabe!K91)</f>
        <v/>
      </c>
      <c r="BC12" s="161"/>
      <c r="BD12" s="161"/>
      <c r="BE12" s="161"/>
      <c r="BF12" s="161"/>
      <c r="BG12" s="161"/>
      <c r="BH12" s="161"/>
      <c r="BI12" s="161"/>
      <c r="BJ12" s="161"/>
      <c r="BK12" s="161"/>
      <c r="BL12" s="161"/>
      <c r="BM12" s="161"/>
      <c r="BN12" s="161"/>
      <c r="BO12" s="155"/>
      <c r="BP12" s="155"/>
      <c r="BQ12" s="155"/>
      <c r="BR12" s="155"/>
      <c r="BS12" s="155"/>
      <c r="BT12" s="155"/>
      <c r="BU12" s="155"/>
      <c r="BV12" s="155"/>
      <c r="BW12" s="155"/>
      <c r="BX12" s="155"/>
      <c r="BY12" s="155"/>
      <c r="BZ12" s="155"/>
      <c r="CA12" s="155"/>
      <c r="CB12" s="155"/>
      <c r="CC12" s="155"/>
      <c r="CD12" s="155"/>
      <c r="CE12" s="155"/>
      <c r="CF12" s="155"/>
      <c r="CG12" s="155"/>
      <c r="CH12" s="155"/>
      <c r="CI12" s="155"/>
      <c r="CJ12" s="155"/>
      <c r="CK12" s="155"/>
      <c r="CL12" s="155"/>
      <c r="CM12" s="155"/>
      <c r="CN12" s="155"/>
      <c r="CO12" s="155"/>
      <c r="CP12" s="155"/>
      <c r="CQ12" s="155"/>
      <c r="CR12" s="155"/>
      <c r="CS12" s="155"/>
      <c r="CT12" s="155"/>
      <c r="CU12" s="155"/>
      <c r="CV12" s="155"/>
      <c r="CW12" s="155"/>
      <c r="CX12" s="155"/>
      <c r="CY12" s="155"/>
      <c r="CZ12" s="155"/>
      <c r="DA12" s="155"/>
      <c r="DB12" s="155"/>
      <c r="DC12" s="155"/>
      <c r="DD12" s="155"/>
      <c r="DE12" s="155"/>
      <c r="DF12" s="155"/>
      <c r="DG12" s="155"/>
      <c r="DH12" s="155"/>
      <c r="DI12" s="155"/>
      <c r="DJ12" s="155"/>
      <c r="DK12" s="155"/>
      <c r="DL12" s="155"/>
      <c r="DM12" s="155"/>
      <c r="DN12" s="155"/>
      <c r="DO12" s="155"/>
      <c r="DP12" s="155"/>
      <c r="DQ12" s="155"/>
      <c r="DR12" s="155"/>
      <c r="DS12" s="155"/>
      <c r="DT12" s="155"/>
      <c r="DU12" s="155"/>
      <c r="DV12" s="155"/>
      <c r="DW12" s="155"/>
      <c r="DX12" s="155"/>
      <c r="DY12" s="155"/>
      <c r="DZ12" s="155"/>
      <c r="EA12" s="155"/>
      <c r="EB12" s="155"/>
      <c r="EC12" s="155"/>
      <c r="ED12" s="155"/>
      <c r="EE12" s="155"/>
      <c r="EF12" s="155"/>
      <c r="EG12" s="155"/>
      <c r="EH12" s="155"/>
      <c r="EI12" s="155"/>
      <c r="EJ12" s="155"/>
      <c r="EK12" s="155"/>
      <c r="EL12" s="155"/>
      <c r="EM12" s="155"/>
      <c r="EN12" s="155"/>
      <c r="EO12" s="155"/>
      <c r="EP12" s="155"/>
      <c r="EQ12" s="155"/>
      <c r="ER12" s="155"/>
      <c r="ES12" s="155"/>
      <c r="ET12" s="155"/>
      <c r="EU12" s="155"/>
      <c r="EV12" s="155"/>
      <c r="EW12" s="155"/>
      <c r="EX12" s="155"/>
      <c r="EY12" s="155"/>
      <c r="EZ12" s="155"/>
      <c r="FA12" s="155"/>
      <c r="FB12" s="155"/>
      <c r="FC12" s="155"/>
      <c r="FD12" s="155"/>
      <c r="FE12" s="155"/>
      <c r="FF12" s="155"/>
      <c r="FG12" s="155"/>
      <c r="FH12" s="155"/>
      <c r="FI12" s="155"/>
      <c r="FJ12" s="155"/>
      <c r="FK12" s="155"/>
      <c r="FL12" s="155"/>
      <c r="FM12" s="155"/>
      <c r="FN12" s="155"/>
      <c r="FO12" s="155"/>
      <c r="FP12" s="155"/>
      <c r="FQ12" s="155"/>
      <c r="FR12" s="155"/>
      <c r="FS12" s="155"/>
      <c r="FT12" s="155"/>
      <c r="FU12" s="155"/>
      <c r="FV12" s="155"/>
      <c r="FW12" s="155"/>
      <c r="FX12" s="155"/>
      <c r="FY12" s="155"/>
      <c r="FZ12" s="155"/>
      <c r="GA12" s="155"/>
      <c r="GB12" s="155"/>
      <c r="GC12" s="155"/>
      <c r="GD12" s="155"/>
      <c r="GE12" s="155"/>
      <c r="GF12" s="155"/>
      <c r="GG12" s="155"/>
      <c r="GH12" s="155"/>
      <c r="GI12" s="155"/>
      <c r="GJ12" s="155"/>
      <c r="GK12" s="155"/>
      <c r="GL12" s="155"/>
      <c r="GM12" s="155"/>
      <c r="GN12" s="155"/>
      <c r="GO12" s="155"/>
      <c r="GP12" s="155"/>
      <c r="GQ12" s="155"/>
      <c r="GR12" s="155"/>
      <c r="GS12" s="155"/>
      <c r="GT12" s="155"/>
      <c r="GU12" s="155"/>
      <c r="GV12" s="155"/>
      <c r="GW12" s="155"/>
      <c r="GX12" s="155"/>
      <c r="GY12" s="155"/>
      <c r="GZ12" s="155"/>
      <c r="HA12" s="155"/>
      <c r="HB12" s="155"/>
      <c r="HC12" s="155"/>
      <c r="HD12" s="155"/>
      <c r="HE12" s="155"/>
      <c r="HF12" s="155"/>
      <c r="HG12" s="155"/>
      <c r="HH12" s="155"/>
      <c r="HI12" s="155"/>
      <c r="HJ12" s="155"/>
      <c r="HK12" s="155"/>
      <c r="HL12" s="155"/>
      <c r="HM12" s="155"/>
      <c r="HN12" s="155"/>
      <c r="HO12" s="155"/>
      <c r="HP12" s="155"/>
      <c r="HQ12" s="155"/>
      <c r="HR12" s="155"/>
      <c r="HS12" s="155"/>
      <c r="HT12" s="155"/>
      <c r="HU12" s="155"/>
      <c r="HV12" s="155"/>
      <c r="HW12" s="155"/>
      <c r="HX12" s="155"/>
      <c r="HY12" s="155"/>
      <c r="HZ12" s="155"/>
      <c r="IA12" s="155"/>
      <c r="IB12" s="155"/>
      <c r="IC12" s="155"/>
      <c r="ID12" s="155"/>
      <c r="IE12" s="155"/>
      <c r="IF12" s="155"/>
      <c r="IG12" s="155"/>
      <c r="IH12" s="155"/>
      <c r="II12" s="155"/>
      <c r="IJ12" s="155"/>
      <c r="IK12" s="155"/>
      <c r="IL12" s="155"/>
      <c r="IM12" s="155"/>
      <c r="IN12" s="155"/>
      <c r="IO12" s="155"/>
      <c r="IP12" s="155"/>
      <c r="IQ12" s="155"/>
      <c r="IR12" s="155"/>
      <c r="IS12" s="155"/>
      <c r="IT12" s="155"/>
      <c r="IU12" s="155"/>
      <c r="IV12" s="155"/>
    </row>
    <row r="13" s="156" customFormat="true" ht="25.5" hidden="false" customHeight="true" outlineLevel="0" collapsed="false">
      <c r="A13" s="157" t="str">
        <f aca="false">IF(Eingabe!A92="","",Eingabe!A92)</f>
        <v/>
      </c>
      <c r="B13" s="157"/>
      <c r="C13" s="157"/>
      <c r="D13" s="157"/>
      <c r="E13" s="158" t="str">
        <f aca="false">IF(Eingabe!B92="","",Eingabe!B92)</f>
        <v/>
      </c>
      <c r="F13" s="158"/>
      <c r="G13" s="158"/>
      <c r="H13" s="158"/>
      <c r="I13" s="159" t="str">
        <f aca="false">IF(Eingabe!C92="","",Eingabe!C92)</f>
        <v/>
      </c>
      <c r="J13" s="159"/>
      <c r="K13" s="159"/>
      <c r="L13" s="159"/>
      <c r="M13" s="160" t="str">
        <f aca="false">IF(Eingabe!D92&amp;""&amp;Eingabe!E92="","",Eingabe!D92&amp;" 
"&amp;Eingabe!E92)</f>
        <v/>
      </c>
      <c r="N13" s="160"/>
      <c r="O13" s="160"/>
      <c r="P13" s="160"/>
      <c r="Q13" s="160"/>
      <c r="R13" s="160"/>
      <c r="S13" s="160"/>
      <c r="T13" s="160"/>
      <c r="U13" s="160"/>
      <c r="V13" s="160"/>
      <c r="W13" s="160"/>
      <c r="X13" s="160"/>
      <c r="Y13" s="160"/>
      <c r="Z13" s="160"/>
      <c r="AA13" s="160"/>
      <c r="AB13" s="160"/>
      <c r="AC13" s="160"/>
      <c r="AD13" s="160"/>
      <c r="AE13" s="160"/>
      <c r="AF13" s="160"/>
      <c r="AG13" s="159" t="str">
        <f aca="false">IF(Eingabe!F92&amp;""&amp;Eingabe!G92="","",Eingabe!F92&amp;" 
"&amp;Eingabe!G92)</f>
        <v/>
      </c>
      <c r="AH13" s="159"/>
      <c r="AI13" s="159"/>
      <c r="AJ13" s="159"/>
      <c r="AK13" s="159"/>
      <c r="AL13" s="159"/>
      <c r="AM13" s="159"/>
      <c r="AN13" s="159"/>
      <c r="AO13" s="159"/>
      <c r="AP13" s="159"/>
      <c r="AQ13" s="159"/>
      <c r="AR13" s="159"/>
      <c r="AS13" s="159"/>
      <c r="AT13" s="159"/>
      <c r="AU13" s="159"/>
      <c r="AV13" s="159"/>
      <c r="AW13" s="159"/>
      <c r="AX13" s="159" t="str">
        <f aca="false">IF(Eingabe!H92="","",Eingabe!H92)</f>
        <v/>
      </c>
      <c r="AY13" s="159"/>
      <c r="AZ13" s="159"/>
      <c r="BA13" s="159"/>
      <c r="BB13" s="161" t="str">
        <f aca="false">IF(Eingabe!K92="","",Eingabe!K92)</f>
        <v/>
      </c>
      <c r="BC13" s="161"/>
      <c r="BD13" s="161"/>
      <c r="BE13" s="161"/>
      <c r="BF13" s="161"/>
      <c r="BG13" s="161"/>
      <c r="BH13" s="161"/>
      <c r="BI13" s="161"/>
      <c r="BJ13" s="161"/>
      <c r="BK13" s="161"/>
      <c r="BL13" s="161"/>
      <c r="BM13" s="161"/>
      <c r="BN13" s="161"/>
      <c r="BO13" s="155"/>
      <c r="BP13" s="155"/>
      <c r="BQ13" s="155"/>
      <c r="BR13" s="155"/>
      <c r="BS13" s="155"/>
      <c r="BT13" s="155"/>
      <c r="BU13" s="155"/>
      <c r="BV13" s="155"/>
      <c r="BW13" s="155"/>
      <c r="BX13" s="155"/>
      <c r="BY13" s="155"/>
      <c r="BZ13" s="155"/>
      <c r="CA13" s="155"/>
      <c r="CB13" s="155"/>
      <c r="CC13" s="155"/>
      <c r="CD13" s="155"/>
      <c r="CE13" s="155"/>
      <c r="CF13" s="155"/>
      <c r="CG13" s="155"/>
      <c r="CH13" s="155"/>
      <c r="CI13" s="155"/>
      <c r="CJ13" s="155"/>
      <c r="CK13" s="155"/>
      <c r="CL13" s="155"/>
      <c r="CM13" s="155"/>
      <c r="CN13" s="155"/>
      <c r="CO13" s="155"/>
      <c r="CP13" s="155"/>
      <c r="CQ13" s="155"/>
      <c r="CR13" s="155"/>
      <c r="CS13" s="155"/>
      <c r="CT13" s="155"/>
      <c r="CU13" s="155"/>
      <c r="CV13" s="155"/>
      <c r="CW13" s="155"/>
      <c r="CX13" s="155"/>
      <c r="CY13" s="155"/>
      <c r="CZ13" s="155"/>
      <c r="DA13" s="155"/>
      <c r="DB13" s="155"/>
      <c r="DC13" s="155"/>
      <c r="DD13" s="155"/>
      <c r="DE13" s="155"/>
      <c r="DF13" s="155"/>
      <c r="DG13" s="155"/>
      <c r="DH13" s="155"/>
      <c r="DI13" s="155"/>
      <c r="DJ13" s="155"/>
      <c r="DK13" s="155"/>
      <c r="DL13" s="155"/>
      <c r="DM13" s="155"/>
      <c r="DN13" s="155"/>
      <c r="DO13" s="155"/>
      <c r="DP13" s="155"/>
      <c r="DQ13" s="155"/>
      <c r="DR13" s="155"/>
      <c r="DS13" s="155"/>
      <c r="DT13" s="155"/>
      <c r="DU13" s="155"/>
      <c r="DV13" s="155"/>
      <c r="DW13" s="155"/>
      <c r="DX13" s="155"/>
      <c r="DY13" s="155"/>
      <c r="DZ13" s="155"/>
      <c r="EA13" s="155"/>
      <c r="EB13" s="155"/>
      <c r="EC13" s="155"/>
      <c r="ED13" s="155"/>
      <c r="EE13" s="155"/>
      <c r="EF13" s="155"/>
      <c r="EG13" s="155"/>
      <c r="EH13" s="155"/>
      <c r="EI13" s="155"/>
      <c r="EJ13" s="155"/>
      <c r="EK13" s="155"/>
      <c r="EL13" s="155"/>
      <c r="EM13" s="155"/>
      <c r="EN13" s="155"/>
      <c r="EO13" s="155"/>
      <c r="EP13" s="155"/>
      <c r="EQ13" s="155"/>
      <c r="ER13" s="155"/>
      <c r="ES13" s="155"/>
      <c r="ET13" s="155"/>
      <c r="EU13" s="155"/>
      <c r="EV13" s="155"/>
      <c r="EW13" s="155"/>
      <c r="EX13" s="155"/>
      <c r="EY13" s="155"/>
      <c r="EZ13" s="155"/>
      <c r="FA13" s="155"/>
      <c r="FB13" s="155"/>
      <c r="FC13" s="155"/>
      <c r="FD13" s="155"/>
      <c r="FE13" s="155"/>
      <c r="FF13" s="155"/>
      <c r="FG13" s="155"/>
      <c r="FH13" s="155"/>
      <c r="FI13" s="155"/>
      <c r="FJ13" s="155"/>
      <c r="FK13" s="155"/>
      <c r="FL13" s="155"/>
      <c r="FM13" s="155"/>
      <c r="FN13" s="155"/>
      <c r="FO13" s="155"/>
      <c r="FP13" s="155"/>
      <c r="FQ13" s="155"/>
      <c r="FR13" s="155"/>
      <c r="FS13" s="155"/>
      <c r="FT13" s="155"/>
      <c r="FU13" s="155"/>
      <c r="FV13" s="155"/>
      <c r="FW13" s="155"/>
      <c r="FX13" s="155"/>
      <c r="FY13" s="155"/>
      <c r="FZ13" s="155"/>
      <c r="GA13" s="155"/>
      <c r="GB13" s="155"/>
      <c r="GC13" s="155"/>
      <c r="GD13" s="155"/>
      <c r="GE13" s="155"/>
      <c r="GF13" s="155"/>
      <c r="GG13" s="155"/>
      <c r="GH13" s="155"/>
      <c r="GI13" s="155"/>
      <c r="GJ13" s="155"/>
      <c r="GK13" s="155"/>
      <c r="GL13" s="155"/>
      <c r="GM13" s="155"/>
      <c r="GN13" s="155"/>
      <c r="GO13" s="155"/>
      <c r="GP13" s="155"/>
      <c r="GQ13" s="155"/>
      <c r="GR13" s="155"/>
      <c r="GS13" s="155"/>
      <c r="GT13" s="155"/>
      <c r="GU13" s="155"/>
      <c r="GV13" s="155"/>
      <c r="GW13" s="155"/>
      <c r="GX13" s="155"/>
      <c r="GY13" s="155"/>
      <c r="GZ13" s="155"/>
      <c r="HA13" s="155"/>
      <c r="HB13" s="155"/>
      <c r="HC13" s="155"/>
      <c r="HD13" s="155"/>
      <c r="HE13" s="155"/>
      <c r="HF13" s="155"/>
      <c r="HG13" s="155"/>
      <c r="HH13" s="155"/>
      <c r="HI13" s="155"/>
      <c r="HJ13" s="155"/>
      <c r="HK13" s="155"/>
      <c r="HL13" s="155"/>
      <c r="HM13" s="155"/>
      <c r="HN13" s="155"/>
      <c r="HO13" s="155"/>
      <c r="HP13" s="155"/>
      <c r="HQ13" s="155"/>
      <c r="HR13" s="155"/>
      <c r="HS13" s="155"/>
      <c r="HT13" s="155"/>
      <c r="HU13" s="155"/>
      <c r="HV13" s="155"/>
      <c r="HW13" s="155"/>
      <c r="HX13" s="155"/>
      <c r="HY13" s="155"/>
      <c r="HZ13" s="155"/>
      <c r="IA13" s="155"/>
      <c r="IB13" s="155"/>
      <c r="IC13" s="155"/>
      <c r="ID13" s="155"/>
      <c r="IE13" s="155"/>
      <c r="IF13" s="155"/>
      <c r="IG13" s="155"/>
      <c r="IH13" s="155"/>
      <c r="II13" s="155"/>
      <c r="IJ13" s="155"/>
      <c r="IK13" s="155"/>
      <c r="IL13" s="155"/>
      <c r="IM13" s="155"/>
      <c r="IN13" s="155"/>
      <c r="IO13" s="155"/>
      <c r="IP13" s="155"/>
      <c r="IQ13" s="155"/>
      <c r="IR13" s="155"/>
      <c r="IS13" s="155"/>
      <c r="IT13" s="155"/>
      <c r="IU13" s="155"/>
      <c r="IV13" s="155"/>
    </row>
    <row r="14" s="156" customFormat="true" ht="25.5" hidden="false" customHeight="true" outlineLevel="0" collapsed="false">
      <c r="A14" s="157" t="str">
        <f aca="false">IF(Eingabe!A93="","",Eingabe!A93)</f>
        <v/>
      </c>
      <c r="B14" s="157"/>
      <c r="C14" s="157"/>
      <c r="D14" s="157"/>
      <c r="E14" s="158" t="str">
        <f aca="false">IF(Eingabe!B93="","",Eingabe!B93)</f>
        <v/>
      </c>
      <c r="F14" s="158"/>
      <c r="G14" s="158"/>
      <c r="H14" s="158"/>
      <c r="I14" s="159" t="str">
        <f aca="false">IF(Eingabe!C93="","",Eingabe!C93)</f>
        <v/>
      </c>
      <c r="J14" s="159"/>
      <c r="K14" s="159"/>
      <c r="L14" s="159"/>
      <c r="M14" s="160" t="str">
        <f aca="false">IF(Eingabe!D93&amp;""&amp;Eingabe!E93="","",Eingabe!D93&amp;" 
"&amp;Eingabe!E93)</f>
        <v/>
      </c>
      <c r="N14" s="160"/>
      <c r="O14" s="160"/>
      <c r="P14" s="160"/>
      <c r="Q14" s="160"/>
      <c r="R14" s="160"/>
      <c r="S14" s="160"/>
      <c r="T14" s="160"/>
      <c r="U14" s="160"/>
      <c r="V14" s="160"/>
      <c r="W14" s="160"/>
      <c r="X14" s="160"/>
      <c r="Y14" s="160"/>
      <c r="Z14" s="160"/>
      <c r="AA14" s="160"/>
      <c r="AB14" s="160"/>
      <c r="AC14" s="160"/>
      <c r="AD14" s="160"/>
      <c r="AE14" s="160"/>
      <c r="AF14" s="160"/>
      <c r="AG14" s="159" t="str">
        <f aca="false">IF(Eingabe!F93&amp;""&amp;Eingabe!G93="","",Eingabe!F93&amp;" 
"&amp;Eingabe!G93)</f>
        <v/>
      </c>
      <c r="AH14" s="159"/>
      <c r="AI14" s="159"/>
      <c r="AJ14" s="159"/>
      <c r="AK14" s="159"/>
      <c r="AL14" s="159"/>
      <c r="AM14" s="159"/>
      <c r="AN14" s="159"/>
      <c r="AO14" s="159"/>
      <c r="AP14" s="159"/>
      <c r="AQ14" s="159"/>
      <c r="AR14" s="159"/>
      <c r="AS14" s="159"/>
      <c r="AT14" s="159"/>
      <c r="AU14" s="159"/>
      <c r="AV14" s="159"/>
      <c r="AW14" s="159"/>
      <c r="AX14" s="159" t="str">
        <f aca="false">IF(Eingabe!H93="","",Eingabe!H93)</f>
        <v/>
      </c>
      <c r="AY14" s="159"/>
      <c r="AZ14" s="159"/>
      <c r="BA14" s="159"/>
      <c r="BB14" s="161" t="str">
        <f aca="false">IF(Eingabe!K93="","",Eingabe!K93)</f>
        <v/>
      </c>
      <c r="BC14" s="161"/>
      <c r="BD14" s="161"/>
      <c r="BE14" s="161"/>
      <c r="BF14" s="161"/>
      <c r="BG14" s="161"/>
      <c r="BH14" s="161"/>
      <c r="BI14" s="161"/>
      <c r="BJ14" s="161"/>
      <c r="BK14" s="161"/>
      <c r="BL14" s="161"/>
      <c r="BM14" s="161"/>
      <c r="BN14" s="161"/>
      <c r="BO14" s="155"/>
      <c r="BP14" s="155"/>
      <c r="BQ14" s="155"/>
      <c r="BR14" s="155"/>
      <c r="BS14" s="155"/>
      <c r="BT14" s="155"/>
      <c r="BU14" s="155"/>
      <c r="BV14" s="155"/>
      <c r="BW14" s="155"/>
      <c r="BX14" s="155"/>
      <c r="BY14" s="155"/>
      <c r="BZ14" s="155"/>
      <c r="CA14" s="155"/>
      <c r="CB14" s="155"/>
      <c r="CC14" s="155"/>
      <c r="CD14" s="155"/>
      <c r="CE14" s="155"/>
      <c r="CF14" s="155"/>
      <c r="CG14" s="155"/>
      <c r="CH14" s="155"/>
      <c r="CI14" s="155"/>
      <c r="CJ14" s="155"/>
      <c r="CK14" s="155"/>
      <c r="CL14" s="155"/>
      <c r="CM14" s="155"/>
      <c r="CN14" s="155"/>
      <c r="CO14" s="155"/>
      <c r="CP14" s="155"/>
      <c r="CQ14" s="155"/>
      <c r="CR14" s="155"/>
      <c r="CS14" s="155"/>
      <c r="CT14" s="155"/>
      <c r="CU14" s="155"/>
      <c r="CV14" s="155"/>
      <c r="CW14" s="155"/>
      <c r="CX14" s="155"/>
      <c r="CY14" s="155"/>
      <c r="CZ14" s="155"/>
      <c r="DA14" s="155"/>
      <c r="DB14" s="155"/>
      <c r="DC14" s="155"/>
      <c r="DD14" s="155"/>
      <c r="DE14" s="155"/>
      <c r="DF14" s="155"/>
      <c r="DG14" s="155"/>
      <c r="DH14" s="155"/>
      <c r="DI14" s="155"/>
      <c r="DJ14" s="155"/>
      <c r="DK14" s="155"/>
      <c r="DL14" s="155"/>
      <c r="DM14" s="155"/>
      <c r="DN14" s="155"/>
      <c r="DO14" s="155"/>
      <c r="DP14" s="155"/>
      <c r="DQ14" s="155"/>
      <c r="DR14" s="155"/>
      <c r="DS14" s="155"/>
      <c r="DT14" s="155"/>
      <c r="DU14" s="155"/>
      <c r="DV14" s="155"/>
      <c r="DW14" s="155"/>
      <c r="DX14" s="155"/>
      <c r="DY14" s="155"/>
      <c r="DZ14" s="155"/>
      <c r="EA14" s="155"/>
      <c r="EB14" s="155"/>
      <c r="EC14" s="155"/>
      <c r="ED14" s="155"/>
      <c r="EE14" s="155"/>
      <c r="EF14" s="155"/>
      <c r="EG14" s="155"/>
      <c r="EH14" s="155"/>
      <c r="EI14" s="155"/>
      <c r="EJ14" s="155"/>
      <c r="EK14" s="155"/>
      <c r="EL14" s="155"/>
      <c r="EM14" s="155"/>
      <c r="EN14" s="155"/>
      <c r="EO14" s="155"/>
      <c r="EP14" s="155"/>
      <c r="EQ14" s="155"/>
      <c r="ER14" s="155"/>
      <c r="ES14" s="155"/>
      <c r="ET14" s="155"/>
      <c r="EU14" s="155"/>
      <c r="EV14" s="155"/>
      <c r="EW14" s="155"/>
      <c r="EX14" s="155"/>
      <c r="EY14" s="155"/>
      <c r="EZ14" s="155"/>
      <c r="FA14" s="155"/>
      <c r="FB14" s="155"/>
      <c r="FC14" s="155"/>
      <c r="FD14" s="155"/>
      <c r="FE14" s="155"/>
      <c r="FF14" s="155"/>
      <c r="FG14" s="155"/>
      <c r="FH14" s="155"/>
      <c r="FI14" s="155"/>
      <c r="FJ14" s="155"/>
      <c r="FK14" s="155"/>
      <c r="FL14" s="155"/>
      <c r="FM14" s="155"/>
      <c r="FN14" s="155"/>
      <c r="FO14" s="155"/>
      <c r="FP14" s="155"/>
      <c r="FQ14" s="155"/>
      <c r="FR14" s="155"/>
      <c r="FS14" s="155"/>
      <c r="FT14" s="155"/>
      <c r="FU14" s="155"/>
      <c r="FV14" s="155"/>
      <c r="FW14" s="155"/>
      <c r="FX14" s="155"/>
      <c r="FY14" s="155"/>
      <c r="FZ14" s="155"/>
      <c r="GA14" s="155"/>
      <c r="GB14" s="155"/>
      <c r="GC14" s="155"/>
      <c r="GD14" s="155"/>
      <c r="GE14" s="155"/>
      <c r="GF14" s="155"/>
      <c r="GG14" s="155"/>
      <c r="GH14" s="155"/>
      <c r="GI14" s="155"/>
      <c r="GJ14" s="155"/>
      <c r="GK14" s="155"/>
      <c r="GL14" s="155"/>
      <c r="GM14" s="155"/>
      <c r="GN14" s="155"/>
      <c r="GO14" s="155"/>
      <c r="GP14" s="155"/>
      <c r="GQ14" s="155"/>
      <c r="GR14" s="155"/>
      <c r="GS14" s="155"/>
      <c r="GT14" s="155"/>
      <c r="GU14" s="155"/>
      <c r="GV14" s="155"/>
      <c r="GW14" s="155"/>
      <c r="GX14" s="155"/>
      <c r="GY14" s="155"/>
      <c r="GZ14" s="155"/>
      <c r="HA14" s="155"/>
      <c r="HB14" s="155"/>
      <c r="HC14" s="155"/>
      <c r="HD14" s="155"/>
      <c r="HE14" s="155"/>
      <c r="HF14" s="155"/>
      <c r="HG14" s="155"/>
      <c r="HH14" s="155"/>
      <c r="HI14" s="155"/>
      <c r="HJ14" s="155"/>
      <c r="HK14" s="155"/>
      <c r="HL14" s="155"/>
      <c r="HM14" s="155"/>
      <c r="HN14" s="155"/>
      <c r="HO14" s="155"/>
      <c r="HP14" s="155"/>
      <c r="HQ14" s="155"/>
      <c r="HR14" s="155"/>
      <c r="HS14" s="155"/>
      <c r="HT14" s="155"/>
      <c r="HU14" s="155"/>
      <c r="HV14" s="155"/>
      <c r="HW14" s="155"/>
      <c r="HX14" s="155"/>
      <c r="HY14" s="155"/>
      <c r="HZ14" s="155"/>
      <c r="IA14" s="155"/>
      <c r="IB14" s="155"/>
      <c r="IC14" s="155"/>
      <c r="ID14" s="155"/>
      <c r="IE14" s="155"/>
      <c r="IF14" s="155"/>
      <c r="IG14" s="155"/>
      <c r="IH14" s="155"/>
      <c r="II14" s="155"/>
      <c r="IJ14" s="155"/>
      <c r="IK14" s="155"/>
      <c r="IL14" s="155"/>
      <c r="IM14" s="155"/>
      <c r="IN14" s="155"/>
      <c r="IO14" s="155"/>
      <c r="IP14" s="155"/>
      <c r="IQ14" s="155"/>
      <c r="IR14" s="155"/>
      <c r="IS14" s="155"/>
      <c r="IT14" s="155"/>
      <c r="IU14" s="155"/>
      <c r="IV14" s="155"/>
    </row>
    <row r="15" s="156" customFormat="true" ht="25.5" hidden="false" customHeight="true" outlineLevel="0" collapsed="false">
      <c r="A15" s="157" t="str">
        <f aca="false">IF(Eingabe!A94="","",Eingabe!A94)</f>
        <v/>
      </c>
      <c r="B15" s="157"/>
      <c r="C15" s="157"/>
      <c r="D15" s="157"/>
      <c r="E15" s="158" t="str">
        <f aca="false">IF(Eingabe!B94="","",Eingabe!B94)</f>
        <v/>
      </c>
      <c r="F15" s="158"/>
      <c r="G15" s="158"/>
      <c r="H15" s="158"/>
      <c r="I15" s="159" t="str">
        <f aca="false">IF(Eingabe!C94="","",Eingabe!C94)</f>
        <v/>
      </c>
      <c r="J15" s="159"/>
      <c r="K15" s="159"/>
      <c r="L15" s="159"/>
      <c r="M15" s="160" t="str">
        <f aca="false">IF(Eingabe!D94&amp;""&amp;Eingabe!E94="","",Eingabe!D94&amp;" 
"&amp;Eingabe!E94)</f>
        <v/>
      </c>
      <c r="N15" s="160"/>
      <c r="O15" s="160"/>
      <c r="P15" s="160"/>
      <c r="Q15" s="160"/>
      <c r="R15" s="160"/>
      <c r="S15" s="160"/>
      <c r="T15" s="160"/>
      <c r="U15" s="160"/>
      <c r="V15" s="160"/>
      <c r="W15" s="160"/>
      <c r="X15" s="160"/>
      <c r="Y15" s="160"/>
      <c r="Z15" s="160"/>
      <c r="AA15" s="160"/>
      <c r="AB15" s="160"/>
      <c r="AC15" s="160"/>
      <c r="AD15" s="160"/>
      <c r="AE15" s="160"/>
      <c r="AF15" s="160"/>
      <c r="AG15" s="159" t="str">
        <f aca="false">IF(Eingabe!F94&amp;""&amp;Eingabe!G94="","",Eingabe!F94&amp;" 
"&amp;Eingabe!G94)</f>
        <v/>
      </c>
      <c r="AH15" s="159"/>
      <c r="AI15" s="159"/>
      <c r="AJ15" s="159"/>
      <c r="AK15" s="159"/>
      <c r="AL15" s="159"/>
      <c r="AM15" s="159"/>
      <c r="AN15" s="159"/>
      <c r="AO15" s="159"/>
      <c r="AP15" s="159"/>
      <c r="AQ15" s="159"/>
      <c r="AR15" s="159"/>
      <c r="AS15" s="159"/>
      <c r="AT15" s="159"/>
      <c r="AU15" s="159"/>
      <c r="AV15" s="159"/>
      <c r="AW15" s="159"/>
      <c r="AX15" s="159" t="str">
        <f aca="false">IF(Eingabe!H94="","",Eingabe!H94)</f>
        <v/>
      </c>
      <c r="AY15" s="159"/>
      <c r="AZ15" s="159"/>
      <c r="BA15" s="159"/>
      <c r="BB15" s="161" t="str">
        <f aca="false">IF(Eingabe!K94="","",Eingabe!K94)</f>
        <v/>
      </c>
      <c r="BC15" s="161"/>
      <c r="BD15" s="161"/>
      <c r="BE15" s="161"/>
      <c r="BF15" s="161"/>
      <c r="BG15" s="161"/>
      <c r="BH15" s="161"/>
      <c r="BI15" s="161"/>
      <c r="BJ15" s="161"/>
      <c r="BK15" s="161"/>
      <c r="BL15" s="161"/>
      <c r="BM15" s="161"/>
      <c r="BN15" s="161"/>
      <c r="BO15" s="155"/>
      <c r="BP15" s="155"/>
      <c r="BQ15" s="155"/>
      <c r="BR15" s="155"/>
      <c r="BS15" s="155"/>
      <c r="BT15" s="155"/>
      <c r="BU15" s="155"/>
      <c r="BV15" s="155"/>
      <c r="BW15" s="155"/>
      <c r="BX15" s="155"/>
      <c r="BY15" s="155"/>
      <c r="BZ15" s="155"/>
      <c r="CA15" s="155"/>
      <c r="CB15" s="155"/>
      <c r="CC15" s="155"/>
      <c r="CD15" s="155"/>
      <c r="CE15" s="155"/>
      <c r="CF15" s="155"/>
      <c r="CG15" s="155"/>
      <c r="CH15" s="155"/>
      <c r="CI15" s="155"/>
      <c r="CJ15" s="155"/>
      <c r="CK15" s="155"/>
      <c r="CL15" s="155"/>
      <c r="CM15" s="155"/>
      <c r="CN15" s="155"/>
      <c r="CO15" s="155"/>
      <c r="CP15" s="155"/>
      <c r="CQ15" s="155"/>
      <c r="CR15" s="155"/>
      <c r="CS15" s="155"/>
      <c r="CT15" s="155"/>
      <c r="CU15" s="155"/>
      <c r="CV15" s="155"/>
      <c r="CW15" s="155"/>
      <c r="CX15" s="155"/>
      <c r="CY15" s="155"/>
      <c r="CZ15" s="155"/>
      <c r="DA15" s="155"/>
      <c r="DB15" s="155"/>
      <c r="DC15" s="155"/>
      <c r="DD15" s="155"/>
      <c r="DE15" s="155"/>
      <c r="DF15" s="155"/>
      <c r="DG15" s="155"/>
      <c r="DH15" s="155"/>
      <c r="DI15" s="155"/>
      <c r="DJ15" s="155"/>
      <c r="DK15" s="155"/>
      <c r="DL15" s="155"/>
      <c r="DM15" s="155"/>
      <c r="DN15" s="155"/>
      <c r="DO15" s="155"/>
      <c r="DP15" s="155"/>
      <c r="DQ15" s="155"/>
      <c r="DR15" s="155"/>
      <c r="DS15" s="155"/>
      <c r="DT15" s="155"/>
      <c r="DU15" s="155"/>
      <c r="DV15" s="155"/>
      <c r="DW15" s="155"/>
      <c r="DX15" s="155"/>
      <c r="DY15" s="155"/>
      <c r="DZ15" s="155"/>
      <c r="EA15" s="155"/>
      <c r="EB15" s="155"/>
      <c r="EC15" s="155"/>
      <c r="ED15" s="155"/>
      <c r="EE15" s="155"/>
      <c r="EF15" s="155"/>
      <c r="EG15" s="155"/>
      <c r="EH15" s="155"/>
      <c r="EI15" s="155"/>
      <c r="EJ15" s="155"/>
      <c r="EK15" s="155"/>
      <c r="EL15" s="155"/>
      <c r="EM15" s="155"/>
      <c r="EN15" s="155"/>
      <c r="EO15" s="155"/>
      <c r="EP15" s="155"/>
      <c r="EQ15" s="155"/>
      <c r="ER15" s="155"/>
      <c r="ES15" s="155"/>
      <c r="ET15" s="155"/>
      <c r="EU15" s="155"/>
      <c r="EV15" s="155"/>
      <c r="EW15" s="155"/>
      <c r="EX15" s="155"/>
      <c r="EY15" s="155"/>
      <c r="EZ15" s="155"/>
      <c r="FA15" s="155"/>
      <c r="FB15" s="155"/>
      <c r="FC15" s="155"/>
      <c r="FD15" s="155"/>
      <c r="FE15" s="155"/>
      <c r="FF15" s="155"/>
      <c r="FG15" s="155"/>
      <c r="FH15" s="155"/>
      <c r="FI15" s="155"/>
      <c r="FJ15" s="155"/>
      <c r="FK15" s="155"/>
      <c r="FL15" s="155"/>
      <c r="FM15" s="155"/>
      <c r="FN15" s="155"/>
      <c r="FO15" s="155"/>
      <c r="FP15" s="155"/>
      <c r="FQ15" s="155"/>
      <c r="FR15" s="155"/>
      <c r="FS15" s="155"/>
      <c r="FT15" s="155"/>
      <c r="FU15" s="155"/>
      <c r="FV15" s="155"/>
      <c r="FW15" s="155"/>
      <c r="FX15" s="155"/>
      <c r="FY15" s="155"/>
      <c r="FZ15" s="155"/>
      <c r="GA15" s="155"/>
      <c r="GB15" s="155"/>
      <c r="GC15" s="155"/>
      <c r="GD15" s="155"/>
      <c r="GE15" s="155"/>
      <c r="GF15" s="155"/>
      <c r="GG15" s="155"/>
      <c r="GH15" s="155"/>
      <c r="GI15" s="155"/>
      <c r="GJ15" s="155"/>
      <c r="GK15" s="155"/>
      <c r="GL15" s="155"/>
      <c r="GM15" s="155"/>
      <c r="GN15" s="155"/>
      <c r="GO15" s="155"/>
      <c r="GP15" s="155"/>
      <c r="GQ15" s="155"/>
      <c r="GR15" s="155"/>
      <c r="GS15" s="155"/>
      <c r="GT15" s="155"/>
      <c r="GU15" s="155"/>
      <c r="GV15" s="155"/>
      <c r="GW15" s="155"/>
      <c r="GX15" s="155"/>
      <c r="GY15" s="155"/>
      <c r="GZ15" s="155"/>
      <c r="HA15" s="155"/>
      <c r="HB15" s="155"/>
      <c r="HC15" s="155"/>
      <c r="HD15" s="155"/>
      <c r="HE15" s="155"/>
      <c r="HF15" s="155"/>
      <c r="HG15" s="155"/>
      <c r="HH15" s="155"/>
      <c r="HI15" s="155"/>
      <c r="HJ15" s="155"/>
      <c r="HK15" s="155"/>
      <c r="HL15" s="155"/>
      <c r="HM15" s="155"/>
      <c r="HN15" s="155"/>
      <c r="HO15" s="155"/>
      <c r="HP15" s="155"/>
      <c r="HQ15" s="155"/>
      <c r="HR15" s="155"/>
      <c r="HS15" s="155"/>
      <c r="HT15" s="155"/>
      <c r="HU15" s="155"/>
      <c r="HV15" s="155"/>
      <c r="HW15" s="155"/>
      <c r="HX15" s="155"/>
      <c r="HY15" s="155"/>
      <c r="HZ15" s="155"/>
      <c r="IA15" s="155"/>
      <c r="IB15" s="155"/>
      <c r="IC15" s="155"/>
      <c r="ID15" s="155"/>
      <c r="IE15" s="155"/>
      <c r="IF15" s="155"/>
      <c r="IG15" s="155"/>
      <c r="IH15" s="155"/>
      <c r="II15" s="155"/>
      <c r="IJ15" s="155"/>
      <c r="IK15" s="155"/>
      <c r="IL15" s="155"/>
      <c r="IM15" s="155"/>
      <c r="IN15" s="155"/>
      <c r="IO15" s="155"/>
      <c r="IP15" s="155"/>
      <c r="IQ15" s="155"/>
      <c r="IR15" s="155"/>
      <c r="IS15" s="155"/>
      <c r="IT15" s="155"/>
      <c r="IU15" s="155"/>
      <c r="IV15" s="155"/>
    </row>
    <row r="16" s="156" customFormat="true" ht="25.5" hidden="false" customHeight="true" outlineLevel="0" collapsed="false">
      <c r="A16" s="157" t="str">
        <f aca="false">IF(Eingabe!A95="","",Eingabe!A95)</f>
        <v/>
      </c>
      <c r="B16" s="157"/>
      <c r="C16" s="157"/>
      <c r="D16" s="157"/>
      <c r="E16" s="158" t="str">
        <f aca="false">IF(Eingabe!B95="","",Eingabe!B95)</f>
        <v/>
      </c>
      <c r="F16" s="158"/>
      <c r="G16" s="158"/>
      <c r="H16" s="158"/>
      <c r="I16" s="159" t="str">
        <f aca="false">IF(Eingabe!C95="","",Eingabe!C95)</f>
        <v/>
      </c>
      <c r="J16" s="159"/>
      <c r="K16" s="159"/>
      <c r="L16" s="159"/>
      <c r="M16" s="160" t="str">
        <f aca="false">IF(Eingabe!D95&amp;""&amp;Eingabe!E95="","",Eingabe!D95&amp;" 
"&amp;Eingabe!E95)</f>
        <v/>
      </c>
      <c r="N16" s="160"/>
      <c r="O16" s="160"/>
      <c r="P16" s="160"/>
      <c r="Q16" s="160"/>
      <c r="R16" s="160"/>
      <c r="S16" s="160"/>
      <c r="T16" s="160"/>
      <c r="U16" s="160"/>
      <c r="V16" s="160"/>
      <c r="W16" s="160"/>
      <c r="X16" s="160"/>
      <c r="Y16" s="160"/>
      <c r="Z16" s="160"/>
      <c r="AA16" s="160"/>
      <c r="AB16" s="160"/>
      <c r="AC16" s="160"/>
      <c r="AD16" s="160"/>
      <c r="AE16" s="160"/>
      <c r="AF16" s="160"/>
      <c r="AG16" s="159" t="str">
        <f aca="false">IF(Eingabe!F95&amp;""&amp;Eingabe!G95="","",Eingabe!F95&amp;" 
"&amp;Eingabe!G95)</f>
        <v/>
      </c>
      <c r="AH16" s="159"/>
      <c r="AI16" s="159"/>
      <c r="AJ16" s="159"/>
      <c r="AK16" s="159"/>
      <c r="AL16" s="159"/>
      <c r="AM16" s="159"/>
      <c r="AN16" s="159"/>
      <c r="AO16" s="159"/>
      <c r="AP16" s="159"/>
      <c r="AQ16" s="159"/>
      <c r="AR16" s="159"/>
      <c r="AS16" s="159"/>
      <c r="AT16" s="159"/>
      <c r="AU16" s="159"/>
      <c r="AV16" s="159"/>
      <c r="AW16" s="159"/>
      <c r="AX16" s="159" t="str">
        <f aca="false">IF(Eingabe!H95="","",Eingabe!H95)</f>
        <v/>
      </c>
      <c r="AY16" s="159"/>
      <c r="AZ16" s="159"/>
      <c r="BA16" s="159"/>
      <c r="BB16" s="161" t="str">
        <f aca="false">IF(Eingabe!K95="","",Eingabe!K95)</f>
        <v/>
      </c>
      <c r="BC16" s="161"/>
      <c r="BD16" s="161"/>
      <c r="BE16" s="161"/>
      <c r="BF16" s="161"/>
      <c r="BG16" s="161"/>
      <c r="BH16" s="161"/>
      <c r="BI16" s="161"/>
      <c r="BJ16" s="161"/>
      <c r="BK16" s="161"/>
      <c r="BL16" s="161"/>
      <c r="BM16" s="161"/>
      <c r="BN16" s="161"/>
      <c r="BO16" s="155"/>
      <c r="BP16" s="155"/>
      <c r="BQ16" s="155"/>
      <c r="BR16" s="155"/>
      <c r="BS16" s="155"/>
      <c r="BT16" s="155"/>
      <c r="BU16" s="155"/>
      <c r="BV16" s="155"/>
      <c r="BW16" s="155"/>
      <c r="BX16" s="155"/>
      <c r="BY16" s="155"/>
      <c r="BZ16" s="155"/>
      <c r="CA16" s="155"/>
      <c r="CB16" s="155"/>
      <c r="CC16" s="155"/>
      <c r="CD16" s="155"/>
      <c r="CE16" s="155"/>
      <c r="CF16" s="155"/>
      <c r="CG16" s="155"/>
      <c r="CH16" s="155"/>
      <c r="CI16" s="155"/>
      <c r="CJ16" s="155"/>
      <c r="CK16" s="155"/>
      <c r="CL16" s="155"/>
      <c r="CM16" s="155"/>
      <c r="CN16" s="155"/>
      <c r="CO16" s="155"/>
      <c r="CP16" s="155"/>
      <c r="CQ16" s="155"/>
      <c r="CR16" s="155"/>
      <c r="CS16" s="155"/>
      <c r="CT16" s="155"/>
      <c r="CU16" s="155"/>
      <c r="CV16" s="155"/>
      <c r="CW16" s="155"/>
      <c r="CX16" s="155"/>
      <c r="CY16" s="155"/>
      <c r="CZ16" s="155"/>
      <c r="DA16" s="155"/>
      <c r="DB16" s="155"/>
      <c r="DC16" s="155"/>
      <c r="DD16" s="155"/>
      <c r="DE16" s="155"/>
      <c r="DF16" s="155"/>
      <c r="DG16" s="155"/>
      <c r="DH16" s="155"/>
      <c r="DI16" s="155"/>
      <c r="DJ16" s="155"/>
      <c r="DK16" s="155"/>
      <c r="DL16" s="155"/>
      <c r="DM16" s="155"/>
      <c r="DN16" s="155"/>
      <c r="DO16" s="155"/>
      <c r="DP16" s="155"/>
      <c r="DQ16" s="155"/>
      <c r="DR16" s="155"/>
      <c r="DS16" s="155"/>
      <c r="DT16" s="155"/>
      <c r="DU16" s="155"/>
      <c r="DV16" s="155"/>
      <c r="DW16" s="155"/>
      <c r="DX16" s="155"/>
      <c r="DY16" s="155"/>
      <c r="DZ16" s="155"/>
      <c r="EA16" s="155"/>
      <c r="EB16" s="155"/>
      <c r="EC16" s="155"/>
      <c r="ED16" s="155"/>
      <c r="EE16" s="155"/>
      <c r="EF16" s="155"/>
      <c r="EG16" s="155"/>
      <c r="EH16" s="155"/>
      <c r="EI16" s="155"/>
      <c r="EJ16" s="155"/>
      <c r="EK16" s="155"/>
      <c r="EL16" s="155"/>
      <c r="EM16" s="155"/>
      <c r="EN16" s="155"/>
      <c r="EO16" s="155"/>
      <c r="EP16" s="155"/>
      <c r="EQ16" s="155"/>
      <c r="ER16" s="155"/>
      <c r="ES16" s="155"/>
      <c r="ET16" s="155"/>
      <c r="EU16" s="155"/>
      <c r="EV16" s="155"/>
      <c r="EW16" s="155"/>
      <c r="EX16" s="155"/>
      <c r="EY16" s="155"/>
      <c r="EZ16" s="155"/>
      <c r="FA16" s="155"/>
      <c r="FB16" s="155"/>
      <c r="FC16" s="155"/>
      <c r="FD16" s="155"/>
      <c r="FE16" s="155"/>
      <c r="FF16" s="155"/>
      <c r="FG16" s="155"/>
      <c r="FH16" s="155"/>
      <c r="FI16" s="155"/>
      <c r="FJ16" s="155"/>
      <c r="FK16" s="155"/>
      <c r="FL16" s="155"/>
      <c r="FM16" s="155"/>
      <c r="FN16" s="155"/>
      <c r="FO16" s="155"/>
      <c r="FP16" s="155"/>
      <c r="FQ16" s="155"/>
      <c r="FR16" s="155"/>
      <c r="FS16" s="155"/>
      <c r="FT16" s="155"/>
      <c r="FU16" s="155"/>
      <c r="FV16" s="155"/>
      <c r="FW16" s="155"/>
      <c r="FX16" s="155"/>
      <c r="FY16" s="155"/>
      <c r="FZ16" s="155"/>
      <c r="GA16" s="155"/>
      <c r="GB16" s="155"/>
      <c r="GC16" s="155"/>
      <c r="GD16" s="155"/>
      <c r="GE16" s="155"/>
      <c r="GF16" s="155"/>
      <c r="GG16" s="155"/>
      <c r="GH16" s="155"/>
      <c r="GI16" s="155"/>
      <c r="GJ16" s="155"/>
      <c r="GK16" s="155"/>
      <c r="GL16" s="155"/>
      <c r="GM16" s="155"/>
      <c r="GN16" s="155"/>
      <c r="GO16" s="155"/>
      <c r="GP16" s="155"/>
      <c r="GQ16" s="155"/>
      <c r="GR16" s="155"/>
      <c r="GS16" s="155"/>
      <c r="GT16" s="155"/>
      <c r="GU16" s="155"/>
      <c r="GV16" s="155"/>
      <c r="GW16" s="155"/>
      <c r="GX16" s="155"/>
      <c r="GY16" s="155"/>
      <c r="GZ16" s="155"/>
      <c r="HA16" s="155"/>
      <c r="HB16" s="155"/>
      <c r="HC16" s="155"/>
      <c r="HD16" s="155"/>
      <c r="HE16" s="155"/>
      <c r="HF16" s="155"/>
      <c r="HG16" s="155"/>
      <c r="HH16" s="155"/>
      <c r="HI16" s="155"/>
      <c r="HJ16" s="155"/>
      <c r="HK16" s="155"/>
      <c r="HL16" s="155"/>
      <c r="HM16" s="155"/>
      <c r="HN16" s="155"/>
      <c r="HO16" s="155"/>
      <c r="HP16" s="155"/>
      <c r="HQ16" s="155"/>
      <c r="HR16" s="155"/>
      <c r="HS16" s="155"/>
      <c r="HT16" s="155"/>
      <c r="HU16" s="155"/>
      <c r="HV16" s="155"/>
      <c r="HW16" s="155"/>
      <c r="HX16" s="155"/>
      <c r="HY16" s="155"/>
      <c r="HZ16" s="155"/>
      <c r="IA16" s="155"/>
      <c r="IB16" s="155"/>
      <c r="IC16" s="155"/>
      <c r="ID16" s="155"/>
      <c r="IE16" s="155"/>
      <c r="IF16" s="155"/>
      <c r="IG16" s="155"/>
      <c r="IH16" s="155"/>
      <c r="II16" s="155"/>
      <c r="IJ16" s="155"/>
      <c r="IK16" s="155"/>
      <c r="IL16" s="155"/>
      <c r="IM16" s="155"/>
      <c r="IN16" s="155"/>
      <c r="IO16" s="155"/>
      <c r="IP16" s="155"/>
      <c r="IQ16" s="155"/>
      <c r="IR16" s="155"/>
      <c r="IS16" s="155"/>
      <c r="IT16" s="155"/>
      <c r="IU16" s="155"/>
      <c r="IV16" s="155"/>
    </row>
    <row r="17" s="156" customFormat="true" ht="25.5" hidden="false" customHeight="true" outlineLevel="0" collapsed="false">
      <c r="A17" s="157" t="str">
        <f aca="false">IF(Eingabe!A96="","",Eingabe!A96)</f>
        <v/>
      </c>
      <c r="B17" s="157"/>
      <c r="C17" s="157"/>
      <c r="D17" s="157"/>
      <c r="E17" s="158" t="str">
        <f aca="false">IF(Eingabe!B96="","",Eingabe!B96)</f>
        <v/>
      </c>
      <c r="F17" s="158"/>
      <c r="G17" s="158"/>
      <c r="H17" s="158"/>
      <c r="I17" s="159" t="str">
        <f aca="false">IF(Eingabe!C96="","",Eingabe!C96)</f>
        <v/>
      </c>
      <c r="J17" s="159"/>
      <c r="K17" s="159"/>
      <c r="L17" s="159"/>
      <c r="M17" s="160" t="str">
        <f aca="false">IF(Eingabe!D96&amp;""&amp;Eingabe!E96="","",Eingabe!D96&amp;" 
"&amp;Eingabe!E96)</f>
        <v/>
      </c>
      <c r="N17" s="160"/>
      <c r="O17" s="160"/>
      <c r="P17" s="160"/>
      <c r="Q17" s="160"/>
      <c r="R17" s="160"/>
      <c r="S17" s="160"/>
      <c r="T17" s="160"/>
      <c r="U17" s="160"/>
      <c r="V17" s="160"/>
      <c r="W17" s="160"/>
      <c r="X17" s="160"/>
      <c r="Y17" s="160"/>
      <c r="Z17" s="160"/>
      <c r="AA17" s="160"/>
      <c r="AB17" s="160"/>
      <c r="AC17" s="160"/>
      <c r="AD17" s="160"/>
      <c r="AE17" s="160"/>
      <c r="AF17" s="160"/>
      <c r="AG17" s="159" t="str">
        <f aca="false">IF(Eingabe!F96&amp;""&amp;Eingabe!G96="","",Eingabe!F96&amp;" 
"&amp;Eingabe!G96)</f>
        <v/>
      </c>
      <c r="AH17" s="159"/>
      <c r="AI17" s="159"/>
      <c r="AJ17" s="159"/>
      <c r="AK17" s="159"/>
      <c r="AL17" s="159"/>
      <c r="AM17" s="159"/>
      <c r="AN17" s="159"/>
      <c r="AO17" s="159"/>
      <c r="AP17" s="159"/>
      <c r="AQ17" s="159"/>
      <c r="AR17" s="159"/>
      <c r="AS17" s="159"/>
      <c r="AT17" s="159"/>
      <c r="AU17" s="159"/>
      <c r="AV17" s="159"/>
      <c r="AW17" s="159"/>
      <c r="AX17" s="159" t="str">
        <f aca="false">IF(Eingabe!H96="","",Eingabe!H96)</f>
        <v/>
      </c>
      <c r="AY17" s="159"/>
      <c r="AZ17" s="159"/>
      <c r="BA17" s="159"/>
      <c r="BB17" s="161" t="str">
        <f aca="false">IF(Eingabe!K96="","",Eingabe!K96)</f>
        <v/>
      </c>
      <c r="BC17" s="161"/>
      <c r="BD17" s="161"/>
      <c r="BE17" s="161"/>
      <c r="BF17" s="161"/>
      <c r="BG17" s="161"/>
      <c r="BH17" s="161"/>
      <c r="BI17" s="161"/>
      <c r="BJ17" s="161"/>
      <c r="BK17" s="161"/>
      <c r="BL17" s="161"/>
      <c r="BM17" s="161"/>
      <c r="BN17" s="161"/>
      <c r="BO17" s="155"/>
      <c r="BP17" s="155"/>
      <c r="BQ17" s="155"/>
      <c r="BR17" s="155"/>
      <c r="BS17" s="155"/>
      <c r="BT17" s="155"/>
      <c r="BU17" s="155"/>
      <c r="BV17" s="155"/>
      <c r="BW17" s="155"/>
      <c r="BX17" s="155"/>
      <c r="BY17" s="155"/>
      <c r="BZ17" s="155"/>
      <c r="CA17" s="155"/>
      <c r="CB17" s="155"/>
      <c r="CC17" s="155"/>
      <c r="CD17" s="155"/>
      <c r="CE17" s="155"/>
      <c r="CF17" s="155"/>
      <c r="CG17" s="155"/>
      <c r="CH17" s="155"/>
      <c r="CI17" s="155"/>
      <c r="CJ17" s="155"/>
      <c r="CK17" s="155"/>
      <c r="CL17" s="155"/>
      <c r="CM17" s="155"/>
      <c r="CN17" s="155"/>
      <c r="CO17" s="155"/>
      <c r="CP17" s="155"/>
      <c r="CQ17" s="155"/>
      <c r="CR17" s="155"/>
      <c r="CS17" s="155"/>
      <c r="CT17" s="155"/>
      <c r="CU17" s="155"/>
      <c r="CV17" s="155"/>
      <c r="CW17" s="155"/>
      <c r="CX17" s="155"/>
      <c r="CY17" s="155"/>
      <c r="CZ17" s="155"/>
      <c r="DA17" s="155"/>
      <c r="DB17" s="155"/>
      <c r="DC17" s="155"/>
      <c r="DD17" s="155"/>
      <c r="DE17" s="155"/>
      <c r="DF17" s="155"/>
      <c r="DG17" s="155"/>
      <c r="DH17" s="155"/>
      <c r="DI17" s="155"/>
      <c r="DJ17" s="155"/>
      <c r="DK17" s="155"/>
      <c r="DL17" s="155"/>
      <c r="DM17" s="155"/>
      <c r="DN17" s="155"/>
      <c r="DO17" s="155"/>
      <c r="DP17" s="155"/>
      <c r="DQ17" s="155"/>
      <c r="DR17" s="155"/>
      <c r="DS17" s="155"/>
      <c r="DT17" s="155"/>
      <c r="DU17" s="155"/>
      <c r="DV17" s="155"/>
      <c r="DW17" s="155"/>
      <c r="DX17" s="155"/>
      <c r="DY17" s="155"/>
      <c r="DZ17" s="155"/>
      <c r="EA17" s="155"/>
      <c r="EB17" s="155"/>
      <c r="EC17" s="155"/>
      <c r="ED17" s="155"/>
      <c r="EE17" s="155"/>
      <c r="EF17" s="155"/>
      <c r="EG17" s="155"/>
      <c r="EH17" s="155"/>
      <c r="EI17" s="155"/>
      <c r="EJ17" s="155"/>
      <c r="EK17" s="155"/>
      <c r="EL17" s="155"/>
      <c r="EM17" s="155"/>
      <c r="EN17" s="155"/>
      <c r="EO17" s="155"/>
      <c r="EP17" s="155"/>
      <c r="EQ17" s="155"/>
      <c r="ER17" s="155"/>
      <c r="ES17" s="155"/>
      <c r="ET17" s="155"/>
      <c r="EU17" s="155"/>
      <c r="EV17" s="155"/>
      <c r="EW17" s="155"/>
      <c r="EX17" s="155"/>
      <c r="EY17" s="155"/>
      <c r="EZ17" s="155"/>
      <c r="FA17" s="155"/>
      <c r="FB17" s="155"/>
      <c r="FC17" s="155"/>
      <c r="FD17" s="155"/>
      <c r="FE17" s="155"/>
      <c r="FF17" s="155"/>
      <c r="FG17" s="155"/>
      <c r="FH17" s="155"/>
      <c r="FI17" s="155"/>
      <c r="FJ17" s="155"/>
      <c r="FK17" s="155"/>
      <c r="FL17" s="155"/>
      <c r="FM17" s="155"/>
      <c r="FN17" s="155"/>
      <c r="FO17" s="155"/>
      <c r="FP17" s="155"/>
      <c r="FQ17" s="155"/>
      <c r="FR17" s="155"/>
      <c r="FS17" s="155"/>
      <c r="FT17" s="155"/>
      <c r="FU17" s="155"/>
      <c r="FV17" s="155"/>
      <c r="FW17" s="155"/>
      <c r="FX17" s="155"/>
      <c r="FY17" s="155"/>
      <c r="FZ17" s="155"/>
      <c r="GA17" s="155"/>
      <c r="GB17" s="155"/>
      <c r="GC17" s="155"/>
      <c r="GD17" s="155"/>
      <c r="GE17" s="155"/>
      <c r="GF17" s="155"/>
      <c r="GG17" s="155"/>
      <c r="GH17" s="155"/>
      <c r="GI17" s="155"/>
      <c r="GJ17" s="155"/>
      <c r="GK17" s="155"/>
      <c r="GL17" s="155"/>
      <c r="GM17" s="155"/>
      <c r="GN17" s="155"/>
      <c r="GO17" s="155"/>
      <c r="GP17" s="155"/>
      <c r="GQ17" s="155"/>
      <c r="GR17" s="155"/>
      <c r="GS17" s="155"/>
      <c r="GT17" s="155"/>
      <c r="GU17" s="155"/>
      <c r="GV17" s="155"/>
      <c r="GW17" s="155"/>
      <c r="GX17" s="155"/>
      <c r="GY17" s="155"/>
      <c r="GZ17" s="155"/>
      <c r="HA17" s="155"/>
      <c r="HB17" s="155"/>
      <c r="HC17" s="155"/>
      <c r="HD17" s="155"/>
      <c r="HE17" s="155"/>
      <c r="HF17" s="155"/>
      <c r="HG17" s="155"/>
      <c r="HH17" s="155"/>
      <c r="HI17" s="155"/>
      <c r="HJ17" s="155"/>
      <c r="HK17" s="155"/>
      <c r="HL17" s="155"/>
      <c r="HM17" s="155"/>
      <c r="HN17" s="155"/>
      <c r="HO17" s="155"/>
      <c r="HP17" s="155"/>
      <c r="HQ17" s="155"/>
      <c r="HR17" s="155"/>
      <c r="HS17" s="155"/>
      <c r="HT17" s="155"/>
      <c r="HU17" s="155"/>
      <c r="HV17" s="155"/>
      <c r="HW17" s="155"/>
      <c r="HX17" s="155"/>
      <c r="HY17" s="155"/>
      <c r="HZ17" s="155"/>
      <c r="IA17" s="155"/>
      <c r="IB17" s="155"/>
      <c r="IC17" s="155"/>
      <c r="ID17" s="155"/>
      <c r="IE17" s="155"/>
      <c r="IF17" s="155"/>
      <c r="IG17" s="155"/>
      <c r="IH17" s="155"/>
      <c r="II17" s="155"/>
      <c r="IJ17" s="155"/>
      <c r="IK17" s="155"/>
      <c r="IL17" s="155"/>
      <c r="IM17" s="155"/>
      <c r="IN17" s="155"/>
      <c r="IO17" s="155"/>
      <c r="IP17" s="155"/>
      <c r="IQ17" s="155"/>
      <c r="IR17" s="155"/>
      <c r="IS17" s="155"/>
      <c r="IT17" s="155"/>
      <c r="IU17" s="155"/>
      <c r="IV17" s="155"/>
    </row>
    <row r="18" s="156" customFormat="true" ht="25.5" hidden="false" customHeight="true" outlineLevel="0" collapsed="false">
      <c r="A18" s="157" t="str">
        <f aca="false">IF(Eingabe!A97="","",Eingabe!A97)</f>
        <v/>
      </c>
      <c r="B18" s="157"/>
      <c r="C18" s="157"/>
      <c r="D18" s="157"/>
      <c r="E18" s="158" t="str">
        <f aca="false">IF(Eingabe!B97="","",Eingabe!B97)</f>
        <v/>
      </c>
      <c r="F18" s="158"/>
      <c r="G18" s="158"/>
      <c r="H18" s="158"/>
      <c r="I18" s="159" t="str">
        <f aca="false">IF(Eingabe!C97="","",Eingabe!C97)</f>
        <v/>
      </c>
      <c r="J18" s="159"/>
      <c r="K18" s="159"/>
      <c r="L18" s="159"/>
      <c r="M18" s="160" t="str">
        <f aca="false">IF(Eingabe!D97&amp;""&amp;Eingabe!E97="","",Eingabe!D97&amp;" 
"&amp;Eingabe!E97)</f>
        <v/>
      </c>
      <c r="N18" s="160"/>
      <c r="O18" s="160"/>
      <c r="P18" s="160"/>
      <c r="Q18" s="160"/>
      <c r="R18" s="160"/>
      <c r="S18" s="160"/>
      <c r="T18" s="160"/>
      <c r="U18" s="160"/>
      <c r="V18" s="160"/>
      <c r="W18" s="160"/>
      <c r="X18" s="160"/>
      <c r="Y18" s="160"/>
      <c r="Z18" s="160"/>
      <c r="AA18" s="160"/>
      <c r="AB18" s="160"/>
      <c r="AC18" s="160"/>
      <c r="AD18" s="160"/>
      <c r="AE18" s="160"/>
      <c r="AF18" s="160"/>
      <c r="AG18" s="159" t="str">
        <f aca="false">IF(Eingabe!F97&amp;""&amp;Eingabe!G97="","",Eingabe!F97&amp;" 
"&amp;Eingabe!G97)</f>
        <v/>
      </c>
      <c r="AH18" s="159"/>
      <c r="AI18" s="159"/>
      <c r="AJ18" s="159"/>
      <c r="AK18" s="159"/>
      <c r="AL18" s="159"/>
      <c r="AM18" s="159"/>
      <c r="AN18" s="159"/>
      <c r="AO18" s="159"/>
      <c r="AP18" s="159"/>
      <c r="AQ18" s="159"/>
      <c r="AR18" s="159"/>
      <c r="AS18" s="159"/>
      <c r="AT18" s="159"/>
      <c r="AU18" s="159"/>
      <c r="AV18" s="159"/>
      <c r="AW18" s="159"/>
      <c r="AX18" s="159" t="str">
        <f aca="false">IF(Eingabe!H97="","",Eingabe!H97)</f>
        <v/>
      </c>
      <c r="AY18" s="159"/>
      <c r="AZ18" s="159"/>
      <c r="BA18" s="159"/>
      <c r="BB18" s="161" t="str">
        <f aca="false">IF(Eingabe!K97="","",Eingabe!K97)</f>
        <v/>
      </c>
      <c r="BC18" s="161"/>
      <c r="BD18" s="161"/>
      <c r="BE18" s="161"/>
      <c r="BF18" s="161"/>
      <c r="BG18" s="161"/>
      <c r="BH18" s="161"/>
      <c r="BI18" s="161"/>
      <c r="BJ18" s="161"/>
      <c r="BK18" s="161"/>
      <c r="BL18" s="161"/>
      <c r="BM18" s="161"/>
      <c r="BN18" s="161"/>
      <c r="BO18" s="155"/>
      <c r="BP18" s="155"/>
      <c r="BQ18" s="155"/>
      <c r="BR18" s="155"/>
      <c r="BS18" s="155"/>
      <c r="BT18" s="155"/>
      <c r="BU18" s="155"/>
      <c r="BV18" s="155"/>
      <c r="BW18" s="155"/>
      <c r="BX18" s="155"/>
      <c r="BY18" s="155"/>
      <c r="BZ18" s="155"/>
      <c r="CA18" s="155"/>
      <c r="CB18" s="155"/>
      <c r="CC18" s="155"/>
      <c r="CD18" s="155"/>
      <c r="CE18" s="155"/>
      <c r="CF18" s="155"/>
      <c r="CG18" s="155"/>
      <c r="CH18" s="155"/>
      <c r="CI18" s="155"/>
      <c r="CJ18" s="155"/>
      <c r="CK18" s="155"/>
      <c r="CL18" s="155"/>
      <c r="CM18" s="155"/>
      <c r="CN18" s="155"/>
      <c r="CO18" s="155"/>
      <c r="CP18" s="155"/>
      <c r="CQ18" s="155"/>
      <c r="CR18" s="155"/>
      <c r="CS18" s="155"/>
      <c r="CT18" s="155"/>
      <c r="CU18" s="155"/>
      <c r="CV18" s="155"/>
      <c r="CW18" s="155"/>
      <c r="CX18" s="155"/>
      <c r="CY18" s="155"/>
      <c r="CZ18" s="155"/>
      <c r="DA18" s="155"/>
      <c r="DB18" s="155"/>
      <c r="DC18" s="155"/>
      <c r="DD18" s="155"/>
      <c r="DE18" s="155"/>
      <c r="DF18" s="155"/>
      <c r="DG18" s="155"/>
      <c r="DH18" s="155"/>
      <c r="DI18" s="155"/>
      <c r="DJ18" s="155"/>
      <c r="DK18" s="155"/>
      <c r="DL18" s="155"/>
      <c r="DM18" s="155"/>
      <c r="DN18" s="155"/>
      <c r="DO18" s="155"/>
      <c r="DP18" s="155"/>
      <c r="DQ18" s="155"/>
      <c r="DR18" s="155"/>
      <c r="DS18" s="155"/>
      <c r="DT18" s="155"/>
      <c r="DU18" s="155"/>
      <c r="DV18" s="155"/>
      <c r="DW18" s="155"/>
      <c r="DX18" s="155"/>
      <c r="DY18" s="155"/>
      <c r="DZ18" s="155"/>
      <c r="EA18" s="155"/>
      <c r="EB18" s="155"/>
      <c r="EC18" s="155"/>
      <c r="ED18" s="155"/>
      <c r="EE18" s="155"/>
      <c r="EF18" s="155"/>
      <c r="EG18" s="155"/>
      <c r="EH18" s="155"/>
      <c r="EI18" s="155"/>
      <c r="EJ18" s="155"/>
      <c r="EK18" s="155"/>
      <c r="EL18" s="155"/>
      <c r="EM18" s="155"/>
      <c r="EN18" s="155"/>
      <c r="EO18" s="155"/>
      <c r="EP18" s="155"/>
      <c r="EQ18" s="155"/>
      <c r="ER18" s="155"/>
      <c r="ES18" s="155"/>
      <c r="ET18" s="155"/>
      <c r="EU18" s="155"/>
      <c r="EV18" s="155"/>
      <c r="EW18" s="155"/>
      <c r="EX18" s="155"/>
      <c r="EY18" s="155"/>
      <c r="EZ18" s="155"/>
      <c r="FA18" s="155"/>
      <c r="FB18" s="155"/>
      <c r="FC18" s="155"/>
      <c r="FD18" s="155"/>
      <c r="FE18" s="155"/>
      <c r="FF18" s="155"/>
      <c r="FG18" s="155"/>
      <c r="FH18" s="155"/>
      <c r="FI18" s="155"/>
      <c r="FJ18" s="155"/>
      <c r="FK18" s="155"/>
      <c r="FL18" s="155"/>
      <c r="FM18" s="155"/>
      <c r="FN18" s="155"/>
      <c r="FO18" s="155"/>
      <c r="FP18" s="155"/>
      <c r="FQ18" s="155"/>
      <c r="FR18" s="155"/>
      <c r="FS18" s="155"/>
      <c r="FT18" s="155"/>
      <c r="FU18" s="155"/>
      <c r="FV18" s="155"/>
      <c r="FW18" s="155"/>
      <c r="FX18" s="155"/>
      <c r="FY18" s="155"/>
      <c r="FZ18" s="155"/>
      <c r="GA18" s="155"/>
      <c r="GB18" s="155"/>
      <c r="GC18" s="155"/>
      <c r="GD18" s="155"/>
      <c r="GE18" s="155"/>
      <c r="GF18" s="155"/>
      <c r="GG18" s="155"/>
      <c r="GH18" s="155"/>
      <c r="GI18" s="155"/>
      <c r="GJ18" s="155"/>
      <c r="GK18" s="155"/>
      <c r="GL18" s="155"/>
      <c r="GM18" s="155"/>
      <c r="GN18" s="155"/>
      <c r="GO18" s="155"/>
      <c r="GP18" s="155"/>
      <c r="GQ18" s="155"/>
      <c r="GR18" s="155"/>
      <c r="GS18" s="155"/>
      <c r="GT18" s="155"/>
      <c r="GU18" s="155"/>
      <c r="GV18" s="155"/>
      <c r="GW18" s="155"/>
      <c r="GX18" s="155"/>
      <c r="GY18" s="155"/>
      <c r="GZ18" s="155"/>
      <c r="HA18" s="155"/>
      <c r="HB18" s="155"/>
      <c r="HC18" s="155"/>
      <c r="HD18" s="155"/>
      <c r="HE18" s="155"/>
      <c r="HF18" s="155"/>
      <c r="HG18" s="155"/>
      <c r="HH18" s="155"/>
      <c r="HI18" s="155"/>
      <c r="HJ18" s="155"/>
      <c r="HK18" s="155"/>
      <c r="HL18" s="155"/>
      <c r="HM18" s="155"/>
      <c r="HN18" s="155"/>
      <c r="HO18" s="155"/>
      <c r="HP18" s="155"/>
      <c r="HQ18" s="155"/>
      <c r="HR18" s="155"/>
      <c r="HS18" s="155"/>
      <c r="HT18" s="155"/>
      <c r="HU18" s="155"/>
      <c r="HV18" s="155"/>
      <c r="HW18" s="155"/>
      <c r="HX18" s="155"/>
      <c r="HY18" s="155"/>
      <c r="HZ18" s="155"/>
      <c r="IA18" s="155"/>
      <c r="IB18" s="155"/>
      <c r="IC18" s="155"/>
      <c r="ID18" s="155"/>
      <c r="IE18" s="155"/>
      <c r="IF18" s="155"/>
      <c r="IG18" s="155"/>
      <c r="IH18" s="155"/>
      <c r="II18" s="155"/>
      <c r="IJ18" s="155"/>
      <c r="IK18" s="155"/>
      <c r="IL18" s="155"/>
      <c r="IM18" s="155"/>
      <c r="IN18" s="155"/>
      <c r="IO18" s="155"/>
      <c r="IP18" s="155"/>
      <c r="IQ18" s="155"/>
      <c r="IR18" s="155"/>
      <c r="IS18" s="155"/>
      <c r="IT18" s="155"/>
      <c r="IU18" s="155"/>
      <c r="IV18" s="155"/>
    </row>
    <row r="19" s="156" customFormat="true" ht="25.5" hidden="false" customHeight="true" outlineLevel="0" collapsed="false">
      <c r="A19" s="157" t="str">
        <f aca="false">IF(Eingabe!A98="","",Eingabe!A98)</f>
        <v/>
      </c>
      <c r="B19" s="157"/>
      <c r="C19" s="157"/>
      <c r="D19" s="157"/>
      <c r="E19" s="158" t="str">
        <f aca="false">IF(Eingabe!B98="","",Eingabe!B98)</f>
        <v/>
      </c>
      <c r="F19" s="158"/>
      <c r="G19" s="158"/>
      <c r="H19" s="158"/>
      <c r="I19" s="159" t="str">
        <f aca="false">IF(Eingabe!C98="","",Eingabe!C98)</f>
        <v/>
      </c>
      <c r="J19" s="159"/>
      <c r="K19" s="159"/>
      <c r="L19" s="159"/>
      <c r="M19" s="160" t="str">
        <f aca="false">IF(Eingabe!D98&amp;""&amp;Eingabe!E98="","",Eingabe!D98&amp;" 
"&amp;Eingabe!E98)</f>
        <v/>
      </c>
      <c r="N19" s="160"/>
      <c r="O19" s="160"/>
      <c r="P19" s="160"/>
      <c r="Q19" s="160"/>
      <c r="R19" s="160"/>
      <c r="S19" s="160"/>
      <c r="T19" s="160"/>
      <c r="U19" s="160"/>
      <c r="V19" s="160"/>
      <c r="W19" s="160"/>
      <c r="X19" s="160"/>
      <c r="Y19" s="160"/>
      <c r="Z19" s="160"/>
      <c r="AA19" s="160"/>
      <c r="AB19" s="160"/>
      <c r="AC19" s="160"/>
      <c r="AD19" s="160"/>
      <c r="AE19" s="160"/>
      <c r="AF19" s="160"/>
      <c r="AG19" s="159" t="str">
        <f aca="false">IF(Eingabe!F98&amp;""&amp;Eingabe!G98="","",Eingabe!F98&amp;" 
"&amp;Eingabe!G98)</f>
        <v/>
      </c>
      <c r="AH19" s="159"/>
      <c r="AI19" s="159"/>
      <c r="AJ19" s="159"/>
      <c r="AK19" s="159"/>
      <c r="AL19" s="159"/>
      <c r="AM19" s="159"/>
      <c r="AN19" s="159"/>
      <c r="AO19" s="159"/>
      <c r="AP19" s="159"/>
      <c r="AQ19" s="159"/>
      <c r="AR19" s="159"/>
      <c r="AS19" s="159"/>
      <c r="AT19" s="159"/>
      <c r="AU19" s="159"/>
      <c r="AV19" s="159"/>
      <c r="AW19" s="159"/>
      <c r="AX19" s="159" t="str">
        <f aca="false">IF(Eingabe!H98="","",Eingabe!H98)</f>
        <v/>
      </c>
      <c r="AY19" s="159"/>
      <c r="AZ19" s="159"/>
      <c r="BA19" s="159"/>
      <c r="BB19" s="161" t="str">
        <f aca="false">IF(Eingabe!K98="","",Eingabe!K98)</f>
        <v/>
      </c>
      <c r="BC19" s="161"/>
      <c r="BD19" s="161"/>
      <c r="BE19" s="161"/>
      <c r="BF19" s="161"/>
      <c r="BG19" s="161"/>
      <c r="BH19" s="161"/>
      <c r="BI19" s="161"/>
      <c r="BJ19" s="161"/>
      <c r="BK19" s="161"/>
      <c r="BL19" s="161"/>
      <c r="BM19" s="161"/>
      <c r="BN19" s="161"/>
      <c r="BO19" s="155"/>
      <c r="BP19" s="155"/>
      <c r="BQ19" s="155"/>
      <c r="BR19" s="155"/>
      <c r="BS19" s="155"/>
      <c r="BT19" s="155"/>
      <c r="BU19" s="155"/>
      <c r="BV19" s="155"/>
      <c r="BW19" s="155"/>
      <c r="BX19" s="155"/>
      <c r="BY19" s="155"/>
      <c r="BZ19" s="155"/>
      <c r="CA19" s="155"/>
      <c r="CB19" s="155"/>
      <c r="CC19" s="155"/>
      <c r="CD19" s="155"/>
      <c r="CE19" s="155"/>
      <c r="CF19" s="155"/>
      <c r="CG19" s="155"/>
      <c r="CH19" s="155"/>
      <c r="CI19" s="155"/>
      <c r="CJ19" s="155"/>
      <c r="CK19" s="155"/>
      <c r="CL19" s="155"/>
      <c r="CM19" s="155"/>
      <c r="CN19" s="155"/>
      <c r="CO19" s="155"/>
      <c r="CP19" s="155"/>
      <c r="CQ19" s="155"/>
      <c r="CR19" s="155"/>
      <c r="CS19" s="155"/>
      <c r="CT19" s="155"/>
      <c r="CU19" s="155"/>
      <c r="CV19" s="155"/>
      <c r="CW19" s="155"/>
      <c r="CX19" s="155"/>
      <c r="CY19" s="155"/>
      <c r="CZ19" s="155"/>
      <c r="DA19" s="155"/>
      <c r="DB19" s="155"/>
      <c r="DC19" s="155"/>
      <c r="DD19" s="155"/>
      <c r="DE19" s="155"/>
      <c r="DF19" s="155"/>
      <c r="DG19" s="155"/>
      <c r="DH19" s="155"/>
      <c r="DI19" s="155"/>
      <c r="DJ19" s="155"/>
      <c r="DK19" s="155"/>
      <c r="DL19" s="155"/>
      <c r="DM19" s="155"/>
      <c r="DN19" s="155"/>
      <c r="DO19" s="155"/>
      <c r="DP19" s="155"/>
      <c r="DQ19" s="155"/>
      <c r="DR19" s="155"/>
      <c r="DS19" s="155"/>
      <c r="DT19" s="155"/>
      <c r="DU19" s="155"/>
      <c r="DV19" s="155"/>
      <c r="DW19" s="155"/>
      <c r="DX19" s="155"/>
      <c r="DY19" s="155"/>
      <c r="DZ19" s="155"/>
      <c r="EA19" s="155"/>
      <c r="EB19" s="155"/>
      <c r="EC19" s="155"/>
      <c r="ED19" s="155"/>
      <c r="EE19" s="155"/>
      <c r="EF19" s="155"/>
      <c r="EG19" s="155"/>
      <c r="EH19" s="155"/>
      <c r="EI19" s="155"/>
      <c r="EJ19" s="155"/>
      <c r="EK19" s="155"/>
      <c r="EL19" s="155"/>
      <c r="EM19" s="155"/>
      <c r="EN19" s="155"/>
      <c r="EO19" s="155"/>
      <c r="EP19" s="155"/>
      <c r="EQ19" s="155"/>
      <c r="ER19" s="155"/>
      <c r="ES19" s="155"/>
      <c r="ET19" s="155"/>
      <c r="EU19" s="155"/>
      <c r="EV19" s="155"/>
      <c r="EW19" s="155"/>
      <c r="EX19" s="155"/>
      <c r="EY19" s="155"/>
      <c r="EZ19" s="155"/>
      <c r="FA19" s="155"/>
      <c r="FB19" s="155"/>
      <c r="FC19" s="155"/>
      <c r="FD19" s="155"/>
      <c r="FE19" s="155"/>
      <c r="FF19" s="155"/>
      <c r="FG19" s="155"/>
      <c r="FH19" s="155"/>
      <c r="FI19" s="155"/>
      <c r="FJ19" s="155"/>
      <c r="FK19" s="155"/>
      <c r="FL19" s="155"/>
      <c r="FM19" s="155"/>
      <c r="FN19" s="155"/>
      <c r="FO19" s="155"/>
      <c r="FP19" s="155"/>
      <c r="FQ19" s="155"/>
      <c r="FR19" s="155"/>
      <c r="FS19" s="155"/>
      <c r="FT19" s="155"/>
      <c r="FU19" s="155"/>
      <c r="FV19" s="155"/>
      <c r="FW19" s="155"/>
      <c r="FX19" s="155"/>
      <c r="FY19" s="155"/>
      <c r="FZ19" s="155"/>
      <c r="GA19" s="155"/>
      <c r="GB19" s="155"/>
      <c r="GC19" s="155"/>
      <c r="GD19" s="155"/>
      <c r="GE19" s="155"/>
      <c r="GF19" s="155"/>
      <c r="GG19" s="155"/>
      <c r="GH19" s="155"/>
      <c r="GI19" s="155"/>
      <c r="GJ19" s="155"/>
      <c r="GK19" s="155"/>
      <c r="GL19" s="155"/>
      <c r="GM19" s="155"/>
      <c r="GN19" s="155"/>
      <c r="GO19" s="155"/>
      <c r="GP19" s="155"/>
      <c r="GQ19" s="155"/>
      <c r="GR19" s="155"/>
      <c r="GS19" s="155"/>
      <c r="GT19" s="155"/>
      <c r="GU19" s="155"/>
      <c r="GV19" s="155"/>
      <c r="GW19" s="155"/>
      <c r="GX19" s="155"/>
      <c r="GY19" s="155"/>
      <c r="GZ19" s="155"/>
      <c r="HA19" s="155"/>
      <c r="HB19" s="155"/>
      <c r="HC19" s="155"/>
      <c r="HD19" s="155"/>
      <c r="HE19" s="155"/>
      <c r="HF19" s="155"/>
      <c r="HG19" s="155"/>
      <c r="HH19" s="155"/>
      <c r="HI19" s="155"/>
      <c r="HJ19" s="155"/>
      <c r="HK19" s="155"/>
      <c r="HL19" s="155"/>
      <c r="HM19" s="155"/>
      <c r="HN19" s="155"/>
      <c r="HO19" s="155"/>
      <c r="HP19" s="155"/>
      <c r="HQ19" s="155"/>
      <c r="HR19" s="155"/>
      <c r="HS19" s="155"/>
      <c r="HT19" s="155"/>
      <c r="HU19" s="155"/>
      <c r="HV19" s="155"/>
      <c r="HW19" s="155"/>
      <c r="HX19" s="155"/>
      <c r="HY19" s="155"/>
      <c r="HZ19" s="155"/>
      <c r="IA19" s="155"/>
      <c r="IB19" s="155"/>
      <c r="IC19" s="155"/>
      <c r="ID19" s="155"/>
      <c r="IE19" s="155"/>
      <c r="IF19" s="155"/>
      <c r="IG19" s="155"/>
      <c r="IH19" s="155"/>
      <c r="II19" s="155"/>
      <c r="IJ19" s="155"/>
      <c r="IK19" s="155"/>
      <c r="IL19" s="155"/>
      <c r="IM19" s="155"/>
      <c r="IN19" s="155"/>
      <c r="IO19" s="155"/>
      <c r="IP19" s="155"/>
      <c r="IQ19" s="155"/>
      <c r="IR19" s="155"/>
      <c r="IS19" s="155"/>
      <c r="IT19" s="155"/>
      <c r="IU19" s="155"/>
      <c r="IV19" s="155"/>
    </row>
    <row r="20" s="156" customFormat="true" ht="25.5" hidden="false" customHeight="true" outlineLevel="0" collapsed="false">
      <c r="A20" s="157" t="str">
        <f aca="false">IF(Eingabe!A99="","",Eingabe!A99)</f>
        <v/>
      </c>
      <c r="B20" s="157"/>
      <c r="C20" s="157"/>
      <c r="D20" s="157"/>
      <c r="E20" s="158" t="str">
        <f aca="false">IF(Eingabe!B99="","",Eingabe!B99)</f>
        <v/>
      </c>
      <c r="F20" s="158"/>
      <c r="G20" s="158"/>
      <c r="H20" s="158"/>
      <c r="I20" s="159" t="str">
        <f aca="false">IF(Eingabe!C99="","",Eingabe!C99)</f>
        <v/>
      </c>
      <c r="J20" s="159"/>
      <c r="K20" s="159"/>
      <c r="L20" s="159"/>
      <c r="M20" s="160" t="str">
        <f aca="false">IF(Eingabe!D99&amp;""&amp;Eingabe!E99="","",Eingabe!D99&amp;" 
"&amp;Eingabe!E99)</f>
        <v/>
      </c>
      <c r="N20" s="160"/>
      <c r="O20" s="160"/>
      <c r="P20" s="160"/>
      <c r="Q20" s="160"/>
      <c r="R20" s="160"/>
      <c r="S20" s="160"/>
      <c r="T20" s="160"/>
      <c r="U20" s="160"/>
      <c r="V20" s="160"/>
      <c r="W20" s="160"/>
      <c r="X20" s="160"/>
      <c r="Y20" s="160"/>
      <c r="Z20" s="160"/>
      <c r="AA20" s="160"/>
      <c r="AB20" s="160"/>
      <c r="AC20" s="160"/>
      <c r="AD20" s="160"/>
      <c r="AE20" s="160"/>
      <c r="AF20" s="160"/>
      <c r="AG20" s="159" t="str">
        <f aca="false">IF(Eingabe!F99&amp;""&amp;Eingabe!G99="","",Eingabe!F99&amp;" 
"&amp;Eingabe!G99)</f>
        <v/>
      </c>
      <c r="AH20" s="159"/>
      <c r="AI20" s="159"/>
      <c r="AJ20" s="159"/>
      <c r="AK20" s="159"/>
      <c r="AL20" s="159"/>
      <c r="AM20" s="159"/>
      <c r="AN20" s="159"/>
      <c r="AO20" s="159"/>
      <c r="AP20" s="159"/>
      <c r="AQ20" s="159"/>
      <c r="AR20" s="159"/>
      <c r="AS20" s="159"/>
      <c r="AT20" s="159"/>
      <c r="AU20" s="159"/>
      <c r="AV20" s="159"/>
      <c r="AW20" s="159"/>
      <c r="AX20" s="159" t="str">
        <f aca="false">IF(Eingabe!H99="","",Eingabe!H99)</f>
        <v/>
      </c>
      <c r="AY20" s="159"/>
      <c r="AZ20" s="159"/>
      <c r="BA20" s="159"/>
      <c r="BB20" s="161" t="str">
        <f aca="false">IF(Eingabe!K99="","",Eingabe!K99)</f>
        <v/>
      </c>
      <c r="BC20" s="161"/>
      <c r="BD20" s="161"/>
      <c r="BE20" s="161"/>
      <c r="BF20" s="161"/>
      <c r="BG20" s="161"/>
      <c r="BH20" s="161"/>
      <c r="BI20" s="161"/>
      <c r="BJ20" s="161"/>
      <c r="BK20" s="161"/>
      <c r="BL20" s="161"/>
      <c r="BM20" s="161"/>
      <c r="BN20" s="161"/>
      <c r="BO20" s="155"/>
      <c r="BP20" s="155"/>
      <c r="BQ20" s="155"/>
      <c r="BR20" s="155"/>
      <c r="BS20" s="155"/>
      <c r="BT20" s="155"/>
      <c r="BU20" s="155"/>
      <c r="BV20" s="155"/>
      <c r="BW20" s="155"/>
      <c r="BX20" s="155"/>
      <c r="BY20" s="155"/>
      <c r="BZ20" s="155"/>
      <c r="CA20" s="155"/>
      <c r="CB20" s="155"/>
      <c r="CC20" s="155"/>
      <c r="CD20" s="155"/>
      <c r="CE20" s="155"/>
      <c r="CF20" s="155"/>
      <c r="CG20" s="155"/>
      <c r="CH20" s="155"/>
      <c r="CI20" s="155"/>
      <c r="CJ20" s="155"/>
      <c r="CK20" s="155"/>
      <c r="CL20" s="155"/>
      <c r="CM20" s="155"/>
      <c r="CN20" s="155"/>
      <c r="CO20" s="155"/>
      <c r="CP20" s="155"/>
      <c r="CQ20" s="155"/>
      <c r="CR20" s="155"/>
      <c r="CS20" s="155"/>
      <c r="CT20" s="155"/>
      <c r="CU20" s="155"/>
      <c r="CV20" s="155"/>
      <c r="CW20" s="155"/>
      <c r="CX20" s="155"/>
      <c r="CY20" s="155"/>
      <c r="CZ20" s="155"/>
      <c r="DA20" s="155"/>
      <c r="DB20" s="155"/>
      <c r="DC20" s="155"/>
      <c r="DD20" s="155"/>
      <c r="DE20" s="155"/>
      <c r="DF20" s="155"/>
      <c r="DG20" s="155"/>
      <c r="DH20" s="155"/>
      <c r="DI20" s="155"/>
      <c r="DJ20" s="155"/>
      <c r="DK20" s="155"/>
      <c r="DL20" s="155"/>
      <c r="DM20" s="155"/>
      <c r="DN20" s="155"/>
      <c r="DO20" s="155"/>
      <c r="DP20" s="155"/>
      <c r="DQ20" s="155"/>
      <c r="DR20" s="155"/>
      <c r="DS20" s="155"/>
      <c r="DT20" s="155"/>
      <c r="DU20" s="155"/>
      <c r="DV20" s="155"/>
      <c r="DW20" s="155"/>
      <c r="DX20" s="155"/>
      <c r="DY20" s="155"/>
      <c r="DZ20" s="155"/>
      <c r="EA20" s="155"/>
      <c r="EB20" s="155"/>
      <c r="EC20" s="155"/>
      <c r="ED20" s="155"/>
      <c r="EE20" s="155"/>
      <c r="EF20" s="155"/>
      <c r="EG20" s="155"/>
      <c r="EH20" s="155"/>
      <c r="EI20" s="155"/>
      <c r="EJ20" s="155"/>
      <c r="EK20" s="155"/>
      <c r="EL20" s="155"/>
      <c r="EM20" s="155"/>
      <c r="EN20" s="155"/>
      <c r="EO20" s="155"/>
      <c r="EP20" s="155"/>
      <c r="EQ20" s="155"/>
      <c r="ER20" s="155"/>
      <c r="ES20" s="155"/>
      <c r="ET20" s="155"/>
      <c r="EU20" s="155"/>
      <c r="EV20" s="155"/>
      <c r="EW20" s="155"/>
      <c r="EX20" s="155"/>
      <c r="EY20" s="155"/>
      <c r="EZ20" s="155"/>
      <c r="FA20" s="155"/>
      <c r="FB20" s="155"/>
      <c r="FC20" s="155"/>
      <c r="FD20" s="155"/>
      <c r="FE20" s="155"/>
      <c r="FF20" s="155"/>
      <c r="FG20" s="155"/>
      <c r="FH20" s="155"/>
      <c r="FI20" s="155"/>
      <c r="FJ20" s="155"/>
      <c r="FK20" s="155"/>
      <c r="FL20" s="155"/>
      <c r="FM20" s="155"/>
      <c r="FN20" s="155"/>
      <c r="FO20" s="155"/>
      <c r="FP20" s="155"/>
      <c r="FQ20" s="155"/>
      <c r="FR20" s="155"/>
      <c r="FS20" s="155"/>
      <c r="FT20" s="155"/>
      <c r="FU20" s="155"/>
      <c r="FV20" s="155"/>
      <c r="FW20" s="155"/>
      <c r="FX20" s="155"/>
      <c r="FY20" s="155"/>
      <c r="FZ20" s="155"/>
      <c r="GA20" s="155"/>
      <c r="GB20" s="155"/>
      <c r="GC20" s="155"/>
      <c r="GD20" s="155"/>
      <c r="GE20" s="155"/>
      <c r="GF20" s="155"/>
      <c r="GG20" s="155"/>
      <c r="GH20" s="155"/>
      <c r="GI20" s="155"/>
      <c r="GJ20" s="155"/>
      <c r="GK20" s="155"/>
      <c r="GL20" s="155"/>
      <c r="GM20" s="155"/>
      <c r="GN20" s="155"/>
      <c r="GO20" s="155"/>
      <c r="GP20" s="155"/>
      <c r="GQ20" s="155"/>
      <c r="GR20" s="155"/>
      <c r="GS20" s="155"/>
      <c r="GT20" s="155"/>
      <c r="GU20" s="155"/>
      <c r="GV20" s="155"/>
      <c r="GW20" s="155"/>
      <c r="GX20" s="155"/>
      <c r="GY20" s="155"/>
      <c r="GZ20" s="155"/>
      <c r="HA20" s="155"/>
      <c r="HB20" s="155"/>
      <c r="HC20" s="155"/>
      <c r="HD20" s="155"/>
      <c r="HE20" s="155"/>
      <c r="HF20" s="155"/>
      <c r="HG20" s="155"/>
      <c r="HH20" s="155"/>
      <c r="HI20" s="155"/>
      <c r="HJ20" s="155"/>
      <c r="HK20" s="155"/>
      <c r="HL20" s="155"/>
      <c r="HM20" s="155"/>
      <c r="HN20" s="155"/>
      <c r="HO20" s="155"/>
      <c r="HP20" s="155"/>
      <c r="HQ20" s="155"/>
      <c r="HR20" s="155"/>
      <c r="HS20" s="155"/>
      <c r="HT20" s="155"/>
      <c r="HU20" s="155"/>
      <c r="HV20" s="155"/>
      <c r="HW20" s="155"/>
      <c r="HX20" s="155"/>
      <c r="HY20" s="155"/>
      <c r="HZ20" s="155"/>
      <c r="IA20" s="155"/>
      <c r="IB20" s="155"/>
      <c r="IC20" s="155"/>
      <c r="ID20" s="155"/>
      <c r="IE20" s="155"/>
      <c r="IF20" s="155"/>
      <c r="IG20" s="155"/>
      <c r="IH20" s="155"/>
      <c r="II20" s="155"/>
      <c r="IJ20" s="155"/>
      <c r="IK20" s="155"/>
      <c r="IL20" s="155"/>
      <c r="IM20" s="155"/>
      <c r="IN20" s="155"/>
      <c r="IO20" s="155"/>
      <c r="IP20" s="155"/>
      <c r="IQ20" s="155"/>
      <c r="IR20" s="155"/>
      <c r="IS20" s="155"/>
      <c r="IT20" s="155"/>
      <c r="IU20" s="155"/>
      <c r="IV20" s="155"/>
    </row>
    <row r="21" s="156" customFormat="true" ht="25.5" hidden="false" customHeight="true" outlineLevel="0" collapsed="false">
      <c r="A21" s="157" t="str">
        <f aca="false">IF(Eingabe!A100="","",Eingabe!A100)</f>
        <v/>
      </c>
      <c r="B21" s="157"/>
      <c r="C21" s="157"/>
      <c r="D21" s="157"/>
      <c r="E21" s="158" t="str">
        <f aca="false">IF(Eingabe!B100="","",Eingabe!B100)</f>
        <v/>
      </c>
      <c r="F21" s="158"/>
      <c r="G21" s="158"/>
      <c r="H21" s="158"/>
      <c r="I21" s="159" t="str">
        <f aca="false">IF(Eingabe!C100="","",Eingabe!C100)</f>
        <v/>
      </c>
      <c r="J21" s="159"/>
      <c r="K21" s="159"/>
      <c r="L21" s="159"/>
      <c r="M21" s="160" t="str">
        <f aca="false">IF(Eingabe!D100&amp;""&amp;Eingabe!E100="","",Eingabe!D100&amp;" 
"&amp;Eingabe!E100)</f>
        <v/>
      </c>
      <c r="N21" s="160"/>
      <c r="O21" s="160"/>
      <c r="P21" s="160"/>
      <c r="Q21" s="160"/>
      <c r="R21" s="160"/>
      <c r="S21" s="160"/>
      <c r="T21" s="160"/>
      <c r="U21" s="160"/>
      <c r="V21" s="160"/>
      <c r="W21" s="160"/>
      <c r="X21" s="160"/>
      <c r="Y21" s="160"/>
      <c r="Z21" s="160"/>
      <c r="AA21" s="160"/>
      <c r="AB21" s="160"/>
      <c r="AC21" s="160"/>
      <c r="AD21" s="160"/>
      <c r="AE21" s="160"/>
      <c r="AF21" s="160"/>
      <c r="AG21" s="159" t="str">
        <f aca="false">IF(Eingabe!F100&amp;""&amp;Eingabe!G100="","",Eingabe!F100&amp;" 
"&amp;Eingabe!G100)</f>
        <v/>
      </c>
      <c r="AH21" s="159"/>
      <c r="AI21" s="159"/>
      <c r="AJ21" s="159"/>
      <c r="AK21" s="159"/>
      <c r="AL21" s="159"/>
      <c r="AM21" s="159"/>
      <c r="AN21" s="159"/>
      <c r="AO21" s="159"/>
      <c r="AP21" s="159"/>
      <c r="AQ21" s="159"/>
      <c r="AR21" s="159"/>
      <c r="AS21" s="159"/>
      <c r="AT21" s="159"/>
      <c r="AU21" s="159"/>
      <c r="AV21" s="159"/>
      <c r="AW21" s="159"/>
      <c r="AX21" s="159" t="str">
        <f aca="false">IF(Eingabe!H100="","",Eingabe!H100)</f>
        <v/>
      </c>
      <c r="AY21" s="159"/>
      <c r="AZ21" s="159"/>
      <c r="BA21" s="159"/>
      <c r="BB21" s="161" t="str">
        <f aca="false">IF(Eingabe!K100="","",Eingabe!K100)</f>
        <v/>
      </c>
      <c r="BC21" s="161"/>
      <c r="BD21" s="161"/>
      <c r="BE21" s="161"/>
      <c r="BF21" s="161"/>
      <c r="BG21" s="161"/>
      <c r="BH21" s="161"/>
      <c r="BI21" s="161"/>
      <c r="BJ21" s="161"/>
      <c r="BK21" s="161"/>
      <c r="BL21" s="161"/>
      <c r="BM21" s="161"/>
      <c r="BN21" s="161"/>
      <c r="BO21" s="155"/>
      <c r="BP21" s="155"/>
      <c r="BQ21" s="155"/>
      <c r="BR21" s="155"/>
      <c r="BS21" s="155"/>
      <c r="BT21" s="155"/>
      <c r="BU21" s="155"/>
      <c r="BV21" s="155"/>
      <c r="BW21" s="155"/>
      <c r="BX21" s="155"/>
      <c r="BY21" s="155"/>
      <c r="BZ21" s="155"/>
      <c r="CA21" s="155"/>
      <c r="CB21" s="155"/>
      <c r="CC21" s="155"/>
      <c r="CD21" s="155"/>
      <c r="CE21" s="155"/>
      <c r="CF21" s="155"/>
      <c r="CG21" s="155"/>
      <c r="CH21" s="155"/>
      <c r="CI21" s="155"/>
      <c r="CJ21" s="155"/>
      <c r="CK21" s="155"/>
      <c r="CL21" s="155"/>
      <c r="CM21" s="155"/>
      <c r="CN21" s="155"/>
      <c r="CO21" s="155"/>
      <c r="CP21" s="155"/>
      <c r="CQ21" s="155"/>
      <c r="CR21" s="155"/>
      <c r="CS21" s="155"/>
      <c r="CT21" s="155"/>
      <c r="CU21" s="155"/>
      <c r="CV21" s="155"/>
      <c r="CW21" s="155"/>
      <c r="CX21" s="155"/>
      <c r="CY21" s="155"/>
      <c r="CZ21" s="155"/>
      <c r="DA21" s="155"/>
      <c r="DB21" s="155"/>
      <c r="DC21" s="155"/>
      <c r="DD21" s="155"/>
      <c r="DE21" s="155"/>
      <c r="DF21" s="155"/>
      <c r="DG21" s="155"/>
      <c r="DH21" s="155"/>
      <c r="DI21" s="155"/>
      <c r="DJ21" s="155"/>
      <c r="DK21" s="155"/>
      <c r="DL21" s="155"/>
      <c r="DM21" s="155"/>
      <c r="DN21" s="155"/>
      <c r="DO21" s="155"/>
      <c r="DP21" s="155"/>
      <c r="DQ21" s="155"/>
      <c r="DR21" s="155"/>
      <c r="DS21" s="155"/>
      <c r="DT21" s="155"/>
      <c r="DU21" s="155"/>
      <c r="DV21" s="155"/>
      <c r="DW21" s="155"/>
      <c r="DX21" s="155"/>
      <c r="DY21" s="155"/>
      <c r="DZ21" s="155"/>
      <c r="EA21" s="155"/>
      <c r="EB21" s="155"/>
      <c r="EC21" s="155"/>
      <c r="ED21" s="155"/>
      <c r="EE21" s="155"/>
      <c r="EF21" s="155"/>
      <c r="EG21" s="155"/>
      <c r="EH21" s="155"/>
      <c r="EI21" s="155"/>
      <c r="EJ21" s="155"/>
      <c r="EK21" s="155"/>
      <c r="EL21" s="155"/>
      <c r="EM21" s="155"/>
      <c r="EN21" s="155"/>
      <c r="EO21" s="155"/>
      <c r="EP21" s="155"/>
      <c r="EQ21" s="155"/>
      <c r="ER21" s="155"/>
      <c r="ES21" s="155"/>
      <c r="ET21" s="155"/>
      <c r="EU21" s="155"/>
      <c r="EV21" s="155"/>
      <c r="EW21" s="155"/>
      <c r="EX21" s="155"/>
      <c r="EY21" s="155"/>
      <c r="EZ21" s="155"/>
      <c r="FA21" s="155"/>
      <c r="FB21" s="155"/>
      <c r="FC21" s="155"/>
      <c r="FD21" s="155"/>
      <c r="FE21" s="155"/>
      <c r="FF21" s="155"/>
      <c r="FG21" s="155"/>
      <c r="FH21" s="155"/>
      <c r="FI21" s="155"/>
      <c r="FJ21" s="155"/>
      <c r="FK21" s="155"/>
      <c r="FL21" s="155"/>
      <c r="FM21" s="155"/>
      <c r="FN21" s="155"/>
      <c r="FO21" s="155"/>
      <c r="FP21" s="155"/>
      <c r="FQ21" s="155"/>
      <c r="FR21" s="155"/>
      <c r="FS21" s="155"/>
      <c r="FT21" s="155"/>
      <c r="FU21" s="155"/>
      <c r="FV21" s="155"/>
      <c r="FW21" s="155"/>
      <c r="FX21" s="155"/>
      <c r="FY21" s="155"/>
      <c r="FZ21" s="155"/>
      <c r="GA21" s="155"/>
      <c r="GB21" s="155"/>
      <c r="GC21" s="155"/>
      <c r="GD21" s="155"/>
      <c r="GE21" s="155"/>
      <c r="GF21" s="155"/>
      <c r="GG21" s="155"/>
      <c r="GH21" s="155"/>
      <c r="GI21" s="155"/>
      <c r="GJ21" s="155"/>
      <c r="GK21" s="155"/>
      <c r="GL21" s="155"/>
      <c r="GM21" s="155"/>
      <c r="GN21" s="155"/>
      <c r="GO21" s="155"/>
      <c r="GP21" s="155"/>
      <c r="GQ21" s="155"/>
      <c r="GR21" s="155"/>
      <c r="GS21" s="155"/>
      <c r="GT21" s="155"/>
      <c r="GU21" s="155"/>
      <c r="GV21" s="155"/>
      <c r="GW21" s="155"/>
      <c r="GX21" s="155"/>
      <c r="GY21" s="155"/>
      <c r="GZ21" s="155"/>
      <c r="HA21" s="155"/>
      <c r="HB21" s="155"/>
      <c r="HC21" s="155"/>
      <c r="HD21" s="155"/>
      <c r="HE21" s="155"/>
      <c r="HF21" s="155"/>
      <c r="HG21" s="155"/>
      <c r="HH21" s="155"/>
      <c r="HI21" s="155"/>
      <c r="HJ21" s="155"/>
      <c r="HK21" s="155"/>
      <c r="HL21" s="155"/>
      <c r="HM21" s="155"/>
      <c r="HN21" s="155"/>
      <c r="HO21" s="155"/>
      <c r="HP21" s="155"/>
      <c r="HQ21" s="155"/>
      <c r="HR21" s="155"/>
      <c r="HS21" s="155"/>
      <c r="HT21" s="155"/>
      <c r="HU21" s="155"/>
      <c r="HV21" s="155"/>
      <c r="HW21" s="155"/>
      <c r="HX21" s="155"/>
      <c r="HY21" s="155"/>
      <c r="HZ21" s="155"/>
      <c r="IA21" s="155"/>
      <c r="IB21" s="155"/>
      <c r="IC21" s="155"/>
      <c r="ID21" s="155"/>
      <c r="IE21" s="155"/>
      <c r="IF21" s="155"/>
      <c r="IG21" s="155"/>
      <c r="IH21" s="155"/>
      <c r="II21" s="155"/>
      <c r="IJ21" s="155"/>
      <c r="IK21" s="155"/>
      <c r="IL21" s="155"/>
      <c r="IM21" s="155"/>
      <c r="IN21" s="155"/>
      <c r="IO21" s="155"/>
      <c r="IP21" s="155"/>
      <c r="IQ21" s="155"/>
      <c r="IR21" s="155"/>
      <c r="IS21" s="155"/>
      <c r="IT21" s="155"/>
      <c r="IU21" s="155"/>
      <c r="IV21" s="155"/>
    </row>
    <row r="22" s="156" customFormat="true" ht="25.5" hidden="false" customHeight="true" outlineLevel="0" collapsed="false">
      <c r="A22" s="157" t="str">
        <f aca="false">IF(Eingabe!A101="","",Eingabe!A101)</f>
        <v/>
      </c>
      <c r="B22" s="157"/>
      <c r="C22" s="157"/>
      <c r="D22" s="157"/>
      <c r="E22" s="158" t="str">
        <f aca="false">IF(Eingabe!B101="","",Eingabe!B101)</f>
        <v/>
      </c>
      <c r="F22" s="158"/>
      <c r="G22" s="158"/>
      <c r="H22" s="158"/>
      <c r="I22" s="159" t="str">
        <f aca="false">IF(Eingabe!C101="","",Eingabe!C101)</f>
        <v/>
      </c>
      <c r="J22" s="159"/>
      <c r="K22" s="159"/>
      <c r="L22" s="159"/>
      <c r="M22" s="160" t="str">
        <f aca="false">IF(Eingabe!D101&amp;""&amp;Eingabe!E101="","",Eingabe!D101&amp;" 
"&amp;Eingabe!E101)</f>
        <v/>
      </c>
      <c r="N22" s="160"/>
      <c r="O22" s="160"/>
      <c r="P22" s="160"/>
      <c r="Q22" s="160"/>
      <c r="R22" s="160"/>
      <c r="S22" s="160"/>
      <c r="T22" s="160"/>
      <c r="U22" s="160"/>
      <c r="V22" s="160"/>
      <c r="W22" s="160"/>
      <c r="X22" s="160"/>
      <c r="Y22" s="160"/>
      <c r="Z22" s="160"/>
      <c r="AA22" s="160"/>
      <c r="AB22" s="160"/>
      <c r="AC22" s="160"/>
      <c r="AD22" s="160"/>
      <c r="AE22" s="160"/>
      <c r="AF22" s="160"/>
      <c r="AG22" s="159" t="str">
        <f aca="false">IF(Eingabe!F101&amp;""&amp;Eingabe!G101="","",Eingabe!F101&amp;" 
"&amp;Eingabe!G101)</f>
        <v/>
      </c>
      <c r="AH22" s="159"/>
      <c r="AI22" s="159"/>
      <c r="AJ22" s="159"/>
      <c r="AK22" s="159"/>
      <c r="AL22" s="159"/>
      <c r="AM22" s="159"/>
      <c r="AN22" s="159"/>
      <c r="AO22" s="159"/>
      <c r="AP22" s="159"/>
      <c r="AQ22" s="159"/>
      <c r="AR22" s="159"/>
      <c r="AS22" s="159"/>
      <c r="AT22" s="159"/>
      <c r="AU22" s="159"/>
      <c r="AV22" s="159"/>
      <c r="AW22" s="159"/>
      <c r="AX22" s="159" t="str">
        <f aca="false">IF(Eingabe!H101="","",Eingabe!H101)</f>
        <v/>
      </c>
      <c r="AY22" s="159"/>
      <c r="AZ22" s="159"/>
      <c r="BA22" s="159"/>
      <c r="BB22" s="161" t="str">
        <f aca="false">IF(Eingabe!K101="","",Eingabe!K101)</f>
        <v/>
      </c>
      <c r="BC22" s="161"/>
      <c r="BD22" s="161"/>
      <c r="BE22" s="161"/>
      <c r="BF22" s="161"/>
      <c r="BG22" s="161"/>
      <c r="BH22" s="161"/>
      <c r="BI22" s="161"/>
      <c r="BJ22" s="161"/>
      <c r="BK22" s="161"/>
      <c r="BL22" s="161"/>
      <c r="BM22" s="161"/>
      <c r="BN22" s="161"/>
      <c r="BO22" s="155"/>
      <c r="BP22" s="155"/>
      <c r="BQ22" s="155"/>
      <c r="BR22" s="155"/>
      <c r="BS22" s="155"/>
      <c r="BT22" s="155"/>
      <c r="BU22" s="155"/>
      <c r="BV22" s="155"/>
      <c r="BW22" s="155"/>
      <c r="BX22" s="155"/>
      <c r="BY22" s="155"/>
      <c r="BZ22" s="155"/>
      <c r="CA22" s="155"/>
      <c r="CB22" s="155"/>
      <c r="CC22" s="155"/>
      <c r="CD22" s="155"/>
      <c r="CE22" s="155"/>
      <c r="CF22" s="155"/>
      <c r="CG22" s="155"/>
      <c r="CH22" s="155"/>
      <c r="CI22" s="155"/>
      <c r="CJ22" s="155"/>
      <c r="CK22" s="155"/>
      <c r="CL22" s="155"/>
      <c r="CM22" s="155"/>
      <c r="CN22" s="155"/>
      <c r="CO22" s="155"/>
      <c r="CP22" s="155"/>
      <c r="CQ22" s="155"/>
      <c r="CR22" s="155"/>
      <c r="CS22" s="155"/>
      <c r="CT22" s="155"/>
      <c r="CU22" s="155"/>
      <c r="CV22" s="155"/>
      <c r="CW22" s="155"/>
      <c r="CX22" s="155"/>
      <c r="CY22" s="155"/>
      <c r="CZ22" s="155"/>
      <c r="DA22" s="155"/>
      <c r="DB22" s="155"/>
      <c r="DC22" s="155"/>
      <c r="DD22" s="155"/>
      <c r="DE22" s="155"/>
      <c r="DF22" s="155"/>
      <c r="DG22" s="155"/>
      <c r="DH22" s="155"/>
      <c r="DI22" s="155"/>
      <c r="DJ22" s="155"/>
      <c r="DK22" s="155"/>
      <c r="DL22" s="155"/>
      <c r="DM22" s="155"/>
      <c r="DN22" s="155"/>
      <c r="DO22" s="155"/>
      <c r="DP22" s="155"/>
      <c r="DQ22" s="155"/>
      <c r="DR22" s="155"/>
      <c r="DS22" s="155"/>
      <c r="DT22" s="155"/>
      <c r="DU22" s="155"/>
      <c r="DV22" s="155"/>
      <c r="DW22" s="155"/>
      <c r="DX22" s="155"/>
      <c r="DY22" s="155"/>
      <c r="DZ22" s="155"/>
      <c r="EA22" s="155"/>
      <c r="EB22" s="155"/>
      <c r="EC22" s="155"/>
      <c r="ED22" s="155"/>
      <c r="EE22" s="155"/>
      <c r="EF22" s="155"/>
      <c r="EG22" s="155"/>
      <c r="EH22" s="155"/>
      <c r="EI22" s="155"/>
      <c r="EJ22" s="155"/>
      <c r="EK22" s="155"/>
      <c r="EL22" s="155"/>
      <c r="EM22" s="155"/>
      <c r="EN22" s="155"/>
      <c r="EO22" s="155"/>
      <c r="EP22" s="155"/>
      <c r="EQ22" s="155"/>
      <c r="ER22" s="155"/>
      <c r="ES22" s="155"/>
      <c r="ET22" s="155"/>
      <c r="EU22" s="155"/>
      <c r="EV22" s="155"/>
      <c r="EW22" s="155"/>
      <c r="EX22" s="155"/>
      <c r="EY22" s="155"/>
      <c r="EZ22" s="155"/>
      <c r="FA22" s="155"/>
      <c r="FB22" s="155"/>
      <c r="FC22" s="155"/>
      <c r="FD22" s="155"/>
      <c r="FE22" s="155"/>
      <c r="FF22" s="155"/>
      <c r="FG22" s="155"/>
      <c r="FH22" s="155"/>
      <c r="FI22" s="155"/>
      <c r="FJ22" s="155"/>
      <c r="FK22" s="155"/>
      <c r="FL22" s="155"/>
      <c r="FM22" s="155"/>
      <c r="FN22" s="155"/>
      <c r="FO22" s="155"/>
      <c r="FP22" s="155"/>
      <c r="FQ22" s="155"/>
      <c r="FR22" s="155"/>
      <c r="FS22" s="155"/>
      <c r="FT22" s="155"/>
      <c r="FU22" s="155"/>
      <c r="FV22" s="155"/>
      <c r="FW22" s="155"/>
      <c r="FX22" s="155"/>
      <c r="FY22" s="155"/>
      <c r="FZ22" s="155"/>
      <c r="GA22" s="155"/>
      <c r="GB22" s="155"/>
      <c r="GC22" s="155"/>
      <c r="GD22" s="155"/>
      <c r="GE22" s="155"/>
      <c r="GF22" s="155"/>
      <c r="GG22" s="155"/>
      <c r="GH22" s="155"/>
      <c r="GI22" s="155"/>
      <c r="GJ22" s="155"/>
      <c r="GK22" s="155"/>
      <c r="GL22" s="155"/>
      <c r="GM22" s="155"/>
      <c r="GN22" s="155"/>
      <c r="GO22" s="155"/>
      <c r="GP22" s="155"/>
      <c r="GQ22" s="155"/>
      <c r="GR22" s="155"/>
      <c r="GS22" s="155"/>
      <c r="GT22" s="155"/>
      <c r="GU22" s="155"/>
      <c r="GV22" s="155"/>
      <c r="GW22" s="155"/>
      <c r="GX22" s="155"/>
      <c r="GY22" s="155"/>
      <c r="GZ22" s="155"/>
      <c r="HA22" s="155"/>
      <c r="HB22" s="155"/>
      <c r="HC22" s="155"/>
      <c r="HD22" s="155"/>
      <c r="HE22" s="155"/>
      <c r="HF22" s="155"/>
      <c r="HG22" s="155"/>
      <c r="HH22" s="155"/>
      <c r="HI22" s="155"/>
      <c r="HJ22" s="155"/>
      <c r="HK22" s="155"/>
      <c r="HL22" s="155"/>
      <c r="HM22" s="155"/>
      <c r="HN22" s="155"/>
      <c r="HO22" s="155"/>
      <c r="HP22" s="155"/>
      <c r="HQ22" s="155"/>
      <c r="HR22" s="155"/>
      <c r="HS22" s="155"/>
      <c r="HT22" s="155"/>
      <c r="HU22" s="155"/>
      <c r="HV22" s="155"/>
      <c r="HW22" s="155"/>
      <c r="HX22" s="155"/>
      <c r="HY22" s="155"/>
      <c r="HZ22" s="155"/>
      <c r="IA22" s="155"/>
      <c r="IB22" s="155"/>
      <c r="IC22" s="155"/>
      <c r="ID22" s="155"/>
      <c r="IE22" s="155"/>
      <c r="IF22" s="155"/>
      <c r="IG22" s="155"/>
      <c r="IH22" s="155"/>
      <c r="II22" s="155"/>
      <c r="IJ22" s="155"/>
      <c r="IK22" s="155"/>
      <c r="IL22" s="155"/>
      <c r="IM22" s="155"/>
      <c r="IN22" s="155"/>
      <c r="IO22" s="155"/>
      <c r="IP22" s="155"/>
      <c r="IQ22" s="155"/>
      <c r="IR22" s="155"/>
      <c r="IS22" s="155"/>
      <c r="IT22" s="155"/>
      <c r="IU22" s="155"/>
      <c r="IV22" s="155"/>
    </row>
    <row r="23" s="156" customFormat="true" ht="25.5" hidden="false" customHeight="true" outlineLevel="0" collapsed="false">
      <c r="A23" s="157" t="str">
        <f aca="false">IF(Eingabe!A102="","",Eingabe!A102)</f>
        <v/>
      </c>
      <c r="B23" s="157"/>
      <c r="C23" s="157"/>
      <c r="D23" s="157"/>
      <c r="E23" s="158" t="str">
        <f aca="false">IF(Eingabe!B102="","",Eingabe!B102)</f>
        <v/>
      </c>
      <c r="F23" s="158"/>
      <c r="G23" s="158"/>
      <c r="H23" s="158"/>
      <c r="I23" s="159" t="str">
        <f aca="false">IF(Eingabe!C102="","",Eingabe!C102)</f>
        <v/>
      </c>
      <c r="J23" s="159"/>
      <c r="K23" s="159"/>
      <c r="L23" s="159"/>
      <c r="M23" s="160" t="str">
        <f aca="false">IF(Eingabe!D102&amp;""&amp;Eingabe!E102="","",Eingabe!D102&amp;" 
"&amp;Eingabe!E102)</f>
        <v/>
      </c>
      <c r="N23" s="160"/>
      <c r="O23" s="160"/>
      <c r="P23" s="160"/>
      <c r="Q23" s="160"/>
      <c r="R23" s="160"/>
      <c r="S23" s="160"/>
      <c r="T23" s="160"/>
      <c r="U23" s="160"/>
      <c r="V23" s="160"/>
      <c r="W23" s="160"/>
      <c r="X23" s="160"/>
      <c r="Y23" s="160"/>
      <c r="Z23" s="160"/>
      <c r="AA23" s="160"/>
      <c r="AB23" s="160"/>
      <c r="AC23" s="160"/>
      <c r="AD23" s="160"/>
      <c r="AE23" s="160"/>
      <c r="AF23" s="160"/>
      <c r="AG23" s="159" t="str">
        <f aca="false">IF(Eingabe!F102&amp;""&amp;Eingabe!G102="","",Eingabe!F102&amp;" 
"&amp;Eingabe!G102)</f>
        <v/>
      </c>
      <c r="AH23" s="159"/>
      <c r="AI23" s="159"/>
      <c r="AJ23" s="159"/>
      <c r="AK23" s="159"/>
      <c r="AL23" s="159"/>
      <c r="AM23" s="159"/>
      <c r="AN23" s="159"/>
      <c r="AO23" s="159"/>
      <c r="AP23" s="159"/>
      <c r="AQ23" s="159"/>
      <c r="AR23" s="159"/>
      <c r="AS23" s="159"/>
      <c r="AT23" s="159"/>
      <c r="AU23" s="159"/>
      <c r="AV23" s="159"/>
      <c r="AW23" s="159"/>
      <c r="AX23" s="159" t="str">
        <f aca="false">IF(Eingabe!H102="","",Eingabe!H102)</f>
        <v/>
      </c>
      <c r="AY23" s="159"/>
      <c r="AZ23" s="159"/>
      <c r="BA23" s="159"/>
      <c r="BB23" s="161" t="str">
        <f aca="false">IF(Eingabe!K102="","",Eingabe!K102)</f>
        <v/>
      </c>
      <c r="BC23" s="161"/>
      <c r="BD23" s="161"/>
      <c r="BE23" s="161"/>
      <c r="BF23" s="161"/>
      <c r="BG23" s="161"/>
      <c r="BH23" s="161"/>
      <c r="BI23" s="161"/>
      <c r="BJ23" s="161"/>
      <c r="BK23" s="161"/>
      <c r="BL23" s="161"/>
      <c r="BM23" s="161"/>
      <c r="BN23" s="161"/>
      <c r="BO23" s="155"/>
      <c r="BP23" s="155"/>
      <c r="BQ23" s="155"/>
      <c r="BR23" s="155"/>
      <c r="BS23" s="155"/>
      <c r="BT23" s="155"/>
      <c r="BU23" s="155"/>
      <c r="BV23" s="155"/>
      <c r="BW23" s="155"/>
      <c r="BX23" s="155"/>
      <c r="BY23" s="155"/>
      <c r="BZ23" s="155"/>
      <c r="CA23" s="155"/>
      <c r="CB23" s="155"/>
      <c r="CC23" s="155"/>
      <c r="CD23" s="155"/>
      <c r="CE23" s="155"/>
      <c r="CF23" s="155"/>
      <c r="CG23" s="155"/>
      <c r="CH23" s="155"/>
      <c r="CI23" s="155"/>
      <c r="CJ23" s="155"/>
      <c r="CK23" s="155"/>
      <c r="CL23" s="155"/>
      <c r="CM23" s="155"/>
      <c r="CN23" s="155"/>
      <c r="CO23" s="155"/>
      <c r="CP23" s="155"/>
      <c r="CQ23" s="155"/>
      <c r="CR23" s="155"/>
      <c r="CS23" s="155"/>
      <c r="CT23" s="155"/>
      <c r="CU23" s="155"/>
      <c r="CV23" s="155"/>
      <c r="CW23" s="155"/>
      <c r="CX23" s="155"/>
      <c r="CY23" s="155"/>
      <c r="CZ23" s="155"/>
      <c r="DA23" s="155"/>
      <c r="DB23" s="155"/>
      <c r="DC23" s="155"/>
      <c r="DD23" s="155"/>
      <c r="DE23" s="155"/>
      <c r="DF23" s="155"/>
      <c r="DG23" s="155"/>
      <c r="DH23" s="155"/>
      <c r="DI23" s="155"/>
      <c r="DJ23" s="155"/>
      <c r="DK23" s="155"/>
      <c r="DL23" s="155"/>
      <c r="DM23" s="155"/>
      <c r="DN23" s="155"/>
      <c r="DO23" s="155"/>
      <c r="DP23" s="155"/>
      <c r="DQ23" s="155"/>
      <c r="DR23" s="155"/>
      <c r="DS23" s="155"/>
      <c r="DT23" s="155"/>
      <c r="DU23" s="155"/>
      <c r="DV23" s="155"/>
      <c r="DW23" s="155"/>
      <c r="DX23" s="155"/>
      <c r="DY23" s="155"/>
      <c r="DZ23" s="155"/>
      <c r="EA23" s="155"/>
      <c r="EB23" s="155"/>
      <c r="EC23" s="155"/>
      <c r="ED23" s="155"/>
      <c r="EE23" s="155"/>
      <c r="EF23" s="155"/>
      <c r="EG23" s="155"/>
      <c r="EH23" s="155"/>
      <c r="EI23" s="155"/>
      <c r="EJ23" s="155"/>
      <c r="EK23" s="155"/>
      <c r="EL23" s="155"/>
      <c r="EM23" s="155"/>
      <c r="EN23" s="155"/>
      <c r="EO23" s="155"/>
      <c r="EP23" s="155"/>
      <c r="EQ23" s="155"/>
      <c r="ER23" s="155"/>
      <c r="ES23" s="155"/>
      <c r="ET23" s="155"/>
      <c r="EU23" s="155"/>
      <c r="EV23" s="155"/>
      <c r="EW23" s="155"/>
      <c r="EX23" s="155"/>
      <c r="EY23" s="155"/>
      <c r="EZ23" s="155"/>
      <c r="FA23" s="155"/>
      <c r="FB23" s="155"/>
      <c r="FC23" s="155"/>
      <c r="FD23" s="155"/>
      <c r="FE23" s="155"/>
      <c r="FF23" s="155"/>
      <c r="FG23" s="155"/>
      <c r="FH23" s="155"/>
      <c r="FI23" s="155"/>
      <c r="FJ23" s="155"/>
      <c r="FK23" s="155"/>
      <c r="FL23" s="155"/>
      <c r="FM23" s="155"/>
      <c r="FN23" s="155"/>
      <c r="FO23" s="155"/>
      <c r="FP23" s="155"/>
      <c r="FQ23" s="155"/>
      <c r="FR23" s="155"/>
      <c r="FS23" s="155"/>
      <c r="FT23" s="155"/>
      <c r="FU23" s="155"/>
      <c r="FV23" s="155"/>
      <c r="FW23" s="155"/>
      <c r="FX23" s="155"/>
      <c r="FY23" s="155"/>
      <c r="FZ23" s="155"/>
      <c r="GA23" s="155"/>
      <c r="GB23" s="155"/>
      <c r="GC23" s="155"/>
      <c r="GD23" s="155"/>
      <c r="GE23" s="155"/>
      <c r="GF23" s="155"/>
      <c r="GG23" s="155"/>
      <c r="GH23" s="155"/>
      <c r="GI23" s="155"/>
      <c r="GJ23" s="155"/>
      <c r="GK23" s="155"/>
      <c r="GL23" s="155"/>
      <c r="GM23" s="155"/>
      <c r="GN23" s="155"/>
      <c r="GO23" s="155"/>
      <c r="GP23" s="155"/>
      <c r="GQ23" s="155"/>
      <c r="GR23" s="155"/>
      <c r="GS23" s="155"/>
      <c r="GT23" s="155"/>
      <c r="GU23" s="155"/>
      <c r="GV23" s="155"/>
      <c r="GW23" s="155"/>
      <c r="GX23" s="155"/>
      <c r="GY23" s="155"/>
      <c r="GZ23" s="155"/>
      <c r="HA23" s="155"/>
      <c r="HB23" s="155"/>
      <c r="HC23" s="155"/>
      <c r="HD23" s="155"/>
      <c r="HE23" s="155"/>
      <c r="HF23" s="155"/>
      <c r="HG23" s="155"/>
      <c r="HH23" s="155"/>
      <c r="HI23" s="155"/>
      <c r="HJ23" s="155"/>
      <c r="HK23" s="155"/>
      <c r="HL23" s="155"/>
      <c r="HM23" s="155"/>
      <c r="HN23" s="155"/>
      <c r="HO23" s="155"/>
      <c r="HP23" s="155"/>
      <c r="HQ23" s="155"/>
      <c r="HR23" s="155"/>
      <c r="HS23" s="155"/>
      <c r="HT23" s="155"/>
      <c r="HU23" s="155"/>
      <c r="HV23" s="155"/>
      <c r="HW23" s="155"/>
      <c r="HX23" s="155"/>
      <c r="HY23" s="155"/>
      <c r="HZ23" s="155"/>
      <c r="IA23" s="155"/>
      <c r="IB23" s="155"/>
      <c r="IC23" s="155"/>
      <c r="ID23" s="155"/>
      <c r="IE23" s="155"/>
      <c r="IF23" s="155"/>
      <c r="IG23" s="155"/>
      <c r="IH23" s="155"/>
      <c r="II23" s="155"/>
      <c r="IJ23" s="155"/>
      <c r="IK23" s="155"/>
      <c r="IL23" s="155"/>
      <c r="IM23" s="155"/>
      <c r="IN23" s="155"/>
      <c r="IO23" s="155"/>
      <c r="IP23" s="155"/>
      <c r="IQ23" s="155"/>
      <c r="IR23" s="155"/>
      <c r="IS23" s="155"/>
      <c r="IT23" s="155"/>
      <c r="IU23" s="155"/>
      <c r="IV23" s="155"/>
    </row>
    <row r="24" s="156" customFormat="true" ht="25.5" hidden="false" customHeight="true" outlineLevel="0" collapsed="false">
      <c r="A24" s="157" t="str">
        <f aca="false">IF(Eingabe!A103="","",Eingabe!A103)</f>
        <v/>
      </c>
      <c r="B24" s="157"/>
      <c r="C24" s="157"/>
      <c r="D24" s="157"/>
      <c r="E24" s="158" t="str">
        <f aca="false">IF(Eingabe!B103="","",Eingabe!B103)</f>
        <v/>
      </c>
      <c r="F24" s="158"/>
      <c r="G24" s="158"/>
      <c r="H24" s="158"/>
      <c r="I24" s="159" t="str">
        <f aca="false">IF(Eingabe!C103="","",Eingabe!C103)</f>
        <v/>
      </c>
      <c r="J24" s="159"/>
      <c r="K24" s="159"/>
      <c r="L24" s="159"/>
      <c r="M24" s="160" t="str">
        <f aca="false">IF(Eingabe!D103&amp;""&amp;Eingabe!E103="","",Eingabe!D103&amp;" 
"&amp;Eingabe!E103)</f>
        <v/>
      </c>
      <c r="N24" s="160"/>
      <c r="O24" s="160"/>
      <c r="P24" s="160"/>
      <c r="Q24" s="160"/>
      <c r="R24" s="160"/>
      <c r="S24" s="160"/>
      <c r="T24" s="160"/>
      <c r="U24" s="160"/>
      <c r="V24" s="160"/>
      <c r="W24" s="160"/>
      <c r="X24" s="160"/>
      <c r="Y24" s="160"/>
      <c r="Z24" s="160"/>
      <c r="AA24" s="160"/>
      <c r="AB24" s="160"/>
      <c r="AC24" s="160"/>
      <c r="AD24" s="160"/>
      <c r="AE24" s="160"/>
      <c r="AF24" s="160"/>
      <c r="AG24" s="159" t="str">
        <f aca="false">IF(Eingabe!F103&amp;""&amp;Eingabe!G103="","",Eingabe!F103&amp;" 
"&amp;Eingabe!G103)</f>
        <v/>
      </c>
      <c r="AH24" s="159"/>
      <c r="AI24" s="159"/>
      <c r="AJ24" s="159"/>
      <c r="AK24" s="159"/>
      <c r="AL24" s="159"/>
      <c r="AM24" s="159"/>
      <c r="AN24" s="159"/>
      <c r="AO24" s="159"/>
      <c r="AP24" s="159"/>
      <c r="AQ24" s="159"/>
      <c r="AR24" s="159"/>
      <c r="AS24" s="159"/>
      <c r="AT24" s="159"/>
      <c r="AU24" s="159"/>
      <c r="AV24" s="159"/>
      <c r="AW24" s="159"/>
      <c r="AX24" s="159" t="str">
        <f aca="false">IF(Eingabe!H103="","",Eingabe!H103)</f>
        <v/>
      </c>
      <c r="AY24" s="159"/>
      <c r="AZ24" s="159"/>
      <c r="BA24" s="159"/>
      <c r="BB24" s="161" t="str">
        <f aca="false">IF(Eingabe!K103="","",Eingabe!K103)</f>
        <v/>
      </c>
      <c r="BC24" s="161"/>
      <c r="BD24" s="161"/>
      <c r="BE24" s="161"/>
      <c r="BF24" s="161"/>
      <c r="BG24" s="161"/>
      <c r="BH24" s="161"/>
      <c r="BI24" s="161"/>
      <c r="BJ24" s="161"/>
      <c r="BK24" s="161"/>
      <c r="BL24" s="161"/>
      <c r="BM24" s="161"/>
      <c r="BN24" s="161"/>
      <c r="BO24" s="155"/>
      <c r="BP24" s="155"/>
      <c r="BQ24" s="155"/>
      <c r="BR24" s="155"/>
      <c r="BS24" s="155"/>
      <c r="BT24" s="155"/>
      <c r="BU24" s="155"/>
      <c r="BV24" s="155"/>
      <c r="BW24" s="155"/>
      <c r="BX24" s="155"/>
      <c r="BY24" s="155"/>
      <c r="BZ24" s="155"/>
      <c r="CA24" s="155"/>
      <c r="CB24" s="155"/>
      <c r="CC24" s="155"/>
      <c r="CD24" s="155"/>
      <c r="CE24" s="155"/>
      <c r="CF24" s="155"/>
      <c r="CG24" s="155"/>
      <c r="CH24" s="155"/>
      <c r="CI24" s="155"/>
      <c r="CJ24" s="155"/>
      <c r="CK24" s="155"/>
      <c r="CL24" s="155"/>
      <c r="CM24" s="155"/>
      <c r="CN24" s="155"/>
      <c r="CO24" s="155"/>
      <c r="CP24" s="155"/>
      <c r="CQ24" s="155"/>
      <c r="CR24" s="155"/>
      <c r="CS24" s="155"/>
      <c r="CT24" s="155"/>
      <c r="CU24" s="155"/>
      <c r="CV24" s="155"/>
      <c r="CW24" s="155"/>
      <c r="CX24" s="155"/>
      <c r="CY24" s="155"/>
      <c r="CZ24" s="155"/>
      <c r="DA24" s="155"/>
      <c r="DB24" s="155"/>
      <c r="DC24" s="155"/>
      <c r="DD24" s="155"/>
      <c r="DE24" s="155"/>
      <c r="DF24" s="155"/>
      <c r="DG24" s="155"/>
      <c r="DH24" s="155"/>
      <c r="DI24" s="155"/>
      <c r="DJ24" s="155"/>
      <c r="DK24" s="155"/>
      <c r="DL24" s="155"/>
      <c r="DM24" s="155"/>
      <c r="DN24" s="155"/>
      <c r="DO24" s="155"/>
      <c r="DP24" s="155"/>
      <c r="DQ24" s="155"/>
      <c r="DR24" s="155"/>
      <c r="DS24" s="155"/>
      <c r="DT24" s="155"/>
      <c r="DU24" s="155"/>
      <c r="DV24" s="155"/>
      <c r="DW24" s="155"/>
      <c r="DX24" s="155"/>
      <c r="DY24" s="155"/>
      <c r="DZ24" s="155"/>
      <c r="EA24" s="155"/>
      <c r="EB24" s="155"/>
      <c r="EC24" s="155"/>
      <c r="ED24" s="155"/>
      <c r="EE24" s="155"/>
      <c r="EF24" s="155"/>
      <c r="EG24" s="155"/>
      <c r="EH24" s="155"/>
      <c r="EI24" s="155"/>
      <c r="EJ24" s="155"/>
      <c r="EK24" s="155"/>
      <c r="EL24" s="155"/>
      <c r="EM24" s="155"/>
      <c r="EN24" s="155"/>
      <c r="EO24" s="155"/>
      <c r="EP24" s="155"/>
      <c r="EQ24" s="155"/>
      <c r="ER24" s="155"/>
      <c r="ES24" s="155"/>
      <c r="ET24" s="155"/>
      <c r="EU24" s="155"/>
      <c r="EV24" s="155"/>
      <c r="EW24" s="155"/>
      <c r="EX24" s="155"/>
      <c r="EY24" s="155"/>
      <c r="EZ24" s="155"/>
      <c r="FA24" s="155"/>
      <c r="FB24" s="155"/>
      <c r="FC24" s="155"/>
      <c r="FD24" s="155"/>
      <c r="FE24" s="155"/>
      <c r="FF24" s="155"/>
      <c r="FG24" s="155"/>
      <c r="FH24" s="155"/>
      <c r="FI24" s="155"/>
      <c r="FJ24" s="155"/>
      <c r="FK24" s="155"/>
      <c r="FL24" s="155"/>
      <c r="FM24" s="155"/>
      <c r="FN24" s="155"/>
      <c r="FO24" s="155"/>
      <c r="FP24" s="155"/>
      <c r="FQ24" s="155"/>
      <c r="FR24" s="155"/>
      <c r="FS24" s="155"/>
      <c r="FT24" s="155"/>
      <c r="FU24" s="155"/>
      <c r="FV24" s="155"/>
      <c r="FW24" s="155"/>
      <c r="FX24" s="155"/>
      <c r="FY24" s="155"/>
      <c r="FZ24" s="155"/>
      <c r="GA24" s="155"/>
      <c r="GB24" s="155"/>
      <c r="GC24" s="155"/>
      <c r="GD24" s="155"/>
      <c r="GE24" s="155"/>
      <c r="GF24" s="155"/>
      <c r="GG24" s="155"/>
      <c r="GH24" s="155"/>
      <c r="GI24" s="155"/>
      <c r="GJ24" s="155"/>
      <c r="GK24" s="155"/>
      <c r="GL24" s="155"/>
      <c r="GM24" s="155"/>
      <c r="GN24" s="155"/>
      <c r="GO24" s="155"/>
      <c r="GP24" s="155"/>
      <c r="GQ24" s="155"/>
      <c r="GR24" s="155"/>
      <c r="GS24" s="155"/>
      <c r="GT24" s="155"/>
      <c r="GU24" s="155"/>
      <c r="GV24" s="155"/>
      <c r="GW24" s="155"/>
      <c r="GX24" s="155"/>
      <c r="GY24" s="155"/>
      <c r="GZ24" s="155"/>
      <c r="HA24" s="155"/>
      <c r="HB24" s="155"/>
      <c r="HC24" s="155"/>
      <c r="HD24" s="155"/>
      <c r="HE24" s="155"/>
      <c r="HF24" s="155"/>
      <c r="HG24" s="155"/>
      <c r="HH24" s="155"/>
      <c r="HI24" s="155"/>
      <c r="HJ24" s="155"/>
      <c r="HK24" s="155"/>
      <c r="HL24" s="155"/>
      <c r="HM24" s="155"/>
      <c r="HN24" s="155"/>
      <c r="HO24" s="155"/>
      <c r="HP24" s="155"/>
      <c r="HQ24" s="155"/>
      <c r="HR24" s="155"/>
      <c r="HS24" s="155"/>
      <c r="HT24" s="155"/>
      <c r="HU24" s="155"/>
      <c r="HV24" s="155"/>
      <c r="HW24" s="155"/>
      <c r="HX24" s="155"/>
      <c r="HY24" s="155"/>
      <c r="HZ24" s="155"/>
      <c r="IA24" s="155"/>
      <c r="IB24" s="155"/>
      <c r="IC24" s="155"/>
      <c r="ID24" s="155"/>
      <c r="IE24" s="155"/>
      <c r="IF24" s="155"/>
      <c r="IG24" s="155"/>
      <c r="IH24" s="155"/>
      <c r="II24" s="155"/>
      <c r="IJ24" s="155"/>
      <c r="IK24" s="155"/>
      <c r="IL24" s="155"/>
      <c r="IM24" s="155"/>
      <c r="IN24" s="155"/>
      <c r="IO24" s="155"/>
      <c r="IP24" s="155"/>
      <c r="IQ24" s="155"/>
      <c r="IR24" s="155"/>
      <c r="IS24" s="155"/>
      <c r="IT24" s="155"/>
      <c r="IU24" s="155"/>
      <c r="IV24" s="155"/>
    </row>
    <row r="25" s="156" customFormat="true" ht="25.5" hidden="false" customHeight="true" outlineLevel="0" collapsed="false">
      <c r="A25" s="157" t="str">
        <f aca="false">IF(Eingabe!A104="","",Eingabe!A104)</f>
        <v/>
      </c>
      <c r="B25" s="157"/>
      <c r="C25" s="157"/>
      <c r="D25" s="157"/>
      <c r="E25" s="158" t="str">
        <f aca="false">IF(Eingabe!B104="","",Eingabe!B104)</f>
        <v/>
      </c>
      <c r="F25" s="158"/>
      <c r="G25" s="158"/>
      <c r="H25" s="158"/>
      <c r="I25" s="159" t="str">
        <f aca="false">IF(Eingabe!C104="","",Eingabe!C104)</f>
        <v/>
      </c>
      <c r="J25" s="159"/>
      <c r="K25" s="159"/>
      <c r="L25" s="159"/>
      <c r="M25" s="160" t="str">
        <f aca="false">IF(Eingabe!D104&amp;""&amp;Eingabe!E104="","",Eingabe!D104&amp;" 
"&amp;Eingabe!E104)</f>
        <v/>
      </c>
      <c r="N25" s="160"/>
      <c r="O25" s="160"/>
      <c r="P25" s="160"/>
      <c r="Q25" s="160"/>
      <c r="R25" s="160"/>
      <c r="S25" s="160"/>
      <c r="T25" s="160"/>
      <c r="U25" s="160"/>
      <c r="V25" s="160"/>
      <c r="W25" s="160"/>
      <c r="X25" s="160"/>
      <c r="Y25" s="160"/>
      <c r="Z25" s="160"/>
      <c r="AA25" s="160"/>
      <c r="AB25" s="160"/>
      <c r="AC25" s="160"/>
      <c r="AD25" s="160"/>
      <c r="AE25" s="160"/>
      <c r="AF25" s="160"/>
      <c r="AG25" s="159" t="str">
        <f aca="false">IF(Eingabe!F104&amp;""&amp;Eingabe!G104="","",Eingabe!F104&amp;" 
"&amp;Eingabe!G104)</f>
        <v/>
      </c>
      <c r="AH25" s="159"/>
      <c r="AI25" s="159"/>
      <c r="AJ25" s="159"/>
      <c r="AK25" s="159"/>
      <c r="AL25" s="159"/>
      <c r="AM25" s="159"/>
      <c r="AN25" s="159"/>
      <c r="AO25" s="159"/>
      <c r="AP25" s="159"/>
      <c r="AQ25" s="159"/>
      <c r="AR25" s="159"/>
      <c r="AS25" s="159"/>
      <c r="AT25" s="159"/>
      <c r="AU25" s="159"/>
      <c r="AV25" s="159"/>
      <c r="AW25" s="159"/>
      <c r="AX25" s="159" t="str">
        <f aca="false">IF(Eingabe!H104="","",Eingabe!H104)</f>
        <v/>
      </c>
      <c r="AY25" s="159"/>
      <c r="AZ25" s="159"/>
      <c r="BA25" s="159"/>
      <c r="BB25" s="161" t="str">
        <f aca="false">IF(Eingabe!K104="","",Eingabe!K104)</f>
        <v/>
      </c>
      <c r="BC25" s="161"/>
      <c r="BD25" s="161"/>
      <c r="BE25" s="161"/>
      <c r="BF25" s="161"/>
      <c r="BG25" s="161"/>
      <c r="BH25" s="161"/>
      <c r="BI25" s="161"/>
      <c r="BJ25" s="161"/>
      <c r="BK25" s="161"/>
      <c r="BL25" s="161"/>
      <c r="BM25" s="161"/>
      <c r="BN25" s="161"/>
      <c r="BO25" s="155"/>
      <c r="BP25" s="155"/>
      <c r="BQ25" s="155"/>
      <c r="BR25" s="155"/>
      <c r="BS25" s="155"/>
      <c r="BT25" s="155"/>
      <c r="BU25" s="155"/>
      <c r="BV25" s="155"/>
      <c r="BW25" s="155"/>
      <c r="BX25" s="155"/>
      <c r="BY25" s="155"/>
      <c r="BZ25" s="155"/>
      <c r="CA25" s="155"/>
      <c r="CB25" s="155"/>
      <c r="CC25" s="155"/>
      <c r="CD25" s="155"/>
      <c r="CE25" s="155"/>
      <c r="CF25" s="155"/>
      <c r="CG25" s="155"/>
      <c r="CH25" s="155"/>
      <c r="CI25" s="155"/>
      <c r="CJ25" s="155"/>
      <c r="CK25" s="155"/>
      <c r="CL25" s="155"/>
      <c r="CM25" s="155"/>
      <c r="CN25" s="155"/>
      <c r="CO25" s="155"/>
      <c r="CP25" s="155"/>
      <c r="CQ25" s="155"/>
      <c r="CR25" s="155"/>
      <c r="CS25" s="155"/>
      <c r="CT25" s="155"/>
      <c r="CU25" s="155"/>
      <c r="CV25" s="155"/>
      <c r="CW25" s="155"/>
      <c r="CX25" s="155"/>
      <c r="CY25" s="155"/>
      <c r="CZ25" s="155"/>
      <c r="DA25" s="155"/>
      <c r="DB25" s="155"/>
      <c r="DC25" s="155"/>
      <c r="DD25" s="155"/>
      <c r="DE25" s="155"/>
      <c r="DF25" s="155"/>
      <c r="DG25" s="155"/>
      <c r="DH25" s="155"/>
      <c r="DI25" s="155"/>
      <c r="DJ25" s="155"/>
      <c r="DK25" s="155"/>
      <c r="DL25" s="155"/>
      <c r="DM25" s="155"/>
      <c r="DN25" s="155"/>
      <c r="DO25" s="155"/>
      <c r="DP25" s="155"/>
      <c r="DQ25" s="155"/>
      <c r="DR25" s="155"/>
      <c r="DS25" s="155"/>
      <c r="DT25" s="155"/>
      <c r="DU25" s="155"/>
      <c r="DV25" s="155"/>
      <c r="DW25" s="155"/>
      <c r="DX25" s="155"/>
      <c r="DY25" s="155"/>
      <c r="DZ25" s="155"/>
      <c r="EA25" s="155"/>
      <c r="EB25" s="155"/>
      <c r="EC25" s="155"/>
      <c r="ED25" s="155"/>
      <c r="EE25" s="155"/>
      <c r="EF25" s="155"/>
      <c r="EG25" s="155"/>
      <c r="EH25" s="155"/>
      <c r="EI25" s="155"/>
      <c r="EJ25" s="155"/>
      <c r="EK25" s="155"/>
      <c r="EL25" s="155"/>
      <c r="EM25" s="155"/>
      <c r="EN25" s="155"/>
      <c r="EO25" s="155"/>
      <c r="EP25" s="155"/>
      <c r="EQ25" s="155"/>
      <c r="ER25" s="155"/>
      <c r="ES25" s="155"/>
      <c r="ET25" s="155"/>
      <c r="EU25" s="155"/>
      <c r="EV25" s="155"/>
      <c r="EW25" s="155"/>
      <c r="EX25" s="155"/>
      <c r="EY25" s="155"/>
      <c r="EZ25" s="155"/>
      <c r="FA25" s="155"/>
      <c r="FB25" s="155"/>
      <c r="FC25" s="155"/>
      <c r="FD25" s="155"/>
      <c r="FE25" s="155"/>
      <c r="FF25" s="155"/>
      <c r="FG25" s="155"/>
      <c r="FH25" s="155"/>
      <c r="FI25" s="155"/>
      <c r="FJ25" s="155"/>
      <c r="FK25" s="155"/>
      <c r="FL25" s="155"/>
      <c r="FM25" s="155"/>
      <c r="FN25" s="155"/>
      <c r="FO25" s="155"/>
      <c r="FP25" s="155"/>
      <c r="FQ25" s="155"/>
      <c r="FR25" s="155"/>
      <c r="FS25" s="155"/>
      <c r="FT25" s="155"/>
      <c r="FU25" s="155"/>
      <c r="FV25" s="155"/>
      <c r="FW25" s="155"/>
      <c r="FX25" s="155"/>
      <c r="FY25" s="155"/>
      <c r="FZ25" s="155"/>
      <c r="GA25" s="155"/>
      <c r="GB25" s="155"/>
      <c r="GC25" s="155"/>
      <c r="GD25" s="155"/>
      <c r="GE25" s="155"/>
      <c r="GF25" s="155"/>
      <c r="GG25" s="155"/>
      <c r="GH25" s="155"/>
      <c r="GI25" s="155"/>
      <c r="GJ25" s="155"/>
      <c r="GK25" s="155"/>
      <c r="GL25" s="155"/>
      <c r="GM25" s="155"/>
      <c r="GN25" s="155"/>
      <c r="GO25" s="155"/>
      <c r="GP25" s="155"/>
      <c r="GQ25" s="155"/>
      <c r="GR25" s="155"/>
      <c r="GS25" s="155"/>
      <c r="GT25" s="155"/>
      <c r="GU25" s="155"/>
      <c r="GV25" s="155"/>
      <c r="GW25" s="155"/>
      <c r="GX25" s="155"/>
      <c r="GY25" s="155"/>
      <c r="GZ25" s="155"/>
      <c r="HA25" s="155"/>
      <c r="HB25" s="155"/>
      <c r="HC25" s="155"/>
      <c r="HD25" s="155"/>
      <c r="HE25" s="155"/>
      <c r="HF25" s="155"/>
      <c r="HG25" s="155"/>
      <c r="HH25" s="155"/>
      <c r="HI25" s="155"/>
      <c r="HJ25" s="155"/>
      <c r="HK25" s="155"/>
      <c r="HL25" s="155"/>
      <c r="HM25" s="155"/>
      <c r="HN25" s="155"/>
      <c r="HO25" s="155"/>
      <c r="HP25" s="155"/>
      <c r="HQ25" s="155"/>
      <c r="HR25" s="155"/>
      <c r="HS25" s="155"/>
      <c r="HT25" s="155"/>
      <c r="HU25" s="155"/>
      <c r="HV25" s="155"/>
      <c r="HW25" s="155"/>
      <c r="HX25" s="155"/>
      <c r="HY25" s="155"/>
      <c r="HZ25" s="155"/>
      <c r="IA25" s="155"/>
      <c r="IB25" s="155"/>
      <c r="IC25" s="155"/>
      <c r="ID25" s="155"/>
      <c r="IE25" s="155"/>
      <c r="IF25" s="155"/>
      <c r="IG25" s="155"/>
      <c r="IH25" s="155"/>
      <c r="II25" s="155"/>
      <c r="IJ25" s="155"/>
      <c r="IK25" s="155"/>
      <c r="IL25" s="155"/>
      <c r="IM25" s="155"/>
      <c r="IN25" s="155"/>
      <c r="IO25" s="155"/>
      <c r="IP25" s="155"/>
      <c r="IQ25" s="155"/>
      <c r="IR25" s="155"/>
      <c r="IS25" s="155"/>
      <c r="IT25" s="155"/>
      <c r="IU25" s="155"/>
      <c r="IV25" s="155"/>
    </row>
    <row r="26" s="156" customFormat="true" ht="25.5" hidden="false" customHeight="true" outlineLevel="0" collapsed="false">
      <c r="A26" s="157" t="str">
        <f aca="false">IF(Eingabe!A105="","",Eingabe!A105)</f>
        <v/>
      </c>
      <c r="B26" s="157"/>
      <c r="C26" s="157"/>
      <c r="D26" s="157"/>
      <c r="E26" s="158" t="str">
        <f aca="false">IF(Eingabe!B105="","",Eingabe!B105)</f>
        <v/>
      </c>
      <c r="F26" s="158"/>
      <c r="G26" s="158"/>
      <c r="H26" s="158"/>
      <c r="I26" s="159" t="str">
        <f aca="false">IF(Eingabe!C105="","",Eingabe!C105)</f>
        <v/>
      </c>
      <c r="J26" s="159"/>
      <c r="K26" s="159"/>
      <c r="L26" s="159"/>
      <c r="M26" s="160" t="str">
        <f aca="false">IF(Eingabe!D105&amp;""&amp;Eingabe!E105="","",Eingabe!D105&amp;" 
"&amp;Eingabe!E105)</f>
        <v/>
      </c>
      <c r="N26" s="160"/>
      <c r="O26" s="160"/>
      <c r="P26" s="160"/>
      <c r="Q26" s="160"/>
      <c r="R26" s="160"/>
      <c r="S26" s="160"/>
      <c r="T26" s="160"/>
      <c r="U26" s="160"/>
      <c r="V26" s="160"/>
      <c r="W26" s="160"/>
      <c r="X26" s="160"/>
      <c r="Y26" s="160"/>
      <c r="Z26" s="160"/>
      <c r="AA26" s="160"/>
      <c r="AB26" s="160"/>
      <c r="AC26" s="160"/>
      <c r="AD26" s="160"/>
      <c r="AE26" s="160"/>
      <c r="AF26" s="160"/>
      <c r="AG26" s="159" t="str">
        <f aca="false">IF(Eingabe!F105&amp;""&amp;Eingabe!G105="","",Eingabe!F105&amp;" 
"&amp;Eingabe!G105)</f>
        <v/>
      </c>
      <c r="AH26" s="159"/>
      <c r="AI26" s="159"/>
      <c r="AJ26" s="159"/>
      <c r="AK26" s="159"/>
      <c r="AL26" s="159"/>
      <c r="AM26" s="159"/>
      <c r="AN26" s="159"/>
      <c r="AO26" s="159"/>
      <c r="AP26" s="159"/>
      <c r="AQ26" s="159"/>
      <c r="AR26" s="159"/>
      <c r="AS26" s="159"/>
      <c r="AT26" s="159"/>
      <c r="AU26" s="159"/>
      <c r="AV26" s="159"/>
      <c r="AW26" s="159"/>
      <c r="AX26" s="159" t="str">
        <f aca="false">IF(Eingabe!H105="","",Eingabe!H105)</f>
        <v/>
      </c>
      <c r="AY26" s="159"/>
      <c r="AZ26" s="159"/>
      <c r="BA26" s="159"/>
      <c r="BB26" s="161" t="str">
        <f aca="false">IF(Eingabe!K105="","",Eingabe!K105)</f>
        <v/>
      </c>
      <c r="BC26" s="161"/>
      <c r="BD26" s="161"/>
      <c r="BE26" s="161"/>
      <c r="BF26" s="161"/>
      <c r="BG26" s="161"/>
      <c r="BH26" s="161"/>
      <c r="BI26" s="161"/>
      <c r="BJ26" s="161"/>
      <c r="BK26" s="161"/>
      <c r="BL26" s="161"/>
      <c r="BM26" s="161"/>
      <c r="BN26" s="161"/>
      <c r="BO26" s="155"/>
      <c r="BP26" s="155"/>
      <c r="BQ26" s="155"/>
      <c r="BR26" s="155"/>
      <c r="BS26" s="155"/>
      <c r="BT26" s="155"/>
      <c r="BU26" s="155"/>
      <c r="BV26" s="155"/>
      <c r="BW26" s="155"/>
      <c r="BX26" s="155"/>
      <c r="BY26" s="155"/>
      <c r="BZ26" s="155"/>
      <c r="CA26" s="155"/>
      <c r="CB26" s="155"/>
      <c r="CC26" s="155"/>
      <c r="CD26" s="155"/>
      <c r="CE26" s="155"/>
      <c r="CF26" s="155"/>
      <c r="CG26" s="155"/>
      <c r="CH26" s="155"/>
      <c r="CI26" s="155"/>
      <c r="CJ26" s="155"/>
      <c r="CK26" s="155"/>
      <c r="CL26" s="155"/>
      <c r="CM26" s="155"/>
      <c r="CN26" s="155"/>
      <c r="CO26" s="155"/>
      <c r="CP26" s="155"/>
      <c r="CQ26" s="155"/>
      <c r="CR26" s="155"/>
      <c r="CS26" s="155"/>
      <c r="CT26" s="155"/>
      <c r="CU26" s="155"/>
      <c r="CV26" s="155"/>
      <c r="CW26" s="155"/>
      <c r="CX26" s="155"/>
      <c r="CY26" s="155"/>
      <c r="CZ26" s="155"/>
      <c r="DA26" s="155"/>
      <c r="DB26" s="155"/>
      <c r="DC26" s="155"/>
      <c r="DD26" s="155"/>
      <c r="DE26" s="155"/>
      <c r="DF26" s="155"/>
      <c r="DG26" s="155"/>
      <c r="DH26" s="155"/>
      <c r="DI26" s="155"/>
      <c r="DJ26" s="155"/>
      <c r="DK26" s="155"/>
      <c r="DL26" s="155"/>
      <c r="DM26" s="155"/>
      <c r="DN26" s="155"/>
      <c r="DO26" s="155"/>
      <c r="DP26" s="155"/>
      <c r="DQ26" s="155"/>
      <c r="DR26" s="155"/>
      <c r="DS26" s="155"/>
      <c r="DT26" s="155"/>
      <c r="DU26" s="155"/>
      <c r="DV26" s="155"/>
      <c r="DW26" s="155"/>
      <c r="DX26" s="155"/>
      <c r="DY26" s="155"/>
      <c r="DZ26" s="155"/>
      <c r="EA26" s="155"/>
      <c r="EB26" s="155"/>
      <c r="EC26" s="155"/>
      <c r="ED26" s="155"/>
      <c r="EE26" s="155"/>
      <c r="EF26" s="155"/>
      <c r="EG26" s="155"/>
      <c r="EH26" s="155"/>
      <c r="EI26" s="155"/>
      <c r="EJ26" s="155"/>
      <c r="EK26" s="155"/>
      <c r="EL26" s="155"/>
      <c r="EM26" s="155"/>
      <c r="EN26" s="155"/>
      <c r="EO26" s="155"/>
      <c r="EP26" s="155"/>
      <c r="EQ26" s="155"/>
      <c r="ER26" s="155"/>
      <c r="ES26" s="155"/>
      <c r="ET26" s="155"/>
      <c r="EU26" s="155"/>
      <c r="EV26" s="155"/>
      <c r="EW26" s="155"/>
      <c r="EX26" s="155"/>
      <c r="EY26" s="155"/>
      <c r="EZ26" s="155"/>
      <c r="FA26" s="155"/>
      <c r="FB26" s="155"/>
      <c r="FC26" s="155"/>
      <c r="FD26" s="155"/>
      <c r="FE26" s="155"/>
      <c r="FF26" s="155"/>
      <c r="FG26" s="155"/>
      <c r="FH26" s="155"/>
      <c r="FI26" s="155"/>
      <c r="FJ26" s="155"/>
      <c r="FK26" s="155"/>
      <c r="FL26" s="155"/>
      <c r="FM26" s="155"/>
      <c r="FN26" s="155"/>
      <c r="FO26" s="155"/>
      <c r="FP26" s="155"/>
      <c r="FQ26" s="155"/>
      <c r="FR26" s="155"/>
      <c r="FS26" s="155"/>
      <c r="FT26" s="155"/>
      <c r="FU26" s="155"/>
      <c r="FV26" s="155"/>
      <c r="FW26" s="155"/>
      <c r="FX26" s="155"/>
      <c r="FY26" s="155"/>
      <c r="FZ26" s="155"/>
      <c r="GA26" s="155"/>
      <c r="GB26" s="155"/>
      <c r="GC26" s="155"/>
      <c r="GD26" s="155"/>
      <c r="GE26" s="155"/>
      <c r="GF26" s="155"/>
      <c r="GG26" s="155"/>
      <c r="GH26" s="155"/>
      <c r="GI26" s="155"/>
      <c r="GJ26" s="155"/>
      <c r="GK26" s="155"/>
      <c r="GL26" s="155"/>
      <c r="GM26" s="155"/>
      <c r="GN26" s="155"/>
      <c r="GO26" s="155"/>
      <c r="GP26" s="155"/>
      <c r="GQ26" s="155"/>
      <c r="GR26" s="155"/>
      <c r="GS26" s="155"/>
      <c r="GT26" s="155"/>
      <c r="GU26" s="155"/>
      <c r="GV26" s="155"/>
      <c r="GW26" s="155"/>
      <c r="GX26" s="155"/>
      <c r="GY26" s="155"/>
      <c r="GZ26" s="155"/>
      <c r="HA26" s="155"/>
      <c r="HB26" s="155"/>
      <c r="HC26" s="155"/>
      <c r="HD26" s="155"/>
      <c r="HE26" s="155"/>
      <c r="HF26" s="155"/>
      <c r="HG26" s="155"/>
      <c r="HH26" s="155"/>
      <c r="HI26" s="155"/>
      <c r="HJ26" s="155"/>
      <c r="HK26" s="155"/>
      <c r="HL26" s="155"/>
      <c r="HM26" s="155"/>
      <c r="HN26" s="155"/>
      <c r="HO26" s="155"/>
      <c r="HP26" s="155"/>
      <c r="HQ26" s="155"/>
      <c r="HR26" s="155"/>
      <c r="HS26" s="155"/>
      <c r="HT26" s="155"/>
      <c r="HU26" s="155"/>
      <c r="HV26" s="155"/>
      <c r="HW26" s="155"/>
      <c r="HX26" s="155"/>
      <c r="HY26" s="155"/>
      <c r="HZ26" s="155"/>
      <c r="IA26" s="155"/>
      <c r="IB26" s="155"/>
      <c r="IC26" s="155"/>
      <c r="ID26" s="155"/>
      <c r="IE26" s="155"/>
      <c r="IF26" s="155"/>
      <c r="IG26" s="155"/>
      <c r="IH26" s="155"/>
      <c r="II26" s="155"/>
      <c r="IJ26" s="155"/>
      <c r="IK26" s="155"/>
      <c r="IL26" s="155"/>
      <c r="IM26" s="155"/>
      <c r="IN26" s="155"/>
      <c r="IO26" s="155"/>
      <c r="IP26" s="155"/>
      <c r="IQ26" s="155"/>
      <c r="IR26" s="155"/>
      <c r="IS26" s="155"/>
      <c r="IT26" s="155"/>
      <c r="IU26" s="155"/>
      <c r="IV26" s="155"/>
    </row>
    <row r="27" s="156" customFormat="true" ht="25.5" hidden="false" customHeight="true" outlineLevel="0" collapsed="false">
      <c r="A27" s="157" t="str">
        <f aca="false">IF(Eingabe!A106="","",Eingabe!A106)</f>
        <v/>
      </c>
      <c r="B27" s="157"/>
      <c r="C27" s="157"/>
      <c r="D27" s="157"/>
      <c r="E27" s="158" t="str">
        <f aca="false">IF(Eingabe!B106="","",Eingabe!B106)</f>
        <v/>
      </c>
      <c r="F27" s="158"/>
      <c r="G27" s="158"/>
      <c r="H27" s="158"/>
      <c r="I27" s="159" t="str">
        <f aca="false">IF(Eingabe!C106="","",Eingabe!C106)</f>
        <v/>
      </c>
      <c r="J27" s="159"/>
      <c r="K27" s="159"/>
      <c r="L27" s="159"/>
      <c r="M27" s="160" t="str">
        <f aca="false">IF(Eingabe!D106&amp;""&amp;Eingabe!E106="","",Eingabe!D106&amp;" 
"&amp;Eingabe!E106)</f>
        <v/>
      </c>
      <c r="N27" s="160"/>
      <c r="O27" s="160"/>
      <c r="P27" s="160"/>
      <c r="Q27" s="160"/>
      <c r="R27" s="160"/>
      <c r="S27" s="160"/>
      <c r="T27" s="160"/>
      <c r="U27" s="160"/>
      <c r="V27" s="160"/>
      <c r="W27" s="160"/>
      <c r="X27" s="160"/>
      <c r="Y27" s="160"/>
      <c r="Z27" s="160"/>
      <c r="AA27" s="160"/>
      <c r="AB27" s="160"/>
      <c r="AC27" s="160"/>
      <c r="AD27" s="160"/>
      <c r="AE27" s="160"/>
      <c r="AF27" s="160"/>
      <c r="AG27" s="159" t="str">
        <f aca="false">IF(Eingabe!F106&amp;""&amp;Eingabe!G106="","",Eingabe!F106&amp;" 
"&amp;Eingabe!G106)</f>
        <v/>
      </c>
      <c r="AH27" s="159"/>
      <c r="AI27" s="159"/>
      <c r="AJ27" s="159"/>
      <c r="AK27" s="159"/>
      <c r="AL27" s="159"/>
      <c r="AM27" s="159"/>
      <c r="AN27" s="159"/>
      <c r="AO27" s="159"/>
      <c r="AP27" s="159"/>
      <c r="AQ27" s="159"/>
      <c r="AR27" s="159"/>
      <c r="AS27" s="159"/>
      <c r="AT27" s="159"/>
      <c r="AU27" s="159"/>
      <c r="AV27" s="159"/>
      <c r="AW27" s="159"/>
      <c r="AX27" s="159" t="str">
        <f aca="false">IF(Eingabe!H106="","",Eingabe!H106)</f>
        <v/>
      </c>
      <c r="AY27" s="159"/>
      <c r="AZ27" s="159"/>
      <c r="BA27" s="159"/>
      <c r="BB27" s="161" t="str">
        <f aca="false">IF(Eingabe!K106="","",Eingabe!K106)</f>
        <v/>
      </c>
      <c r="BC27" s="161"/>
      <c r="BD27" s="161"/>
      <c r="BE27" s="161"/>
      <c r="BF27" s="161"/>
      <c r="BG27" s="161"/>
      <c r="BH27" s="161"/>
      <c r="BI27" s="161"/>
      <c r="BJ27" s="161"/>
      <c r="BK27" s="161"/>
      <c r="BL27" s="161"/>
      <c r="BM27" s="161"/>
      <c r="BN27" s="161"/>
      <c r="BO27" s="155"/>
      <c r="BP27" s="155"/>
      <c r="BQ27" s="155"/>
      <c r="BR27" s="155"/>
      <c r="BS27" s="155"/>
      <c r="BT27" s="155"/>
      <c r="BU27" s="155"/>
      <c r="BV27" s="155"/>
      <c r="BW27" s="155"/>
      <c r="BX27" s="155"/>
      <c r="BY27" s="155"/>
      <c r="BZ27" s="155"/>
      <c r="CA27" s="155"/>
      <c r="CB27" s="155"/>
      <c r="CC27" s="155"/>
      <c r="CD27" s="155"/>
      <c r="CE27" s="155"/>
      <c r="CF27" s="155"/>
      <c r="CG27" s="155"/>
      <c r="CH27" s="155"/>
      <c r="CI27" s="155"/>
      <c r="CJ27" s="155"/>
      <c r="CK27" s="155"/>
      <c r="CL27" s="155"/>
      <c r="CM27" s="155"/>
      <c r="CN27" s="155"/>
      <c r="CO27" s="155"/>
      <c r="CP27" s="155"/>
      <c r="CQ27" s="155"/>
      <c r="CR27" s="155"/>
      <c r="CS27" s="155"/>
      <c r="CT27" s="155"/>
      <c r="CU27" s="155"/>
      <c r="CV27" s="155"/>
      <c r="CW27" s="155"/>
      <c r="CX27" s="155"/>
      <c r="CY27" s="155"/>
      <c r="CZ27" s="155"/>
      <c r="DA27" s="155"/>
      <c r="DB27" s="155"/>
      <c r="DC27" s="155"/>
      <c r="DD27" s="155"/>
      <c r="DE27" s="155"/>
      <c r="DF27" s="155"/>
      <c r="DG27" s="155"/>
      <c r="DH27" s="155"/>
      <c r="DI27" s="155"/>
      <c r="DJ27" s="155"/>
      <c r="DK27" s="155"/>
      <c r="DL27" s="155"/>
      <c r="DM27" s="155"/>
      <c r="DN27" s="155"/>
      <c r="DO27" s="155"/>
      <c r="DP27" s="155"/>
      <c r="DQ27" s="155"/>
      <c r="DR27" s="155"/>
      <c r="DS27" s="155"/>
      <c r="DT27" s="155"/>
      <c r="DU27" s="155"/>
      <c r="DV27" s="155"/>
      <c r="DW27" s="155"/>
      <c r="DX27" s="155"/>
      <c r="DY27" s="155"/>
      <c r="DZ27" s="155"/>
      <c r="EA27" s="155"/>
      <c r="EB27" s="155"/>
      <c r="EC27" s="155"/>
      <c r="ED27" s="155"/>
      <c r="EE27" s="155"/>
      <c r="EF27" s="155"/>
      <c r="EG27" s="155"/>
      <c r="EH27" s="155"/>
      <c r="EI27" s="155"/>
      <c r="EJ27" s="155"/>
      <c r="EK27" s="155"/>
      <c r="EL27" s="155"/>
      <c r="EM27" s="155"/>
      <c r="EN27" s="155"/>
      <c r="EO27" s="155"/>
      <c r="EP27" s="155"/>
      <c r="EQ27" s="155"/>
      <c r="ER27" s="155"/>
      <c r="ES27" s="155"/>
      <c r="ET27" s="155"/>
      <c r="EU27" s="155"/>
      <c r="EV27" s="155"/>
      <c r="EW27" s="155"/>
      <c r="EX27" s="155"/>
      <c r="EY27" s="155"/>
      <c r="EZ27" s="155"/>
      <c r="FA27" s="155"/>
      <c r="FB27" s="155"/>
      <c r="FC27" s="155"/>
      <c r="FD27" s="155"/>
      <c r="FE27" s="155"/>
      <c r="FF27" s="155"/>
      <c r="FG27" s="155"/>
      <c r="FH27" s="155"/>
      <c r="FI27" s="155"/>
      <c r="FJ27" s="155"/>
      <c r="FK27" s="155"/>
      <c r="FL27" s="155"/>
      <c r="FM27" s="155"/>
      <c r="FN27" s="155"/>
      <c r="FO27" s="155"/>
      <c r="FP27" s="155"/>
      <c r="FQ27" s="155"/>
      <c r="FR27" s="155"/>
      <c r="FS27" s="155"/>
      <c r="FT27" s="155"/>
      <c r="FU27" s="155"/>
      <c r="FV27" s="155"/>
      <c r="FW27" s="155"/>
      <c r="FX27" s="155"/>
      <c r="FY27" s="155"/>
      <c r="FZ27" s="155"/>
      <c r="GA27" s="155"/>
      <c r="GB27" s="155"/>
      <c r="GC27" s="155"/>
      <c r="GD27" s="155"/>
      <c r="GE27" s="155"/>
      <c r="GF27" s="155"/>
      <c r="GG27" s="155"/>
      <c r="GH27" s="155"/>
      <c r="GI27" s="155"/>
      <c r="GJ27" s="155"/>
      <c r="GK27" s="155"/>
      <c r="GL27" s="155"/>
      <c r="GM27" s="155"/>
      <c r="GN27" s="155"/>
      <c r="GO27" s="155"/>
      <c r="GP27" s="155"/>
      <c r="GQ27" s="155"/>
      <c r="GR27" s="155"/>
      <c r="GS27" s="155"/>
      <c r="GT27" s="155"/>
      <c r="GU27" s="155"/>
      <c r="GV27" s="155"/>
      <c r="GW27" s="155"/>
      <c r="GX27" s="155"/>
      <c r="GY27" s="155"/>
      <c r="GZ27" s="155"/>
      <c r="HA27" s="155"/>
      <c r="HB27" s="155"/>
      <c r="HC27" s="155"/>
      <c r="HD27" s="155"/>
      <c r="HE27" s="155"/>
      <c r="HF27" s="155"/>
      <c r="HG27" s="155"/>
      <c r="HH27" s="155"/>
      <c r="HI27" s="155"/>
      <c r="HJ27" s="155"/>
      <c r="HK27" s="155"/>
      <c r="HL27" s="155"/>
      <c r="HM27" s="155"/>
      <c r="HN27" s="155"/>
      <c r="HO27" s="155"/>
      <c r="HP27" s="155"/>
      <c r="HQ27" s="155"/>
      <c r="HR27" s="155"/>
      <c r="HS27" s="155"/>
      <c r="HT27" s="155"/>
      <c r="HU27" s="155"/>
      <c r="HV27" s="155"/>
      <c r="HW27" s="155"/>
      <c r="HX27" s="155"/>
      <c r="HY27" s="155"/>
      <c r="HZ27" s="155"/>
      <c r="IA27" s="155"/>
      <c r="IB27" s="155"/>
      <c r="IC27" s="155"/>
      <c r="ID27" s="155"/>
      <c r="IE27" s="155"/>
      <c r="IF27" s="155"/>
      <c r="IG27" s="155"/>
      <c r="IH27" s="155"/>
      <c r="II27" s="155"/>
      <c r="IJ27" s="155"/>
      <c r="IK27" s="155"/>
      <c r="IL27" s="155"/>
      <c r="IM27" s="155"/>
      <c r="IN27" s="155"/>
      <c r="IO27" s="155"/>
      <c r="IP27" s="155"/>
      <c r="IQ27" s="155"/>
      <c r="IR27" s="155"/>
      <c r="IS27" s="155"/>
      <c r="IT27" s="155"/>
      <c r="IU27" s="155"/>
      <c r="IV27" s="155"/>
    </row>
    <row r="28" customFormat="false" ht="25.5" hidden="false" customHeight="true" outlineLevel="0" collapsed="false">
      <c r="A28" s="162" t="str">
        <f aca="false">IF(Eingabe!A107="","",Eingabe!A107)</f>
        <v/>
      </c>
      <c r="B28" s="162"/>
      <c r="C28" s="162"/>
      <c r="D28" s="162"/>
      <c r="E28" s="163" t="str">
        <f aca="false">IF(Eingabe!B107="","",Eingabe!B107)</f>
        <v/>
      </c>
      <c r="F28" s="163"/>
      <c r="G28" s="163"/>
      <c r="H28" s="163"/>
      <c r="I28" s="164" t="str">
        <f aca="false">IF(Eingabe!C107="","",Eingabe!C107)</f>
        <v/>
      </c>
      <c r="J28" s="164"/>
      <c r="K28" s="164"/>
      <c r="L28" s="164"/>
      <c r="M28" s="160" t="str">
        <f aca="false">IF(Eingabe!D107&amp;""&amp;Eingabe!E107="","",Eingabe!D107&amp;" 
"&amp;Eingabe!E107)</f>
        <v/>
      </c>
      <c r="N28" s="160"/>
      <c r="O28" s="160"/>
      <c r="P28" s="160"/>
      <c r="Q28" s="160"/>
      <c r="R28" s="160"/>
      <c r="S28" s="160"/>
      <c r="T28" s="160"/>
      <c r="U28" s="160"/>
      <c r="V28" s="160"/>
      <c r="W28" s="160"/>
      <c r="X28" s="160"/>
      <c r="Y28" s="160"/>
      <c r="Z28" s="160"/>
      <c r="AA28" s="160"/>
      <c r="AB28" s="160"/>
      <c r="AC28" s="160"/>
      <c r="AD28" s="160"/>
      <c r="AE28" s="160"/>
      <c r="AF28" s="160"/>
      <c r="AG28" s="159" t="str">
        <f aca="false">IF(Eingabe!F107&amp;""&amp;Eingabe!G107="","",Eingabe!F107&amp;" 
"&amp;Eingabe!G107)</f>
        <v/>
      </c>
      <c r="AH28" s="159"/>
      <c r="AI28" s="159"/>
      <c r="AJ28" s="159"/>
      <c r="AK28" s="159"/>
      <c r="AL28" s="159"/>
      <c r="AM28" s="159"/>
      <c r="AN28" s="159"/>
      <c r="AO28" s="159"/>
      <c r="AP28" s="159"/>
      <c r="AQ28" s="159"/>
      <c r="AR28" s="159"/>
      <c r="AS28" s="159"/>
      <c r="AT28" s="159"/>
      <c r="AU28" s="159"/>
      <c r="AV28" s="159"/>
      <c r="AW28" s="159"/>
      <c r="AX28" s="164" t="str">
        <f aca="false">IF(Eingabe!H107="","",Eingabe!H107)</f>
        <v/>
      </c>
      <c r="AY28" s="164"/>
      <c r="AZ28" s="164"/>
      <c r="BA28" s="164"/>
      <c r="BB28" s="165" t="str">
        <f aca="false">IF(Eingabe!K107="","",Eingabe!K107)</f>
        <v/>
      </c>
      <c r="BC28" s="165"/>
      <c r="BD28" s="165"/>
      <c r="BE28" s="165"/>
      <c r="BF28" s="165"/>
      <c r="BG28" s="165"/>
      <c r="BH28" s="165"/>
      <c r="BI28" s="165"/>
      <c r="BJ28" s="165"/>
      <c r="BK28" s="165"/>
      <c r="BL28" s="165"/>
      <c r="BM28" s="165"/>
      <c r="BN28" s="165"/>
      <c r="BO28" s="155"/>
      <c r="BP28" s="155"/>
      <c r="BQ28" s="155"/>
      <c r="BR28" s="155"/>
      <c r="BS28" s="155"/>
      <c r="BT28" s="155"/>
      <c r="BU28" s="155"/>
      <c r="BV28" s="155"/>
      <c r="BW28" s="155"/>
      <c r="BX28" s="155"/>
      <c r="BY28" s="155"/>
      <c r="BZ28" s="155"/>
      <c r="CA28" s="155"/>
      <c r="CB28" s="155"/>
      <c r="CC28" s="155"/>
      <c r="CD28" s="155"/>
      <c r="CE28" s="155"/>
      <c r="CF28" s="155"/>
      <c r="CG28" s="155"/>
      <c r="CH28" s="155"/>
      <c r="CI28" s="155"/>
      <c r="CJ28" s="155"/>
      <c r="CK28" s="155"/>
      <c r="CL28" s="155"/>
      <c r="CM28" s="155"/>
      <c r="CN28" s="155"/>
      <c r="CO28" s="155"/>
      <c r="CP28" s="155"/>
      <c r="CQ28" s="155"/>
      <c r="CR28" s="155"/>
      <c r="CS28" s="155"/>
      <c r="CT28" s="155"/>
      <c r="CU28" s="155"/>
      <c r="CV28" s="155"/>
      <c r="CW28" s="155"/>
      <c r="CX28" s="155"/>
      <c r="CY28" s="155"/>
      <c r="CZ28" s="155"/>
      <c r="DA28" s="155"/>
      <c r="DB28" s="155"/>
      <c r="DC28" s="155"/>
      <c r="DD28" s="155"/>
      <c r="DE28" s="155"/>
      <c r="DF28" s="155"/>
      <c r="DG28" s="155"/>
      <c r="DH28" s="155"/>
      <c r="DI28" s="155"/>
      <c r="DJ28" s="155"/>
      <c r="DK28" s="155"/>
      <c r="DL28" s="155"/>
      <c r="DM28" s="155"/>
      <c r="DN28" s="155"/>
      <c r="DO28" s="155"/>
      <c r="DP28" s="155"/>
      <c r="DQ28" s="155"/>
      <c r="DR28" s="155"/>
      <c r="DS28" s="155"/>
      <c r="DT28" s="155"/>
      <c r="DU28" s="155"/>
      <c r="DV28" s="155"/>
      <c r="DW28" s="155"/>
      <c r="DX28" s="155"/>
      <c r="DY28" s="155"/>
      <c r="DZ28" s="155"/>
      <c r="EA28" s="155"/>
      <c r="EB28" s="155"/>
      <c r="EC28" s="155"/>
      <c r="ED28" s="155"/>
      <c r="EE28" s="155"/>
      <c r="EF28" s="155"/>
      <c r="EG28" s="155"/>
      <c r="EH28" s="155"/>
      <c r="EI28" s="155"/>
      <c r="EJ28" s="155"/>
      <c r="EK28" s="155"/>
      <c r="EL28" s="155"/>
      <c r="EM28" s="155"/>
      <c r="EN28" s="155"/>
      <c r="EO28" s="155"/>
      <c r="EP28" s="155"/>
      <c r="EQ28" s="155"/>
      <c r="ER28" s="155"/>
      <c r="ES28" s="155"/>
      <c r="ET28" s="155"/>
      <c r="EU28" s="155"/>
      <c r="EV28" s="155"/>
      <c r="EW28" s="155"/>
      <c r="EX28" s="155"/>
      <c r="EY28" s="155"/>
      <c r="EZ28" s="155"/>
      <c r="FA28" s="155"/>
      <c r="FB28" s="155"/>
      <c r="FC28" s="155"/>
      <c r="FD28" s="155"/>
      <c r="FE28" s="155"/>
      <c r="FF28" s="155"/>
      <c r="FG28" s="155"/>
      <c r="FH28" s="155"/>
      <c r="FI28" s="155"/>
      <c r="FJ28" s="155"/>
      <c r="FK28" s="155"/>
      <c r="FL28" s="155"/>
      <c r="FM28" s="155"/>
      <c r="FN28" s="155"/>
      <c r="FO28" s="155"/>
      <c r="FP28" s="155"/>
      <c r="FQ28" s="155"/>
      <c r="FR28" s="155"/>
      <c r="FS28" s="155"/>
      <c r="FT28" s="155"/>
      <c r="FU28" s="155"/>
      <c r="FV28" s="155"/>
      <c r="FW28" s="155"/>
      <c r="FX28" s="155"/>
      <c r="FY28" s="155"/>
      <c r="FZ28" s="155"/>
      <c r="GA28" s="155"/>
      <c r="GB28" s="155"/>
      <c r="GC28" s="155"/>
      <c r="GD28" s="155"/>
      <c r="GE28" s="155"/>
      <c r="GF28" s="155"/>
      <c r="GG28" s="155"/>
      <c r="GH28" s="155"/>
      <c r="GI28" s="155"/>
      <c r="GJ28" s="155"/>
      <c r="GK28" s="155"/>
      <c r="GL28" s="155"/>
      <c r="GM28" s="155"/>
      <c r="GN28" s="155"/>
      <c r="GO28" s="155"/>
      <c r="GP28" s="155"/>
      <c r="GQ28" s="155"/>
      <c r="GR28" s="155"/>
      <c r="GS28" s="155"/>
      <c r="GT28" s="155"/>
      <c r="GU28" s="155"/>
      <c r="GV28" s="155"/>
      <c r="GW28" s="155"/>
      <c r="GX28" s="155"/>
      <c r="GY28" s="155"/>
      <c r="GZ28" s="155"/>
      <c r="HA28" s="155"/>
      <c r="HB28" s="155"/>
      <c r="HC28" s="155"/>
      <c r="HD28" s="155"/>
      <c r="HE28" s="155"/>
      <c r="HF28" s="155"/>
      <c r="HG28" s="155"/>
      <c r="HH28" s="155"/>
      <c r="HI28" s="155"/>
      <c r="HJ28" s="155"/>
      <c r="HK28" s="155"/>
      <c r="HL28" s="155"/>
      <c r="HM28" s="155"/>
      <c r="HN28" s="155"/>
      <c r="HO28" s="155"/>
      <c r="HP28" s="155"/>
      <c r="HQ28" s="155"/>
      <c r="HR28" s="155"/>
      <c r="HS28" s="155"/>
      <c r="HT28" s="155"/>
      <c r="HU28" s="155"/>
      <c r="HV28" s="155"/>
      <c r="HW28" s="155"/>
      <c r="HX28" s="155"/>
      <c r="HY28" s="155"/>
      <c r="HZ28" s="155"/>
      <c r="IA28" s="155"/>
      <c r="IB28" s="155"/>
      <c r="IC28" s="155"/>
      <c r="ID28" s="155"/>
      <c r="IE28" s="155"/>
      <c r="IF28" s="155"/>
      <c r="IG28" s="155"/>
      <c r="IH28" s="155"/>
      <c r="II28" s="155"/>
      <c r="IJ28" s="155"/>
      <c r="IK28" s="155"/>
      <c r="IL28" s="155"/>
      <c r="IM28" s="155"/>
      <c r="IN28" s="155"/>
      <c r="IO28" s="155"/>
      <c r="IP28" s="155"/>
      <c r="IQ28" s="155"/>
      <c r="IR28" s="155"/>
      <c r="IS28" s="155"/>
      <c r="IT28" s="155"/>
      <c r="IU28" s="155"/>
      <c r="IV28" s="155"/>
    </row>
    <row r="29" customFormat="false" ht="10.5" hidden="false" customHeight="true" outlineLevel="0" collapsed="false">
      <c r="A29" s="166" t="s">
        <v>84</v>
      </c>
      <c r="B29" s="166"/>
      <c r="C29" s="166"/>
      <c r="D29" s="166"/>
      <c r="E29" s="166"/>
      <c r="F29" s="166"/>
      <c r="G29" s="166"/>
      <c r="H29" s="166"/>
      <c r="I29" s="166"/>
      <c r="J29" s="166"/>
      <c r="K29" s="166"/>
      <c r="L29" s="166"/>
      <c r="M29" s="166"/>
      <c r="N29" s="166"/>
      <c r="O29" s="166"/>
      <c r="P29" s="166"/>
      <c r="Q29" s="166"/>
      <c r="R29" s="166"/>
      <c r="S29" s="166"/>
      <c r="T29" s="166"/>
      <c r="U29" s="166"/>
      <c r="V29" s="166"/>
      <c r="W29" s="166" t="s">
        <v>85</v>
      </c>
      <c r="X29" s="166"/>
      <c r="Y29" s="166"/>
      <c r="Z29" s="166"/>
      <c r="AA29" s="166"/>
      <c r="AB29" s="166"/>
      <c r="AC29" s="166"/>
      <c r="AD29" s="166"/>
      <c r="AE29" s="166"/>
      <c r="AF29" s="166"/>
      <c r="AG29" s="166"/>
      <c r="AH29" s="166"/>
      <c r="AI29" s="166"/>
      <c r="AJ29" s="166"/>
      <c r="AK29" s="166"/>
      <c r="AL29" s="166"/>
      <c r="AM29" s="166"/>
      <c r="AN29" s="166"/>
      <c r="AO29" s="166"/>
      <c r="AP29" s="166"/>
      <c r="AQ29" s="166"/>
      <c r="AR29" s="166"/>
      <c r="AS29" s="166" t="s">
        <v>86</v>
      </c>
      <c r="AT29" s="166"/>
      <c r="AU29" s="166"/>
      <c r="AV29" s="166"/>
      <c r="AW29" s="166"/>
      <c r="AX29" s="166"/>
      <c r="AY29" s="166"/>
      <c r="AZ29" s="166"/>
      <c r="BA29" s="166"/>
      <c r="BB29" s="166" t="s">
        <v>87</v>
      </c>
      <c r="BC29" s="166"/>
      <c r="BD29" s="166"/>
      <c r="BE29" s="166"/>
      <c r="BF29" s="166"/>
      <c r="BG29" s="166"/>
      <c r="BH29" s="166"/>
      <c r="BI29" s="166"/>
      <c r="BJ29" s="166"/>
      <c r="BK29" s="166"/>
      <c r="BL29" s="166"/>
      <c r="BM29" s="166"/>
      <c r="BN29" s="166"/>
    </row>
    <row r="30" customFormat="false" ht="10.5" hidden="false" customHeight="true" outlineLevel="0" collapsed="false">
      <c r="A30" s="167" t="str">
        <f aca="false">IF(Eingabe!O2="","",Eingabe!O2)</f>
        <v/>
      </c>
      <c r="B30" s="167"/>
      <c r="C30" s="167"/>
      <c r="D30" s="167"/>
      <c r="E30" s="167"/>
      <c r="F30" s="167"/>
      <c r="G30" s="167"/>
      <c r="H30" s="167"/>
      <c r="I30" s="167"/>
      <c r="J30" s="167"/>
      <c r="K30" s="167"/>
      <c r="L30" s="167"/>
      <c r="M30" s="167"/>
      <c r="N30" s="167"/>
      <c r="O30" s="167"/>
      <c r="P30" s="167"/>
      <c r="Q30" s="167"/>
      <c r="R30" s="167"/>
      <c r="S30" s="167"/>
      <c r="T30" s="167"/>
      <c r="U30" s="167"/>
      <c r="V30" s="167"/>
      <c r="W30" s="168" t="str">
        <f aca="false">IF(Eingabe!E3="","",Eingabe!E3)</f>
        <v>Simon Grundner</v>
      </c>
      <c r="X30" s="168"/>
      <c r="Y30" s="168"/>
      <c r="Z30" s="168"/>
      <c r="AA30" s="168"/>
      <c r="AB30" s="168"/>
      <c r="AC30" s="168"/>
      <c r="AD30" s="168"/>
      <c r="AE30" s="168"/>
      <c r="AF30" s="168"/>
      <c r="AG30" s="168"/>
      <c r="AH30" s="168"/>
      <c r="AI30" s="168"/>
      <c r="AJ30" s="168"/>
      <c r="AK30" s="168"/>
      <c r="AL30" s="168"/>
      <c r="AM30" s="168"/>
      <c r="AN30" s="168"/>
      <c r="AO30" s="168"/>
      <c r="AP30" s="168"/>
      <c r="AQ30" s="168"/>
      <c r="AR30" s="168"/>
      <c r="AS30" s="169" t="str">
        <f aca="false">IF(Eingabe!I1="","",Eingabe!I1)</f>
        <v/>
      </c>
      <c r="AT30" s="169"/>
      <c r="AU30" s="169"/>
      <c r="AV30" s="169"/>
      <c r="AW30" s="169"/>
      <c r="AX30" s="169"/>
      <c r="AY30" s="169"/>
      <c r="AZ30" s="169"/>
      <c r="BA30" s="169"/>
      <c r="BB30" s="170" t="str">
        <f aca="false">IF(Eingabe!I2="","",Eingabe!I2)</f>
        <v>FR4</v>
      </c>
      <c r="BC30" s="170"/>
      <c r="BD30" s="170"/>
      <c r="BE30" s="170"/>
      <c r="BF30" s="170"/>
      <c r="BG30" s="170"/>
      <c r="BH30" s="170"/>
      <c r="BI30" s="170"/>
      <c r="BJ30" s="170"/>
      <c r="BK30" s="170"/>
      <c r="BL30" s="170"/>
      <c r="BM30" s="170"/>
      <c r="BN30" s="170"/>
    </row>
    <row r="31" customFormat="false" ht="10.5" hidden="false" customHeight="true" outlineLevel="0" collapsed="false">
      <c r="A31" s="167"/>
      <c r="B31" s="167"/>
      <c r="C31" s="167"/>
      <c r="D31" s="167"/>
      <c r="E31" s="167"/>
      <c r="F31" s="167"/>
      <c r="G31" s="167"/>
      <c r="H31" s="167"/>
      <c r="I31" s="167"/>
      <c r="J31" s="167"/>
      <c r="K31" s="167"/>
      <c r="L31" s="167"/>
      <c r="M31" s="167"/>
      <c r="N31" s="167"/>
      <c r="O31" s="167"/>
      <c r="P31" s="167"/>
      <c r="Q31" s="167"/>
      <c r="R31" s="167"/>
      <c r="S31" s="167"/>
      <c r="T31" s="167"/>
      <c r="U31" s="167"/>
      <c r="V31" s="167"/>
      <c r="W31" s="168"/>
      <c r="X31" s="168"/>
      <c r="Y31" s="168"/>
      <c r="Z31" s="168"/>
      <c r="AA31" s="168"/>
      <c r="AB31" s="168"/>
      <c r="AC31" s="168"/>
      <c r="AD31" s="168"/>
      <c r="AE31" s="168"/>
      <c r="AF31" s="168"/>
      <c r="AG31" s="168"/>
      <c r="AH31" s="168"/>
      <c r="AI31" s="168"/>
      <c r="AJ31" s="168"/>
      <c r="AK31" s="168"/>
      <c r="AL31" s="168"/>
      <c r="AM31" s="168"/>
      <c r="AN31" s="168"/>
      <c r="AO31" s="168"/>
      <c r="AP31" s="168"/>
      <c r="AQ31" s="168"/>
      <c r="AR31" s="168"/>
      <c r="AS31" s="169"/>
      <c r="AT31" s="169"/>
      <c r="AU31" s="169"/>
      <c r="AV31" s="169"/>
      <c r="AW31" s="169"/>
      <c r="AX31" s="169"/>
      <c r="AY31" s="169"/>
      <c r="AZ31" s="169"/>
      <c r="BA31" s="169"/>
      <c r="BB31" s="170"/>
      <c r="BC31" s="170"/>
      <c r="BD31" s="170"/>
      <c r="BE31" s="170"/>
      <c r="BF31" s="170"/>
      <c r="BG31" s="170"/>
      <c r="BH31" s="170"/>
      <c r="BI31" s="170"/>
      <c r="BJ31" s="170"/>
      <c r="BK31" s="170"/>
      <c r="BL31" s="170"/>
      <c r="BM31" s="170"/>
      <c r="BN31" s="170"/>
    </row>
    <row r="32" customFormat="false" ht="10.5" hidden="false" customHeight="true" outlineLevel="0" collapsed="false">
      <c r="A32" s="171"/>
      <c r="B32" s="171"/>
      <c r="C32" s="171"/>
      <c r="D32" s="171"/>
      <c r="E32" s="171"/>
      <c r="F32" s="171"/>
      <c r="G32" s="171"/>
      <c r="H32" s="171"/>
      <c r="I32" s="171"/>
      <c r="J32" s="171"/>
      <c r="K32" s="171"/>
      <c r="L32" s="171"/>
      <c r="M32" s="171"/>
      <c r="N32" s="171"/>
      <c r="O32" s="171"/>
      <c r="P32" s="171"/>
      <c r="Q32" s="171"/>
      <c r="R32" s="171"/>
      <c r="S32" s="171"/>
      <c r="T32" s="171"/>
      <c r="U32" s="171"/>
      <c r="V32" s="171"/>
      <c r="W32" s="166" t="s">
        <v>88</v>
      </c>
      <c r="X32" s="166"/>
      <c r="Y32" s="166"/>
      <c r="Z32" s="166"/>
      <c r="AA32" s="166"/>
      <c r="AB32" s="166"/>
      <c r="AC32" s="166"/>
      <c r="AD32" s="166"/>
      <c r="AE32" s="166"/>
      <c r="AF32" s="166"/>
      <c r="AG32" s="166" t="s">
        <v>89</v>
      </c>
      <c r="AH32" s="166"/>
      <c r="AI32" s="166"/>
      <c r="AJ32" s="166"/>
      <c r="AK32" s="166" t="s">
        <v>90</v>
      </c>
      <c r="AL32" s="166"/>
      <c r="AM32" s="166"/>
      <c r="AN32" s="166"/>
      <c r="AO32" s="166" t="s">
        <v>91</v>
      </c>
      <c r="AP32" s="166"/>
      <c r="AQ32" s="166"/>
      <c r="AR32" s="166"/>
      <c r="AS32" s="172" t="s">
        <v>92</v>
      </c>
      <c r="AT32" s="172"/>
      <c r="AU32" s="172"/>
      <c r="AV32" s="172"/>
      <c r="AW32" s="172"/>
      <c r="AX32" s="172"/>
      <c r="AY32" s="172"/>
      <c r="AZ32" s="172"/>
      <c r="BA32" s="172"/>
      <c r="BB32" s="172"/>
      <c r="BC32" s="172"/>
      <c r="BD32" s="172"/>
      <c r="BE32" s="172"/>
      <c r="BF32" s="172"/>
      <c r="BG32" s="172"/>
      <c r="BH32" s="172"/>
      <c r="BI32" s="166" t="s">
        <v>93</v>
      </c>
      <c r="BJ32" s="166"/>
      <c r="BK32" s="166"/>
      <c r="BL32" s="166"/>
      <c r="BM32" s="166"/>
      <c r="BN32" s="166"/>
    </row>
    <row r="33" customFormat="false" ht="10.5" hidden="false" customHeight="true" outlineLevel="0" collapsed="false">
      <c r="A33" s="171"/>
      <c r="B33" s="171"/>
      <c r="C33" s="171"/>
      <c r="D33" s="171"/>
      <c r="E33" s="171"/>
      <c r="F33" s="171"/>
      <c r="G33" s="171"/>
      <c r="H33" s="171"/>
      <c r="I33" s="171"/>
      <c r="J33" s="171"/>
      <c r="K33" s="171"/>
      <c r="L33" s="171"/>
      <c r="M33" s="171"/>
      <c r="N33" s="171"/>
      <c r="O33" s="171"/>
      <c r="P33" s="171"/>
      <c r="Q33" s="171"/>
      <c r="R33" s="171"/>
      <c r="S33" s="171"/>
      <c r="T33" s="171"/>
      <c r="U33" s="171"/>
      <c r="V33" s="171"/>
      <c r="W33" s="167" t="str">
        <f aca="false">IF(CONCATENATE(Eingabe!E1," ", Eingabe!E2)="","",CONCATENATE(Eingabe!E1," ", Eingabe!E2))</f>
        <v> </v>
      </c>
      <c r="X33" s="167"/>
      <c r="Y33" s="167"/>
      <c r="Z33" s="167"/>
      <c r="AA33" s="167"/>
      <c r="AB33" s="167"/>
      <c r="AC33" s="167"/>
      <c r="AD33" s="167"/>
      <c r="AE33" s="167"/>
      <c r="AF33" s="167"/>
      <c r="AG33" s="167" t="str">
        <f aca="false">IF(Eingabe!E4="","",Eingabe!E4)</f>
        <v>GruS</v>
      </c>
      <c r="AH33" s="167"/>
      <c r="AI33" s="167"/>
      <c r="AJ33" s="167"/>
      <c r="AK33" s="173" t="str">
        <f aca="false">IF(Eingabe!I3="","",Eingabe!I3)</f>
        <v/>
      </c>
      <c r="AL33" s="173"/>
      <c r="AM33" s="173"/>
      <c r="AN33" s="173"/>
      <c r="AO33" s="173" t="str">
        <f aca="false">IF(Eingabe!I4="","",Eingabe!I4)</f>
        <v/>
      </c>
      <c r="AP33" s="173"/>
      <c r="AQ33" s="173"/>
      <c r="AR33" s="173"/>
      <c r="AS33" s="174" t="str">
        <f aca="false">IF(Eingabe!L1="","",Eingabe!L1)</f>
        <v>Stückliste</v>
      </c>
      <c r="AT33" s="174"/>
      <c r="AU33" s="174"/>
      <c r="AV33" s="174"/>
      <c r="AW33" s="174"/>
      <c r="AX33" s="174"/>
      <c r="AY33" s="174"/>
      <c r="AZ33" s="174"/>
      <c r="BA33" s="174"/>
      <c r="BB33" s="174"/>
      <c r="BC33" s="174"/>
      <c r="BD33" s="174"/>
      <c r="BE33" s="174"/>
      <c r="BF33" s="174"/>
      <c r="BG33" s="174"/>
      <c r="BH33" s="174"/>
      <c r="BI33" s="167" t="str">
        <f aca="false">IF(Eingabe!I5="","",Eingabe!I5)</f>
        <v/>
      </c>
      <c r="BJ33" s="167"/>
      <c r="BK33" s="167"/>
      <c r="BL33" s="167"/>
      <c r="BM33" s="167"/>
      <c r="BN33" s="167"/>
    </row>
    <row r="34" customFormat="false" ht="10.5" hidden="false" customHeight="true" outlineLevel="0" collapsed="false">
      <c r="A34" s="171"/>
      <c r="B34" s="171"/>
      <c r="C34" s="171"/>
      <c r="D34" s="171"/>
      <c r="E34" s="171"/>
      <c r="F34" s="171"/>
      <c r="G34" s="171"/>
      <c r="H34" s="171"/>
      <c r="I34" s="171"/>
      <c r="J34" s="171"/>
      <c r="K34" s="171"/>
      <c r="L34" s="171"/>
      <c r="M34" s="171"/>
      <c r="N34" s="171"/>
      <c r="O34" s="171"/>
      <c r="P34" s="171"/>
      <c r="Q34" s="171"/>
      <c r="R34" s="171"/>
      <c r="S34" s="171"/>
      <c r="T34" s="171"/>
      <c r="U34" s="171"/>
      <c r="V34" s="171"/>
      <c r="W34" s="167"/>
      <c r="X34" s="167"/>
      <c r="Y34" s="167"/>
      <c r="Z34" s="167"/>
      <c r="AA34" s="167"/>
      <c r="AB34" s="167"/>
      <c r="AC34" s="167"/>
      <c r="AD34" s="167"/>
      <c r="AE34" s="167"/>
      <c r="AF34" s="167"/>
      <c r="AG34" s="167"/>
      <c r="AH34" s="167"/>
      <c r="AI34" s="167"/>
      <c r="AJ34" s="167"/>
      <c r="AK34" s="173"/>
      <c r="AL34" s="173"/>
      <c r="AM34" s="173"/>
      <c r="AN34" s="173"/>
      <c r="AO34" s="173"/>
      <c r="AP34" s="173"/>
      <c r="AQ34" s="173"/>
      <c r="AR34" s="173"/>
      <c r="AS34" s="174"/>
      <c r="AT34" s="174"/>
      <c r="AU34" s="174"/>
      <c r="AV34" s="174"/>
      <c r="AW34" s="174"/>
      <c r="AX34" s="174"/>
      <c r="AY34" s="174"/>
      <c r="AZ34" s="174"/>
      <c r="BA34" s="174"/>
      <c r="BB34" s="174"/>
      <c r="BC34" s="174"/>
      <c r="BD34" s="174"/>
      <c r="BE34" s="174"/>
      <c r="BF34" s="174"/>
      <c r="BG34" s="174"/>
      <c r="BH34" s="174"/>
      <c r="BI34" s="167"/>
      <c r="BJ34" s="167"/>
      <c r="BK34" s="167"/>
      <c r="BL34" s="167"/>
      <c r="BM34" s="167"/>
      <c r="BN34" s="167"/>
    </row>
    <row r="35" customFormat="false" ht="10.5" hidden="false" customHeight="true" outlineLevel="0" collapsed="false">
      <c r="A35" s="171"/>
      <c r="B35" s="171"/>
      <c r="C35" s="171"/>
      <c r="D35" s="171"/>
      <c r="E35" s="171"/>
      <c r="F35" s="171"/>
      <c r="G35" s="171"/>
      <c r="H35" s="171"/>
      <c r="I35" s="171"/>
      <c r="J35" s="171"/>
      <c r="K35" s="171"/>
      <c r="L35" s="171"/>
      <c r="M35" s="171"/>
      <c r="N35" s="171"/>
      <c r="O35" s="171"/>
      <c r="P35" s="171"/>
      <c r="Q35" s="171"/>
      <c r="R35" s="171"/>
      <c r="S35" s="171"/>
      <c r="T35" s="171"/>
      <c r="U35" s="171"/>
      <c r="V35" s="171"/>
      <c r="W35" s="166" t="s">
        <v>94</v>
      </c>
      <c r="X35" s="166"/>
      <c r="Y35" s="166"/>
      <c r="Z35" s="166"/>
      <c r="AA35" s="166"/>
      <c r="AB35" s="166"/>
      <c r="AC35" s="166"/>
      <c r="AD35" s="166"/>
      <c r="AE35" s="166"/>
      <c r="AF35" s="166"/>
      <c r="AG35" s="166"/>
      <c r="AH35" s="166"/>
      <c r="AI35" s="166"/>
      <c r="AJ35" s="166"/>
      <c r="AK35" s="166"/>
      <c r="AL35" s="166"/>
      <c r="AM35" s="166"/>
      <c r="AN35" s="166"/>
      <c r="AO35" s="166"/>
      <c r="AP35" s="166"/>
      <c r="AQ35" s="166"/>
      <c r="AR35" s="166"/>
      <c r="AS35" s="166" t="s">
        <v>95</v>
      </c>
      <c r="AT35" s="166"/>
      <c r="AU35" s="166"/>
      <c r="AV35" s="166"/>
      <c r="AW35" s="166"/>
      <c r="AX35" s="166"/>
      <c r="AY35" s="166"/>
      <c r="AZ35" s="166" t="s">
        <v>96</v>
      </c>
      <c r="BA35" s="166"/>
      <c r="BB35" s="166"/>
      <c r="BC35" s="166"/>
      <c r="BD35" s="166"/>
      <c r="BE35" s="166" t="s">
        <v>97</v>
      </c>
      <c r="BF35" s="166"/>
      <c r="BG35" s="166"/>
      <c r="BH35" s="166"/>
      <c r="BI35" s="166"/>
      <c r="BJ35" s="166"/>
      <c r="BK35" s="166"/>
      <c r="BL35" s="166"/>
      <c r="BM35" s="166"/>
      <c r="BN35" s="166"/>
    </row>
    <row r="36" customFormat="false" ht="10.5" hidden="false" customHeight="true" outlineLevel="0" collapsed="false">
      <c r="A36" s="171"/>
      <c r="B36" s="171"/>
      <c r="C36" s="171"/>
      <c r="D36" s="171"/>
      <c r="E36" s="171"/>
      <c r="F36" s="171"/>
      <c r="G36" s="171"/>
      <c r="H36" s="171"/>
      <c r="I36" s="171"/>
      <c r="J36" s="171"/>
      <c r="K36" s="171"/>
      <c r="L36" s="171"/>
      <c r="M36" s="171"/>
      <c r="N36" s="171"/>
      <c r="O36" s="171"/>
      <c r="P36" s="171"/>
      <c r="Q36" s="171"/>
      <c r="R36" s="171"/>
      <c r="S36" s="171"/>
      <c r="T36" s="171"/>
      <c r="U36" s="171"/>
      <c r="V36" s="171"/>
      <c r="W36" s="175" t="str">
        <f aca="false">IF(Eingabe!E5="","",Eingabe!E5)</f>
        <v>TOTEM - Bluetooth</v>
      </c>
      <c r="X36" s="175"/>
      <c r="Y36" s="175"/>
      <c r="Z36" s="175"/>
      <c r="AA36" s="175"/>
      <c r="AB36" s="175"/>
      <c r="AC36" s="175"/>
      <c r="AD36" s="175"/>
      <c r="AE36" s="175"/>
      <c r="AF36" s="175"/>
      <c r="AG36" s="175"/>
      <c r="AH36" s="175"/>
      <c r="AI36" s="175"/>
      <c r="AJ36" s="175"/>
      <c r="AK36" s="175"/>
      <c r="AL36" s="175"/>
      <c r="AM36" s="175"/>
      <c r="AN36" s="175"/>
      <c r="AO36" s="175"/>
      <c r="AP36" s="175"/>
      <c r="AQ36" s="175"/>
      <c r="AR36" s="175"/>
      <c r="AS36" s="170" t="str">
        <f aca="false">IF(Eingabe!L3="","",Eingabe!L3)</f>
        <v>1.0</v>
      </c>
      <c r="AT36" s="170"/>
      <c r="AU36" s="170"/>
      <c r="AV36" s="170"/>
      <c r="AW36" s="170"/>
      <c r="AX36" s="170"/>
      <c r="AY36" s="170"/>
      <c r="AZ36" s="170" t="str">
        <f aca="false">IF(Eingabe!L4="","",Eingabe!L4)</f>
        <v>1</v>
      </c>
      <c r="BA36" s="170"/>
      <c r="BB36" s="170"/>
      <c r="BC36" s="170"/>
      <c r="BD36" s="170"/>
      <c r="BE36" s="174" t="str">
        <f aca="false">IF(Eingabe!L5="","",Eingabe!L5)</f>
        <v>Fertigung</v>
      </c>
      <c r="BF36" s="174"/>
      <c r="BG36" s="174"/>
      <c r="BH36" s="174"/>
      <c r="BI36" s="174"/>
      <c r="BJ36" s="174"/>
      <c r="BK36" s="174"/>
      <c r="BL36" s="174"/>
      <c r="BM36" s="174"/>
      <c r="BN36" s="174"/>
    </row>
    <row r="37" customFormat="false" ht="10.5" hidden="false" customHeight="true" outlineLevel="0" collapsed="false">
      <c r="A37" s="176" t="s">
        <v>98</v>
      </c>
      <c r="B37" s="176"/>
      <c r="C37" s="176"/>
      <c r="D37" s="176"/>
      <c r="E37" s="176"/>
      <c r="F37" s="176"/>
      <c r="G37" s="176"/>
      <c r="H37" s="176"/>
      <c r="I37" s="176"/>
      <c r="J37" s="176"/>
      <c r="K37" s="176"/>
      <c r="L37" s="176"/>
      <c r="M37" s="176"/>
      <c r="N37" s="176"/>
      <c r="O37" s="176"/>
      <c r="P37" s="176"/>
      <c r="Q37" s="176"/>
      <c r="R37" s="176"/>
      <c r="S37" s="176"/>
      <c r="T37" s="176"/>
      <c r="U37" s="176"/>
      <c r="V37" s="176"/>
      <c r="W37" s="175"/>
      <c r="X37" s="175"/>
      <c r="Y37" s="175"/>
      <c r="Z37" s="175"/>
      <c r="AA37" s="175"/>
      <c r="AB37" s="175"/>
      <c r="AC37" s="175"/>
      <c r="AD37" s="175"/>
      <c r="AE37" s="175"/>
      <c r="AF37" s="175"/>
      <c r="AG37" s="175"/>
      <c r="AH37" s="175"/>
      <c r="AI37" s="175"/>
      <c r="AJ37" s="175"/>
      <c r="AK37" s="175"/>
      <c r="AL37" s="175"/>
      <c r="AM37" s="175"/>
      <c r="AN37" s="175"/>
      <c r="AO37" s="175"/>
      <c r="AP37" s="175"/>
      <c r="AQ37" s="175"/>
      <c r="AR37" s="175"/>
      <c r="AS37" s="170"/>
      <c r="AT37" s="170"/>
      <c r="AU37" s="170"/>
      <c r="AV37" s="170"/>
      <c r="AW37" s="170"/>
      <c r="AX37" s="170"/>
      <c r="AY37" s="170"/>
      <c r="AZ37" s="170"/>
      <c r="BA37" s="170"/>
      <c r="BB37" s="170"/>
      <c r="BC37" s="170"/>
      <c r="BD37" s="170"/>
      <c r="BE37" s="174"/>
      <c r="BF37" s="174"/>
      <c r="BG37" s="174"/>
      <c r="BH37" s="174"/>
      <c r="BI37" s="174"/>
      <c r="BJ37" s="174"/>
      <c r="BK37" s="174"/>
      <c r="BL37" s="174"/>
      <c r="BM37" s="174"/>
      <c r="BN37" s="174"/>
    </row>
    <row r="38" customFormat="false" ht="10.5" hidden="false" customHeight="true" outlineLevel="0" collapsed="false">
      <c r="A38" s="176"/>
      <c r="B38" s="176"/>
      <c r="C38" s="176"/>
      <c r="D38" s="176"/>
      <c r="E38" s="176"/>
      <c r="F38" s="176"/>
      <c r="G38" s="176"/>
      <c r="H38" s="176"/>
      <c r="I38" s="176"/>
      <c r="J38" s="176"/>
      <c r="K38" s="176"/>
      <c r="L38" s="176"/>
      <c r="M38" s="176"/>
      <c r="N38" s="176"/>
      <c r="O38" s="176"/>
      <c r="P38" s="176"/>
      <c r="Q38" s="176"/>
      <c r="R38" s="176"/>
      <c r="S38" s="176"/>
      <c r="T38" s="176"/>
      <c r="U38" s="176"/>
      <c r="V38" s="176"/>
      <c r="W38" s="175"/>
      <c r="X38" s="175"/>
      <c r="Y38" s="175"/>
      <c r="Z38" s="175"/>
      <c r="AA38" s="175"/>
      <c r="AB38" s="175"/>
      <c r="AC38" s="175"/>
      <c r="AD38" s="175"/>
      <c r="AE38" s="175"/>
      <c r="AF38" s="175"/>
      <c r="AG38" s="175"/>
      <c r="AH38" s="175"/>
      <c r="AI38" s="175"/>
      <c r="AJ38" s="175"/>
      <c r="AK38" s="175"/>
      <c r="AL38" s="175"/>
      <c r="AM38" s="175"/>
      <c r="AN38" s="175"/>
      <c r="AO38" s="175"/>
      <c r="AP38" s="175"/>
      <c r="AQ38" s="175"/>
      <c r="AR38" s="175"/>
      <c r="AS38" s="177" t="s">
        <v>99</v>
      </c>
      <c r="AT38" s="177"/>
      <c r="AU38" s="177"/>
      <c r="AV38" s="177"/>
      <c r="AW38" s="178" t="s">
        <v>100</v>
      </c>
      <c r="AX38" s="178"/>
      <c r="AY38" s="178"/>
      <c r="AZ38" s="166" t="s">
        <v>101</v>
      </c>
      <c r="BA38" s="166"/>
      <c r="BB38" s="166"/>
      <c r="BC38" s="166"/>
      <c r="BD38" s="166"/>
      <c r="BE38" s="166"/>
      <c r="BF38" s="166"/>
      <c r="BG38" s="166"/>
      <c r="BH38" s="166"/>
      <c r="BI38" s="166" t="s">
        <v>102</v>
      </c>
      <c r="BJ38" s="166"/>
      <c r="BK38" s="166"/>
      <c r="BL38" s="179" t="s">
        <v>103</v>
      </c>
      <c r="BM38" s="180"/>
      <c r="BN38" s="181"/>
    </row>
    <row r="39" customFormat="false" ht="10.5" hidden="false" customHeight="true" outlineLevel="0" collapsed="false">
      <c r="A39" s="182" t="str">
        <f aca="false">IF(Eingabe!M6="","",Eingabe!M6)</f>
        <v>Technische Informatik</v>
      </c>
      <c r="B39" s="182"/>
      <c r="C39" s="182"/>
      <c r="D39" s="182"/>
      <c r="E39" s="182"/>
      <c r="F39" s="182"/>
      <c r="G39" s="182"/>
      <c r="H39" s="182"/>
      <c r="I39" s="182"/>
      <c r="J39" s="182"/>
      <c r="K39" s="182"/>
      <c r="L39" s="182"/>
      <c r="M39" s="182"/>
      <c r="N39" s="182"/>
      <c r="O39" s="182"/>
      <c r="P39" s="182"/>
      <c r="Q39" s="182"/>
      <c r="R39" s="182"/>
      <c r="S39" s="182"/>
      <c r="T39" s="182"/>
      <c r="U39" s="182"/>
      <c r="V39" s="182"/>
      <c r="W39" s="174" t="str">
        <f aca="false">IF(Eingabe!E6="","",Eingabe!E6)</f>
        <v>40 Key Split Ergomech KB</v>
      </c>
      <c r="X39" s="174"/>
      <c r="Y39" s="174"/>
      <c r="Z39" s="174"/>
      <c r="AA39" s="174"/>
      <c r="AB39" s="174"/>
      <c r="AC39" s="174"/>
      <c r="AD39" s="174"/>
      <c r="AE39" s="174"/>
      <c r="AF39" s="174"/>
      <c r="AG39" s="174"/>
      <c r="AH39" s="174"/>
      <c r="AI39" s="174"/>
      <c r="AJ39" s="174"/>
      <c r="AK39" s="174"/>
      <c r="AL39" s="174"/>
      <c r="AM39" s="174"/>
      <c r="AN39" s="174"/>
      <c r="AO39" s="174"/>
      <c r="AP39" s="174"/>
      <c r="AQ39" s="174"/>
      <c r="AR39" s="174"/>
      <c r="AS39" s="173" t="str">
        <f aca="false">IF(Eingabe!L6="","",Eingabe!L6)</f>
        <v>ohne</v>
      </c>
      <c r="AT39" s="173"/>
      <c r="AU39" s="173"/>
      <c r="AV39" s="173"/>
      <c r="AW39" s="183" t="str">
        <f aca="false">IF(Eingabe!I6="","",Eingabe!I6)</f>
        <v>DE</v>
      </c>
      <c r="AX39" s="183"/>
      <c r="AY39" s="183"/>
      <c r="AZ39" s="184" t="n">
        <f aca="false">IF(Eingabe!L2="","",Eingabe!L2)</f>
        <v>45824</v>
      </c>
      <c r="BA39" s="184"/>
      <c r="BB39" s="184"/>
      <c r="BC39" s="184"/>
      <c r="BD39" s="184"/>
      <c r="BE39" s="184"/>
      <c r="BF39" s="184"/>
      <c r="BG39" s="184"/>
      <c r="BH39" s="184"/>
      <c r="BI39" s="173" t="n">
        <v>4</v>
      </c>
      <c r="BJ39" s="173"/>
      <c r="BK39" s="173"/>
      <c r="BL39" s="173" t="n">
        <f aca="false">(5-(IF(Eingabe!$C$33="","1","0"))-(IF(Eingabe!$C$58="","1","0"))-(IF(Eingabe!$C$83="","1","0"))-(IF(Eingabe!$C$108="","1","0")))</f>
        <v>1</v>
      </c>
      <c r="BM39" s="173"/>
      <c r="BN39" s="173"/>
    </row>
    <row r="40" customFormat="false" ht="10.5" hidden="false" customHeight="true" outlineLevel="0" collapsed="false">
      <c r="A40" s="182"/>
      <c r="B40" s="182"/>
      <c r="C40" s="182"/>
      <c r="D40" s="182"/>
      <c r="E40" s="182"/>
      <c r="F40" s="182"/>
      <c r="G40" s="182"/>
      <c r="H40" s="182"/>
      <c r="I40" s="182"/>
      <c r="J40" s="182"/>
      <c r="K40" s="182"/>
      <c r="L40" s="182"/>
      <c r="M40" s="182"/>
      <c r="N40" s="182"/>
      <c r="O40" s="182"/>
      <c r="P40" s="182"/>
      <c r="Q40" s="182"/>
      <c r="R40" s="182"/>
      <c r="S40" s="182"/>
      <c r="T40" s="182"/>
      <c r="U40" s="182"/>
      <c r="V40" s="182"/>
      <c r="W40" s="174"/>
      <c r="X40" s="174"/>
      <c r="Y40" s="174"/>
      <c r="Z40" s="174"/>
      <c r="AA40" s="174"/>
      <c r="AB40" s="174"/>
      <c r="AC40" s="174"/>
      <c r="AD40" s="174"/>
      <c r="AE40" s="174"/>
      <c r="AF40" s="174"/>
      <c r="AG40" s="174"/>
      <c r="AH40" s="174"/>
      <c r="AI40" s="174"/>
      <c r="AJ40" s="174"/>
      <c r="AK40" s="174"/>
      <c r="AL40" s="174"/>
      <c r="AM40" s="174"/>
      <c r="AN40" s="174"/>
      <c r="AO40" s="174"/>
      <c r="AP40" s="174"/>
      <c r="AQ40" s="174"/>
      <c r="AR40" s="174"/>
      <c r="AS40" s="173"/>
      <c r="AT40" s="173"/>
      <c r="AU40" s="173"/>
      <c r="AV40" s="173"/>
      <c r="AW40" s="183"/>
      <c r="AX40" s="183"/>
      <c r="AY40" s="183"/>
      <c r="AZ40" s="184"/>
      <c r="BA40" s="184"/>
      <c r="BB40" s="184"/>
      <c r="BC40" s="184"/>
      <c r="BD40" s="184"/>
      <c r="BE40" s="184"/>
      <c r="BF40" s="184"/>
      <c r="BG40" s="184"/>
      <c r="BH40" s="184"/>
      <c r="BI40" s="173"/>
      <c r="BJ40" s="173"/>
      <c r="BK40" s="173"/>
      <c r="BL40" s="173"/>
      <c r="BM40" s="173"/>
      <c r="BN40" s="173"/>
    </row>
    <row r="41" customFormat="false" ht="14.25" hidden="false" customHeight="false" outlineLevel="0" collapsed="false">
      <c r="A41" s="185"/>
      <c r="B41" s="185"/>
      <c r="C41" s="185"/>
      <c r="D41" s="185"/>
      <c r="E41" s="185"/>
      <c r="F41" s="185"/>
      <c r="G41" s="185"/>
      <c r="H41" s="185"/>
      <c r="I41" s="185"/>
      <c r="J41" s="185"/>
      <c r="K41" s="185"/>
      <c r="L41" s="185"/>
      <c r="M41" s="185"/>
      <c r="N41" s="185"/>
      <c r="O41" s="185"/>
      <c r="P41" s="185"/>
      <c r="Q41" s="185"/>
      <c r="R41" s="185"/>
      <c r="S41" s="185"/>
      <c r="T41" s="185"/>
      <c r="U41" s="185"/>
      <c r="V41" s="185"/>
      <c r="W41" s="185"/>
      <c r="X41" s="185"/>
      <c r="Y41" s="185"/>
      <c r="Z41" s="185"/>
      <c r="AA41" s="185"/>
      <c r="AB41" s="185"/>
      <c r="AC41" s="185"/>
      <c r="AD41" s="185"/>
      <c r="AE41" s="185"/>
      <c r="AF41" s="185"/>
      <c r="AG41" s="185"/>
      <c r="AH41" s="185"/>
      <c r="AI41" s="185"/>
      <c r="AJ41" s="185"/>
      <c r="AK41" s="185"/>
      <c r="AL41" s="185"/>
      <c r="AM41" s="185"/>
      <c r="AN41" s="185"/>
      <c r="AO41" s="185"/>
      <c r="AP41" s="185"/>
      <c r="AQ41" s="185"/>
      <c r="AR41" s="185"/>
      <c r="AS41" s="185"/>
      <c r="AT41" s="185"/>
      <c r="AU41" s="185"/>
      <c r="AV41" s="185"/>
      <c r="AW41" s="185"/>
      <c r="AX41" s="185"/>
      <c r="AY41" s="185"/>
      <c r="AZ41" s="185"/>
      <c r="BA41" s="185"/>
      <c r="BB41" s="185"/>
      <c r="BC41" s="185"/>
      <c r="BD41" s="185"/>
      <c r="BE41" s="185"/>
      <c r="BF41" s="185"/>
      <c r="BG41" s="185"/>
      <c r="BH41" s="185"/>
      <c r="BI41" s="185"/>
      <c r="BJ41" s="185"/>
      <c r="BK41" s="185"/>
      <c r="BL41" s="185"/>
      <c r="BM41" s="185"/>
      <c r="BN41" s="185"/>
    </row>
  </sheetData>
  <sheetProtection sheet="true" objects="true" scenarios="true" selectLockedCells="true"/>
  <mergeCells count="230">
    <mergeCell ref="A1:D1"/>
    <mergeCell ref="E1:H1"/>
    <mergeCell ref="I1:L1"/>
    <mergeCell ref="M1:AF1"/>
    <mergeCell ref="AG1:AW1"/>
    <mergeCell ref="AX1:BA1"/>
    <mergeCell ref="BB1:BN1"/>
    <mergeCell ref="A2:D3"/>
    <mergeCell ref="E2:H3"/>
    <mergeCell ref="I2:L3"/>
    <mergeCell ref="M2:AF3"/>
    <mergeCell ref="AG2:AW3"/>
    <mergeCell ref="AX2:BA3"/>
    <mergeCell ref="BB2:BN3"/>
    <mergeCell ref="A4:D4"/>
    <mergeCell ref="E4:H4"/>
    <mergeCell ref="I4:L4"/>
    <mergeCell ref="M4:AF4"/>
    <mergeCell ref="AG4:AW4"/>
    <mergeCell ref="AX4:BA4"/>
    <mergeCell ref="BB4:BN4"/>
    <mergeCell ref="A5:D5"/>
    <mergeCell ref="E5:H5"/>
    <mergeCell ref="I5:L5"/>
    <mergeCell ref="M5:AF5"/>
    <mergeCell ref="AG5:AW5"/>
    <mergeCell ref="AX5:BA5"/>
    <mergeCell ref="BB5:BN5"/>
    <mergeCell ref="A6:D6"/>
    <mergeCell ref="E6:H6"/>
    <mergeCell ref="I6:L6"/>
    <mergeCell ref="M6:AF6"/>
    <mergeCell ref="AG6:AW6"/>
    <mergeCell ref="AX6:BA6"/>
    <mergeCell ref="BB6:BN6"/>
    <mergeCell ref="A7:D7"/>
    <mergeCell ref="E7:H7"/>
    <mergeCell ref="I7:L7"/>
    <mergeCell ref="M7:AF7"/>
    <mergeCell ref="AG7:AW7"/>
    <mergeCell ref="AX7:BA7"/>
    <mergeCell ref="BB7:BN7"/>
    <mergeCell ref="A8:D8"/>
    <mergeCell ref="E8:H8"/>
    <mergeCell ref="I8:L8"/>
    <mergeCell ref="M8:AF8"/>
    <mergeCell ref="AG8:AW8"/>
    <mergeCell ref="AX8:BA8"/>
    <mergeCell ref="BB8:BN8"/>
    <mergeCell ref="A9:D9"/>
    <mergeCell ref="E9:H9"/>
    <mergeCell ref="I9:L9"/>
    <mergeCell ref="M9:AF9"/>
    <mergeCell ref="AG9:AW9"/>
    <mergeCell ref="AX9:BA9"/>
    <mergeCell ref="BB9:BN9"/>
    <mergeCell ref="A10:D10"/>
    <mergeCell ref="E10:H10"/>
    <mergeCell ref="I10:L10"/>
    <mergeCell ref="M10:AF10"/>
    <mergeCell ref="AG10:AW10"/>
    <mergeCell ref="AX10:BA10"/>
    <mergeCell ref="BB10:BN10"/>
    <mergeCell ref="A11:D11"/>
    <mergeCell ref="E11:H11"/>
    <mergeCell ref="I11:L11"/>
    <mergeCell ref="M11:AF11"/>
    <mergeCell ref="AG11:AW11"/>
    <mergeCell ref="AX11:BA11"/>
    <mergeCell ref="BB11:BN11"/>
    <mergeCell ref="A12:D12"/>
    <mergeCell ref="E12:H12"/>
    <mergeCell ref="I12:L12"/>
    <mergeCell ref="M12:AF12"/>
    <mergeCell ref="AG12:AW12"/>
    <mergeCell ref="AX12:BA12"/>
    <mergeCell ref="BB12:BN12"/>
    <mergeCell ref="A13:D13"/>
    <mergeCell ref="E13:H13"/>
    <mergeCell ref="I13:L13"/>
    <mergeCell ref="M13:AF13"/>
    <mergeCell ref="AG13:AW13"/>
    <mergeCell ref="AX13:BA13"/>
    <mergeCell ref="BB13:BN13"/>
    <mergeCell ref="A14:D14"/>
    <mergeCell ref="E14:H14"/>
    <mergeCell ref="I14:L14"/>
    <mergeCell ref="M14:AF14"/>
    <mergeCell ref="AG14:AW14"/>
    <mergeCell ref="AX14:BA14"/>
    <mergeCell ref="BB14:BN14"/>
    <mergeCell ref="A15:D15"/>
    <mergeCell ref="E15:H15"/>
    <mergeCell ref="I15:L15"/>
    <mergeCell ref="M15:AF15"/>
    <mergeCell ref="AG15:AW15"/>
    <mergeCell ref="AX15:BA15"/>
    <mergeCell ref="BB15:BN15"/>
    <mergeCell ref="A16:D16"/>
    <mergeCell ref="E16:H16"/>
    <mergeCell ref="I16:L16"/>
    <mergeCell ref="M16:AF16"/>
    <mergeCell ref="AG16:AW16"/>
    <mergeCell ref="AX16:BA16"/>
    <mergeCell ref="BB16:BN16"/>
    <mergeCell ref="A17:D17"/>
    <mergeCell ref="E17:H17"/>
    <mergeCell ref="I17:L17"/>
    <mergeCell ref="M17:AF17"/>
    <mergeCell ref="AG17:AW17"/>
    <mergeCell ref="AX17:BA17"/>
    <mergeCell ref="BB17:BN17"/>
    <mergeCell ref="A18:D18"/>
    <mergeCell ref="E18:H18"/>
    <mergeCell ref="I18:L18"/>
    <mergeCell ref="M18:AF18"/>
    <mergeCell ref="AG18:AW18"/>
    <mergeCell ref="AX18:BA18"/>
    <mergeCell ref="BB18:BN18"/>
    <mergeCell ref="A19:D19"/>
    <mergeCell ref="E19:H19"/>
    <mergeCell ref="I19:L19"/>
    <mergeCell ref="M19:AF19"/>
    <mergeCell ref="AG19:AW19"/>
    <mergeCell ref="AX19:BA19"/>
    <mergeCell ref="BB19:BN19"/>
    <mergeCell ref="A20:D20"/>
    <mergeCell ref="E20:H20"/>
    <mergeCell ref="I20:L20"/>
    <mergeCell ref="M20:AF20"/>
    <mergeCell ref="AG20:AW20"/>
    <mergeCell ref="AX20:BA20"/>
    <mergeCell ref="BB20:BN20"/>
    <mergeCell ref="A21:D21"/>
    <mergeCell ref="E21:H21"/>
    <mergeCell ref="I21:L21"/>
    <mergeCell ref="M21:AF21"/>
    <mergeCell ref="AG21:AW21"/>
    <mergeCell ref="AX21:BA21"/>
    <mergeCell ref="BB21:BN21"/>
    <mergeCell ref="A22:D22"/>
    <mergeCell ref="E22:H22"/>
    <mergeCell ref="I22:L22"/>
    <mergeCell ref="M22:AF22"/>
    <mergeCell ref="AG22:AW22"/>
    <mergeCell ref="AX22:BA22"/>
    <mergeCell ref="BB22:BN22"/>
    <mergeCell ref="A23:D23"/>
    <mergeCell ref="E23:H23"/>
    <mergeCell ref="I23:L23"/>
    <mergeCell ref="M23:AF23"/>
    <mergeCell ref="AG23:AW23"/>
    <mergeCell ref="AX23:BA23"/>
    <mergeCell ref="BB23:BN23"/>
    <mergeCell ref="A24:D24"/>
    <mergeCell ref="E24:H24"/>
    <mergeCell ref="I24:L24"/>
    <mergeCell ref="M24:AF24"/>
    <mergeCell ref="AG24:AW24"/>
    <mergeCell ref="AX24:BA24"/>
    <mergeCell ref="BB24:BN24"/>
    <mergeCell ref="A25:D25"/>
    <mergeCell ref="E25:H25"/>
    <mergeCell ref="I25:L25"/>
    <mergeCell ref="M25:AF25"/>
    <mergeCell ref="AG25:AW25"/>
    <mergeCell ref="AX25:BA25"/>
    <mergeCell ref="BB25:BN25"/>
    <mergeCell ref="A26:D26"/>
    <mergeCell ref="E26:H26"/>
    <mergeCell ref="I26:L26"/>
    <mergeCell ref="M26:AF26"/>
    <mergeCell ref="AG26:AW26"/>
    <mergeCell ref="AX26:BA26"/>
    <mergeCell ref="BB26:BN26"/>
    <mergeCell ref="A27:D27"/>
    <mergeCell ref="E27:H27"/>
    <mergeCell ref="I27:L27"/>
    <mergeCell ref="M27:AF27"/>
    <mergeCell ref="AG27:AW27"/>
    <mergeCell ref="AX27:BA27"/>
    <mergeCell ref="BB27:BN27"/>
    <mergeCell ref="A28:D28"/>
    <mergeCell ref="E28:H28"/>
    <mergeCell ref="I28:L28"/>
    <mergeCell ref="M28:AF28"/>
    <mergeCell ref="AG28:AW28"/>
    <mergeCell ref="AX28:BA28"/>
    <mergeCell ref="BB28:BN28"/>
    <mergeCell ref="A29:V29"/>
    <mergeCell ref="W29:AR29"/>
    <mergeCell ref="AS29:BA29"/>
    <mergeCell ref="BB29:BN29"/>
    <mergeCell ref="A30:V31"/>
    <mergeCell ref="W30:AR31"/>
    <mergeCell ref="AS30:BA31"/>
    <mergeCell ref="BB30:BN31"/>
    <mergeCell ref="A32:V36"/>
    <mergeCell ref="W32:AF32"/>
    <mergeCell ref="AG32:AJ32"/>
    <mergeCell ref="AK32:AN32"/>
    <mergeCell ref="AO32:AR32"/>
    <mergeCell ref="AS32:BH32"/>
    <mergeCell ref="BI32:BN32"/>
    <mergeCell ref="W33:AF34"/>
    <mergeCell ref="AG33:AJ34"/>
    <mergeCell ref="AK33:AN34"/>
    <mergeCell ref="AO33:AR34"/>
    <mergeCell ref="AS33:BH34"/>
    <mergeCell ref="BI33:BN34"/>
    <mergeCell ref="W35:AR35"/>
    <mergeCell ref="AS35:AY35"/>
    <mergeCell ref="AZ35:BD35"/>
    <mergeCell ref="BE35:BN35"/>
    <mergeCell ref="W36:AR38"/>
    <mergeCell ref="AS36:AY37"/>
    <mergeCell ref="AZ36:BD37"/>
    <mergeCell ref="BE36:BN37"/>
    <mergeCell ref="A37:V38"/>
    <mergeCell ref="AS38:AV38"/>
    <mergeCell ref="AW38:AY38"/>
    <mergeCell ref="AZ38:BH38"/>
    <mergeCell ref="BI38:BK38"/>
    <mergeCell ref="A39:V40"/>
    <mergeCell ref="W39:AR40"/>
    <mergeCell ref="AS39:AV40"/>
    <mergeCell ref="AW39:AY40"/>
    <mergeCell ref="AZ39:BH40"/>
    <mergeCell ref="BI39:BK40"/>
    <mergeCell ref="BL39:BN40"/>
  </mergeCells>
  <printOptions headings="false" gridLines="false" gridLinesSet="true" horizontalCentered="false" verticalCentered="false"/>
  <pageMargins left="0.7875" right="0.39375" top="0.39375" bottom="0.39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41"/>
  <sheetViews>
    <sheetView showFormulas="false" showGridLines="true" showRowColHeaders="true" showZeros="true" rightToLeft="false" tabSelected="false" showOutlineSymbols="true" defaultGridColor="true" view="pageBreakPreview" topLeftCell="A1" colorId="64" zoomScale="100" zoomScaleNormal="57" zoomScalePageLayoutView="100" workbookViewId="0">
      <selection pane="topLeft" activeCell="A4" activeCellId="0" sqref="A4"/>
    </sheetView>
  </sheetViews>
  <sheetFormatPr defaultColWidth="10.625" defaultRowHeight="14.25" customHeight="true" zeroHeight="false" outlineLevelRow="0" outlineLevelCol="0"/>
  <cols>
    <col collapsed="false" customWidth="true" hidden="false" outlineLevel="0" max="66" min="1" style="1" width="1.25"/>
    <col collapsed="false" customWidth="false" hidden="false" outlineLevel="0" max="16384" min="67" style="1" width="10.62"/>
  </cols>
  <sheetData>
    <row r="1" customFormat="false" ht="15.75" hidden="false" customHeight="true" outlineLevel="0" collapsed="false">
      <c r="A1" s="142" t="n">
        <v>1</v>
      </c>
      <c r="B1" s="142"/>
      <c r="C1" s="142"/>
      <c r="D1" s="142"/>
      <c r="E1" s="143" t="n">
        <v>2</v>
      </c>
      <c r="F1" s="143"/>
      <c r="G1" s="143"/>
      <c r="H1" s="143"/>
      <c r="I1" s="143" t="n">
        <v>3</v>
      </c>
      <c r="J1" s="143"/>
      <c r="K1" s="143"/>
      <c r="L1" s="143"/>
      <c r="M1" s="143" t="n">
        <v>4</v>
      </c>
      <c r="N1" s="143"/>
      <c r="O1" s="143"/>
      <c r="P1" s="143"/>
      <c r="Q1" s="143"/>
      <c r="R1" s="143"/>
      <c r="S1" s="143"/>
      <c r="T1" s="143"/>
      <c r="U1" s="143"/>
      <c r="V1" s="143"/>
      <c r="W1" s="143"/>
      <c r="X1" s="143"/>
      <c r="Y1" s="143"/>
      <c r="Z1" s="143"/>
      <c r="AA1" s="143"/>
      <c r="AB1" s="143"/>
      <c r="AC1" s="143"/>
      <c r="AD1" s="143"/>
      <c r="AE1" s="143"/>
      <c r="AF1" s="143"/>
      <c r="AG1" s="143" t="n">
        <v>5</v>
      </c>
      <c r="AH1" s="143"/>
      <c r="AI1" s="143"/>
      <c r="AJ1" s="143"/>
      <c r="AK1" s="143"/>
      <c r="AL1" s="143"/>
      <c r="AM1" s="143"/>
      <c r="AN1" s="143"/>
      <c r="AO1" s="143"/>
      <c r="AP1" s="143"/>
      <c r="AQ1" s="143"/>
      <c r="AR1" s="143"/>
      <c r="AS1" s="143"/>
      <c r="AT1" s="143"/>
      <c r="AU1" s="143"/>
      <c r="AV1" s="143"/>
      <c r="AW1" s="143"/>
      <c r="AX1" s="143" t="n">
        <v>6</v>
      </c>
      <c r="AY1" s="143"/>
      <c r="AZ1" s="143"/>
      <c r="BA1" s="143"/>
      <c r="BB1" s="144" t="n">
        <v>7</v>
      </c>
      <c r="BC1" s="144"/>
      <c r="BD1" s="144"/>
      <c r="BE1" s="144"/>
      <c r="BF1" s="144"/>
      <c r="BG1" s="144"/>
      <c r="BH1" s="144"/>
      <c r="BI1" s="144"/>
      <c r="BJ1" s="144"/>
      <c r="BK1" s="144"/>
      <c r="BL1" s="144"/>
      <c r="BM1" s="144"/>
      <c r="BN1" s="144"/>
    </row>
    <row r="2" customFormat="false" ht="18.75" hidden="false" customHeight="true" outlineLevel="0" collapsed="false">
      <c r="A2" s="145" t="str">
        <f aca="false">Eingabe!A7</f>
        <v>Lfd. 
Nr.</v>
      </c>
      <c r="B2" s="145"/>
      <c r="C2" s="145"/>
      <c r="D2" s="145"/>
      <c r="E2" s="146" t="str">
        <f aca="false">Eingabe!B7</f>
        <v>Stück-
zahl</v>
      </c>
      <c r="F2" s="146"/>
      <c r="G2" s="146"/>
      <c r="H2" s="146"/>
      <c r="I2" s="146" t="str">
        <f aca="false">Eingabe!C7</f>
        <v>Ein-
heit</v>
      </c>
      <c r="J2" s="146"/>
      <c r="K2" s="146"/>
      <c r="L2" s="146"/>
      <c r="M2" s="147" t="str">
        <f aca="false">Eingabe!D7</f>
        <v>Benennung</v>
      </c>
      <c r="N2" s="147"/>
      <c r="O2" s="147"/>
      <c r="P2" s="147"/>
      <c r="Q2" s="147"/>
      <c r="R2" s="147"/>
      <c r="S2" s="147"/>
      <c r="T2" s="147"/>
      <c r="U2" s="147"/>
      <c r="V2" s="147"/>
      <c r="W2" s="147"/>
      <c r="X2" s="147"/>
      <c r="Y2" s="147"/>
      <c r="Z2" s="147"/>
      <c r="AA2" s="147"/>
      <c r="AB2" s="147"/>
      <c r="AC2" s="147"/>
      <c r="AD2" s="147"/>
      <c r="AE2" s="147"/>
      <c r="AF2" s="147"/>
      <c r="AG2" s="147" t="str">
        <f aca="false">Eingabe!F7&amp;" / "&amp;Eingabe!G7</f>
        <v>Lieferant / Bestellnummer</v>
      </c>
      <c r="AH2" s="147"/>
      <c r="AI2" s="147"/>
      <c r="AJ2" s="147"/>
      <c r="AK2" s="147"/>
      <c r="AL2" s="147"/>
      <c r="AM2" s="147"/>
      <c r="AN2" s="147"/>
      <c r="AO2" s="147"/>
      <c r="AP2" s="147"/>
      <c r="AQ2" s="147"/>
      <c r="AR2" s="147"/>
      <c r="AS2" s="147"/>
      <c r="AT2" s="147"/>
      <c r="AU2" s="147"/>
      <c r="AV2" s="147"/>
      <c r="AW2" s="147"/>
      <c r="AX2" s="148" t="str">
        <f aca="false">Eingabe!H7</f>
        <v>MCd</v>
      </c>
      <c r="AY2" s="148"/>
      <c r="AZ2" s="148"/>
      <c r="BA2" s="148"/>
      <c r="BB2" s="149" t="str">
        <f aca="false">Eingabe!K7</f>
        <v>Bemerkung</v>
      </c>
      <c r="BC2" s="149"/>
      <c r="BD2" s="149"/>
      <c r="BE2" s="149"/>
      <c r="BF2" s="149"/>
      <c r="BG2" s="149"/>
      <c r="BH2" s="149"/>
      <c r="BI2" s="149"/>
      <c r="BJ2" s="149"/>
      <c r="BK2" s="149"/>
      <c r="BL2" s="149"/>
      <c r="BM2" s="149"/>
      <c r="BN2" s="149"/>
    </row>
    <row r="3" customFormat="false" ht="18.75" hidden="false" customHeight="true" outlineLevel="0" collapsed="false">
      <c r="A3" s="145"/>
      <c r="B3" s="145"/>
      <c r="C3" s="145"/>
      <c r="D3" s="145"/>
      <c r="E3" s="146"/>
      <c r="F3" s="146"/>
      <c r="G3" s="146"/>
      <c r="H3" s="146"/>
      <c r="I3" s="146"/>
      <c r="J3" s="146"/>
      <c r="K3" s="146"/>
      <c r="L3" s="146"/>
      <c r="M3" s="147"/>
      <c r="N3" s="147"/>
      <c r="O3" s="147"/>
      <c r="P3" s="147"/>
      <c r="Q3" s="147"/>
      <c r="R3" s="147"/>
      <c r="S3" s="147"/>
      <c r="T3" s="147"/>
      <c r="U3" s="147"/>
      <c r="V3" s="147"/>
      <c r="W3" s="147"/>
      <c r="X3" s="147"/>
      <c r="Y3" s="147"/>
      <c r="Z3" s="147"/>
      <c r="AA3" s="147"/>
      <c r="AB3" s="147"/>
      <c r="AC3" s="147"/>
      <c r="AD3" s="147"/>
      <c r="AE3" s="147"/>
      <c r="AF3" s="147"/>
      <c r="AG3" s="147"/>
      <c r="AH3" s="147"/>
      <c r="AI3" s="147"/>
      <c r="AJ3" s="147"/>
      <c r="AK3" s="147"/>
      <c r="AL3" s="147"/>
      <c r="AM3" s="147"/>
      <c r="AN3" s="147"/>
      <c r="AO3" s="147"/>
      <c r="AP3" s="147"/>
      <c r="AQ3" s="147"/>
      <c r="AR3" s="147"/>
      <c r="AS3" s="147"/>
      <c r="AT3" s="147"/>
      <c r="AU3" s="147"/>
      <c r="AV3" s="147"/>
      <c r="AW3" s="147"/>
      <c r="AX3" s="148"/>
      <c r="AY3" s="148"/>
      <c r="AZ3" s="148"/>
      <c r="BA3" s="148"/>
      <c r="BB3" s="149"/>
      <c r="BC3" s="149"/>
      <c r="BD3" s="149"/>
      <c r="BE3" s="149"/>
      <c r="BF3" s="149"/>
      <c r="BG3" s="149"/>
      <c r="BH3" s="149"/>
      <c r="BI3" s="149"/>
      <c r="BJ3" s="149"/>
      <c r="BK3" s="149"/>
      <c r="BL3" s="149"/>
      <c r="BM3" s="149"/>
      <c r="BN3" s="149"/>
    </row>
    <row r="4" s="156" customFormat="true" ht="25.5" hidden="false" customHeight="true" outlineLevel="0" collapsed="false">
      <c r="A4" s="150" t="str">
        <f aca="false">IF(Eingabe!A108="","",Eingabe!A108)</f>
        <v/>
      </c>
      <c r="B4" s="150"/>
      <c r="C4" s="150"/>
      <c r="D4" s="150"/>
      <c r="E4" s="151" t="str">
        <f aca="false">IF(Eingabe!B108="","",Eingabe!B108)</f>
        <v/>
      </c>
      <c r="F4" s="151"/>
      <c r="G4" s="151"/>
      <c r="H4" s="151"/>
      <c r="I4" s="152" t="str">
        <f aca="false">IF(Eingabe!C108="","",Eingabe!C108)</f>
        <v/>
      </c>
      <c r="J4" s="152"/>
      <c r="K4" s="152"/>
      <c r="L4" s="152"/>
      <c r="M4" s="153" t="str">
        <f aca="false">IF(Eingabe!D108&amp;""&amp;Eingabe!E108="","",Eingabe!D108&amp;" 
"&amp;Eingabe!E108)</f>
        <v/>
      </c>
      <c r="N4" s="153"/>
      <c r="O4" s="153"/>
      <c r="P4" s="153"/>
      <c r="Q4" s="153"/>
      <c r="R4" s="153"/>
      <c r="S4" s="153"/>
      <c r="T4" s="153"/>
      <c r="U4" s="153"/>
      <c r="V4" s="153"/>
      <c r="W4" s="153"/>
      <c r="X4" s="153"/>
      <c r="Y4" s="153"/>
      <c r="Z4" s="153"/>
      <c r="AA4" s="153"/>
      <c r="AB4" s="153"/>
      <c r="AC4" s="153"/>
      <c r="AD4" s="153"/>
      <c r="AE4" s="153"/>
      <c r="AF4" s="153"/>
      <c r="AG4" s="152" t="str">
        <f aca="false">IF(Eingabe!F108&amp;""&amp;Eingabe!G108="","",Eingabe!F108&amp;" 
"&amp;Eingabe!G108)</f>
        <v/>
      </c>
      <c r="AH4" s="152"/>
      <c r="AI4" s="152"/>
      <c r="AJ4" s="152"/>
      <c r="AK4" s="152"/>
      <c r="AL4" s="152"/>
      <c r="AM4" s="152"/>
      <c r="AN4" s="152"/>
      <c r="AO4" s="152"/>
      <c r="AP4" s="152"/>
      <c r="AQ4" s="152"/>
      <c r="AR4" s="152"/>
      <c r="AS4" s="152"/>
      <c r="AT4" s="152"/>
      <c r="AU4" s="152"/>
      <c r="AV4" s="152"/>
      <c r="AW4" s="152"/>
      <c r="AX4" s="152" t="str">
        <f aca="false">IF(Eingabe!H108="","",Eingabe!H108)</f>
        <v/>
      </c>
      <c r="AY4" s="152"/>
      <c r="AZ4" s="152"/>
      <c r="BA4" s="152"/>
      <c r="BB4" s="154" t="str">
        <f aca="false">IF(Eingabe!K108="","",Eingabe!K108)</f>
        <v/>
      </c>
      <c r="BC4" s="154"/>
      <c r="BD4" s="154"/>
      <c r="BE4" s="154"/>
      <c r="BF4" s="154"/>
      <c r="BG4" s="154"/>
      <c r="BH4" s="154"/>
      <c r="BI4" s="154"/>
      <c r="BJ4" s="154"/>
      <c r="BK4" s="154"/>
      <c r="BL4" s="154"/>
      <c r="BM4" s="154"/>
      <c r="BN4" s="154"/>
      <c r="BO4" s="155"/>
      <c r="BP4" s="155"/>
      <c r="BQ4" s="155"/>
      <c r="BR4" s="155"/>
      <c r="BS4" s="155"/>
      <c r="BT4" s="155"/>
      <c r="BU4" s="155"/>
      <c r="BV4" s="155"/>
      <c r="BW4" s="155"/>
      <c r="BX4" s="155"/>
      <c r="BY4" s="155"/>
      <c r="BZ4" s="155"/>
      <c r="CA4" s="155"/>
      <c r="CB4" s="155"/>
      <c r="CC4" s="155"/>
      <c r="CD4" s="155"/>
      <c r="CE4" s="155"/>
      <c r="CF4" s="155"/>
      <c r="CG4" s="155"/>
      <c r="CH4" s="155"/>
      <c r="CI4" s="155"/>
      <c r="CJ4" s="155"/>
      <c r="CK4" s="155"/>
      <c r="CL4" s="155"/>
      <c r="CM4" s="155"/>
      <c r="CN4" s="155"/>
      <c r="CO4" s="155"/>
      <c r="CP4" s="155"/>
      <c r="CQ4" s="155"/>
      <c r="CR4" s="155"/>
      <c r="CS4" s="155"/>
      <c r="CT4" s="155"/>
      <c r="CU4" s="155"/>
      <c r="CV4" s="155"/>
      <c r="CW4" s="155"/>
      <c r="CX4" s="155"/>
      <c r="CY4" s="155"/>
      <c r="CZ4" s="155"/>
      <c r="DA4" s="155"/>
      <c r="DB4" s="155"/>
      <c r="DC4" s="155"/>
      <c r="DD4" s="155"/>
      <c r="DE4" s="155"/>
      <c r="DF4" s="155"/>
      <c r="DG4" s="155"/>
      <c r="DH4" s="155"/>
      <c r="DI4" s="155"/>
      <c r="DJ4" s="155"/>
      <c r="DK4" s="155"/>
      <c r="DL4" s="155"/>
      <c r="DM4" s="155"/>
      <c r="DN4" s="155"/>
      <c r="DO4" s="155"/>
      <c r="DP4" s="155"/>
      <c r="DQ4" s="155"/>
      <c r="DR4" s="155"/>
      <c r="DS4" s="155"/>
      <c r="DT4" s="155"/>
      <c r="DU4" s="155"/>
      <c r="DV4" s="155"/>
      <c r="DW4" s="155"/>
      <c r="DX4" s="155"/>
      <c r="DY4" s="155"/>
      <c r="DZ4" s="155"/>
      <c r="EA4" s="155"/>
      <c r="EB4" s="155"/>
      <c r="EC4" s="155"/>
      <c r="ED4" s="155"/>
      <c r="EE4" s="155"/>
      <c r="EF4" s="155"/>
      <c r="EG4" s="155"/>
      <c r="EH4" s="155"/>
      <c r="EI4" s="155"/>
      <c r="EJ4" s="155"/>
      <c r="EK4" s="155"/>
      <c r="EL4" s="155"/>
      <c r="EM4" s="155"/>
      <c r="EN4" s="155"/>
      <c r="EO4" s="155"/>
      <c r="EP4" s="155"/>
      <c r="EQ4" s="155"/>
      <c r="ER4" s="155"/>
      <c r="ES4" s="155"/>
      <c r="ET4" s="155"/>
      <c r="EU4" s="155"/>
      <c r="EV4" s="155"/>
      <c r="EW4" s="155"/>
      <c r="EX4" s="155"/>
      <c r="EY4" s="155"/>
      <c r="EZ4" s="155"/>
      <c r="FA4" s="155"/>
      <c r="FB4" s="155"/>
      <c r="FC4" s="155"/>
      <c r="FD4" s="155"/>
      <c r="FE4" s="155"/>
      <c r="FF4" s="155"/>
      <c r="FG4" s="155"/>
      <c r="FH4" s="155"/>
      <c r="FI4" s="155"/>
      <c r="FJ4" s="155"/>
      <c r="FK4" s="155"/>
      <c r="FL4" s="155"/>
      <c r="FM4" s="155"/>
      <c r="FN4" s="155"/>
      <c r="FO4" s="155"/>
      <c r="FP4" s="155"/>
      <c r="FQ4" s="155"/>
      <c r="FR4" s="155"/>
      <c r="FS4" s="155"/>
      <c r="FT4" s="155"/>
      <c r="FU4" s="155"/>
      <c r="FV4" s="155"/>
      <c r="FW4" s="155"/>
      <c r="FX4" s="155"/>
      <c r="FY4" s="155"/>
      <c r="FZ4" s="155"/>
      <c r="GA4" s="155"/>
      <c r="GB4" s="155"/>
      <c r="GC4" s="155"/>
      <c r="GD4" s="155"/>
      <c r="GE4" s="155"/>
      <c r="GF4" s="155"/>
      <c r="GG4" s="155"/>
      <c r="GH4" s="155"/>
      <c r="GI4" s="155"/>
      <c r="GJ4" s="155"/>
      <c r="GK4" s="155"/>
      <c r="GL4" s="155"/>
      <c r="GM4" s="155"/>
      <c r="GN4" s="155"/>
      <c r="GO4" s="155"/>
      <c r="GP4" s="155"/>
      <c r="GQ4" s="155"/>
      <c r="GR4" s="155"/>
      <c r="GS4" s="155"/>
      <c r="GT4" s="155"/>
      <c r="GU4" s="155"/>
      <c r="GV4" s="155"/>
      <c r="GW4" s="155"/>
      <c r="GX4" s="155"/>
      <c r="GY4" s="155"/>
      <c r="GZ4" s="155"/>
      <c r="HA4" s="155"/>
      <c r="HB4" s="155"/>
      <c r="HC4" s="155"/>
      <c r="HD4" s="155"/>
      <c r="HE4" s="155"/>
      <c r="HF4" s="155"/>
      <c r="HG4" s="155"/>
      <c r="HH4" s="155"/>
      <c r="HI4" s="155"/>
      <c r="HJ4" s="155"/>
      <c r="HK4" s="155"/>
      <c r="HL4" s="155"/>
      <c r="HM4" s="155"/>
      <c r="HN4" s="155"/>
      <c r="HO4" s="155"/>
      <c r="HP4" s="155"/>
      <c r="HQ4" s="155"/>
      <c r="HR4" s="155"/>
      <c r="HS4" s="155"/>
      <c r="HT4" s="155"/>
      <c r="HU4" s="155"/>
      <c r="HV4" s="155"/>
      <c r="HW4" s="155"/>
      <c r="HX4" s="155"/>
      <c r="HY4" s="155"/>
      <c r="HZ4" s="155"/>
      <c r="IA4" s="155"/>
      <c r="IB4" s="155"/>
      <c r="IC4" s="155"/>
      <c r="ID4" s="155"/>
      <c r="IE4" s="155"/>
      <c r="IF4" s="155"/>
      <c r="IG4" s="155"/>
      <c r="IH4" s="155"/>
      <c r="II4" s="155"/>
      <c r="IJ4" s="155"/>
      <c r="IK4" s="155"/>
      <c r="IL4" s="155"/>
      <c r="IM4" s="155"/>
      <c r="IN4" s="155"/>
      <c r="IO4" s="155"/>
      <c r="IP4" s="155"/>
      <c r="IQ4" s="155"/>
      <c r="IR4" s="155"/>
      <c r="IS4" s="155"/>
      <c r="IT4" s="155"/>
      <c r="IU4" s="155"/>
      <c r="IV4" s="155"/>
    </row>
    <row r="5" s="156" customFormat="true" ht="25.5" hidden="false" customHeight="true" outlineLevel="0" collapsed="false">
      <c r="A5" s="157" t="str">
        <f aca="false">IF(Eingabe!A109="","",Eingabe!A109)</f>
        <v/>
      </c>
      <c r="B5" s="157"/>
      <c r="C5" s="157"/>
      <c r="D5" s="157"/>
      <c r="E5" s="158" t="str">
        <f aca="false">IF(Eingabe!B109="","",Eingabe!B109)</f>
        <v/>
      </c>
      <c r="F5" s="158"/>
      <c r="G5" s="158"/>
      <c r="H5" s="158"/>
      <c r="I5" s="159" t="str">
        <f aca="false">IF(Eingabe!C109="","",Eingabe!C109)</f>
        <v/>
      </c>
      <c r="J5" s="159"/>
      <c r="K5" s="159"/>
      <c r="L5" s="159"/>
      <c r="M5" s="160" t="str">
        <f aca="false">IF(Eingabe!D109&amp;""&amp;Eingabe!E109="","",Eingabe!D109&amp;" 
"&amp;Eingabe!E109)</f>
        <v/>
      </c>
      <c r="N5" s="160"/>
      <c r="O5" s="160"/>
      <c r="P5" s="160"/>
      <c r="Q5" s="160"/>
      <c r="R5" s="160"/>
      <c r="S5" s="160"/>
      <c r="T5" s="160"/>
      <c r="U5" s="160"/>
      <c r="V5" s="160"/>
      <c r="W5" s="160"/>
      <c r="X5" s="160"/>
      <c r="Y5" s="160"/>
      <c r="Z5" s="160"/>
      <c r="AA5" s="160"/>
      <c r="AB5" s="160"/>
      <c r="AC5" s="160"/>
      <c r="AD5" s="160"/>
      <c r="AE5" s="160"/>
      <c r="AF5" s="160"/>
      <c r="AG5" s="159" t="str">
        <f aca="false">IF(Eingabe!F109&amp;""&amp;Eingabe!G109="","",Eingabe!F109&amp;" 
"&amp;Eingabe!G109)</f>
        <v/>
      </c>
      <c r="AH5" s="159"/>
      <c r="AI5" s="159"/>
      <c r="AJ5" s="159"/>
      <c r="AK5" s="159"/>
      <c r="AL5" s="159"/>
      <c r="AM5" s="159"/>
      <c r="AN5" s="159"/>
      <c r="AO5" s="159"/>
      <c r="AP5" s="159"/>
      <c r="AQ5" s="159"/>
      <c r="AR5" s="159"/>
      <c r="AS5" s="159"/>
      <c r="AT5" s="159"/>
      <c r="AU5" s="159"/>
      <c r="AV5" s="159"/>
      <c r="AW5" s="159"/>
      <c r="AX5" s="159" t="str">
        <f aca="false">IF(Eingabe!H109="","",Eingabe!H109)</f>
        <v/>
      </c>
      <c r="AY5" s="159"/>
      <c r="AZ5" s="159"/>
      <c r="BA5" s="159"/>
      <c r="BB5" s="161" t="str">
        <f aca="false">IF(Eingabe!K109="","",Eingabe!K109)</f>
        <v/>
      </c>
      <c r="BC5" s="161"/>
      <c r="BD5" s="161"/>
      <c r="BE5" s="161"/>
      <c r="BF5" s="161"/>
      <c r="BG5" s="161"/>
      <c r="BH5" s="161"/>
      <c r="BI5" s="161"/>
      <c r="BJ5" s="161"/>
      <c r="BK5" s="161"/>
      <c r="BL5" s="161"/>
      <c r="BM5" s="161"/>
      <c r="BN5" s="161"/>
      <c r="BO5" s="155"/>
      <c r="BP5" s="155"/>
      <c r="BQ5" s="155"/>
      <c r="BR5" s="155"/>
      <c r="BS5" s="155"/>
      <c r="BT5" s="155"/>
      <c r="BU5" s="155"/>
      <c r="BV5" s="155"/>
      <c r="BW5" s="155"/>
      <c r="BX5" s="155"/>
      <c r="BY5" s="155"/>
      <c r="BZ5" s="155"/>
      <c r="CA5" s="155"/>
      <c r="CB5" s="155"/>
      <c r="CC5" s="155"/>
      <c r="CD5" s="155"/>
      <c r="CE5" s="155"/>
      <c r="CF5" s="155"/>
      <c r="CG5" s="155"/>
      <c r="CH5" s="155"/>
      <c r="CI5" s="155"/>
      <c r="CJ5" s="155"/>
      <c r="CK5" s="155"/>
      <c r="CL5" s="155"/>
      <c r="CM5" s="155"/>
      <c r="CN5" s="155"/>
      <c r="CO5" s="155"/>
      <c r="CP5" s="155"/>
      <c r="CQ5" s="155"/>
      <c r="CR5" s="155"/>
      <c r="CS5" s="155"/>
      <c r="CT5" s="155"/>
      <c r="CU5" s="155"/>
      <c r="CV5" s="155"/>
      <c r="CW5" s="155"/>
      <c r="CX5" s="155"/>
      <c r="CY5" s="155"/>
      <c r="CZ5" s="155"/>
      <c r="DA5" s="155"/>
      <c r="DB5" s="155"/>
      <c r="DC5" s="155"/>
      <c r="DD5" s="155"/>
      <c r="DE5" s="155"/>
      <c r="DF5" s="155"/>
      <c r="DG5" s="155"/>
      <c r="DH5" s="155"/>
      <c r="DI5" s="155"/>
      <c r="DJ5" s="155"/>
      <c r="DK5" s="155"/>
      <c r="DL5" s="155"/>
      <c r="DM5" s="155"/>
      <c r="DN5" s="155"/>
      <c r="DO5" s="155"/>
      <c r="DP5" s="155"/>
      <c r="DQ5" s="155"/>
      <c r="DR5" s="155"/>
      <c r="DS5" s="155"/>
      <c r="DT5" s="155"/>
      <c r="DU5" s="155"/>
      <c r="DV5" s="155"/>
      <c r="DW5" s="155"/>
      <c r="DX5" s="155"/>
      <c r="DY5" s="155"/>
      <c r="DZ5" s="155"/>
      <c r="EA5" s="155"/>
      <c r="EB5" s="155"/>
      <c r="EC5" s="155"/>
      <c r="ED5" s="155"/>
      <c r="EE5" s="155"/>
      <c r="EF5" s="155"/>
      <c r="EG5" s="155"/>
      <c r="EH5" s="155"/>
      <c r="EI5" s="155"/>
      <c r="EJ5" s="155"/>
      <c r="EK5" s="155"/>
      <c r="EL5" s="155"/>
      <c r="EM5" s="155"/>
      <c r="EN5" s="155"/>
      <c r="EO5" s="155"/>
      <c r="EP5" s="155"/>
      <c r="EQ5" s="155"/>
      <c r="ER5" s="155"/>
      <c r="ES5" s="155"/>
      <c r="ET5" s="155"/>
      <c r="EU5" s="155"/>
      <c r="EV5" s="155"/>
      <c r="EW5" s="155"/>
      <c r="EX5" s="155"/>
      <c r="EY5" s="155"/>
      <c r="EZ5" s="155"/>
      <c r="FA5" s="155"/>
      <c r="FB5" s="155"/>
      <c r="FC5" s="155"/>
      <c r="FD5" s="155"/>
      <c r="FE5" s="155"/>
      <c r="FF5" s="155"/>
      <c r="FG5" s="155"/>
      <c r="FH5" s="155"/>
      <c r="FI5" s="155"/>
      <c r="FJ5" s="155"/>
      <c r="FK5" s="155"/>
      <c r="FL5" s="155"/>
      <c r="FM5" s="155"/>
      <c r="FN5" s="155"/>
      <c r="FO5" s="155"/>
      <c r="FP5" s="155"/>
      <c r="FQ5" s="155"/>
      <c r="FR5" s="155"/>
      <c r="FS5" s="155"/>
      <c r="FT5" s="155"/>
      <c r="FU5" s="155"/>
      <c r="FV5" s="155"/>
      <c r="FW5" s="155"/>
      <c r="FX5" s="155"/>
      <c r="FY5" s="155"/>
      <c r="FZ5" s="155"/>
      <c r="GA5" s="155"/>
      <c r="GB5" s="155"/>
      <c r="GC5" s="155"/>
      <c r="GD5" s="155"/>
      <c r="GE5" s="155"/>
      <c r="GF5" s="155"/>
      <c r="GG5" s="155"/>
      <c r="GH5" s="155"/>
      <c r="GI5" s="155"/>
      <c r="GJ5" s="155"/>
      <c r="GK5" s="155"/>
      <c r="GL5" s="155"/>
      <c r="GM5" s="155"/>
      <c r="GN5" s="155"/>
      <c r="GO5" s="155"/>
      <c r="GP5" s="155"/>
      <c r="GQ5" s="155"/>
      <c r="GR5" s="155"/>
      <c r="GS5" s="155"/>
      <c r="GT5" s="155"/>
      <c r="GU5" s="155"/>
      <c r="GV5" s="155"/>
      <c r="GW5" s="155"/>
      <c r="GX5" s="155"/>
      <c r="GY5" s="155"/>
      <c r="GZ5" s="155"/>
      <c r="HA5" s="155"/>
      <c r="HB5" s="155"/>
      <c r="HC5" s="155"/>
      <c r="HD5" s="155"/>
      <c r="HE5" s="155"/>
      <c r="HF5" s="155"/>
      <c r="HG5" s="155"/>
      <c r="HH5" s="155"/>
      <c r="HI5" s="155"/>
      <c r="HJ5" s="155"/>
      <c r="HK5" s="155"/>
      <c r="HL5" s="155"/>
      <c r="HM5" s="155"/>
      <c r="HN5" s="155"/>
      <c r="HO5" s="155"/>
      <c r="HP5" s="155"/>
      <c r="HQ5" s="155"/>
      <c r="HR5" s="155"/>
      <c r="HS5" s="155"/>
      <c r="HT5" s="155"/>
      <c r="HU5" s="155"/>
      <c r="HV5" s="155"/>
      <c r="HW5" s="155"/>
      <c r="HX5" s="155"/>
      <c r="HY5" s="155"/>
      <c r="HZ5" s="155"/>
      <c r="IA5" s="155"/>
      <c r="IB5" s="155"/>
      <c r="IC5" s="155"/>
      <c r="ID5" s="155"/>
      <c r="IE5" s="155"/>
      <c r="IF5" s="155"/>
      <c r="IG5" s="155"/>
      <c r="IH5" s="155"/>
      <c r="II5" s="155"/>
      <c r="IJ5" s="155"/>
      <c r="IK5" s="155"/>
      <c r="IL5" s="155"/>
      <c r="IM5" s="155"/>
      <c r="IN5" s="155"/>
      <c r="IO5" s="155"/>
      <c r="IP5" s="155"/>
      <c r="IQ5" s="155"/>
      <c r="IR5" s="155"/>
      <c r="IS5" s="155"/>
      <c r="IT5" s="155"/>
      <c r="IU5" s="155"/>
      <c r="IV5" s="155"/>
    </row>
    <row r="6" s="156" customFormat="true" ht="25.5" hidden="false" customHeight="true" outlineLevel="0" collapsed="false">
      <c r="A6" s="157" t="str">
        <f aca="false">IF(Eingabe!A110="","",Eingabe!A110)</f>
        <v/>
      </c>
      <c r="B6" s="157"/>
      <c r="C6" s="157"/>
      <c r="D6" s="157"/>
      <c r="E6" s="158" t="str">
        <f aca="false">IF(Eingabe!B110="","",Eingabe!B110)</f>
        <v/>
      </c>
      <c r="F6" s="158"/>
      <c r="G6" s="158"/>
      <c r="H6" s="158"/>
      <c r="I6" s="159" t="str">
        <f aca="false">IF(Eingabe!C110="","",Eingabe!C110)</f>
        <v/>
      </c>
      <c r="J6" s="159"/>
      <c r="K6" s="159"/>
      <c r="L6" s="159"/>
      <c r="M6" s="160" t="str">
        <f aca="false">IF(Eingabe!D110&amp;""&amp;Eingabe!E110="","",Eingabe!D110&amp;" 
"&amp;Eingabe!E110)</f>
        <v/>
      </c>
      <c r="N6" s="160"/>
      <c r="O6" s="160"/>
      <c r="P6" s="160"/>
      <c r="Q6" s="160"/>
      <c r="R6" s="160"/>
      <c r="S6" s="160"/>
      <c r="T6" s="160"/>
      <c r="U6" s="160"/>
      <c r="V6" s="160"/>
      <c r="W6" s="160"/>
      <c r="X6" s="160"/>
      <c r="Y6" s="160"/>
      <c r="Z6" s="160"/>
      <c r="AA6" s="160"/>
      <c r="AB6" s="160"/>
      <c r="AC6" s="160"/>
      <c r="AD6" s="160"/>
      <c r="AE6" s="160"/>
      <c r="AF6" s="160"/>
      <c r="AG6" s="159" t="str">
        <f aca="false">IF(Eingabe!F110&amp;""&amp;Eingabe!G110="","",Eingabe!F110&amp;" 
"&amp;Eingabe!G110)</f>
        <v/>
      </c>
      <c r="AH6" s="159"/>
      <c r="AI6" s="159"/>
      <c r="AJ6" s="159"/>
      <c r="AK6" s="159"/>
      <c r="AL6" s="159"/>
      <c r="AM6" s="159"/>
      <c r="AN6" s="159"/>
      <c r="AO6" s="159"/>
      <c r="AP6" s="159"/>
      <c r="AQ6" s="159"/>
      <c r="AR6" s="159"/>
      <c r="AS6" s="159"/>
      <c r="AT6" s="159"/>
      <c r="AU6" s="159"/>
      <c r="AV6" s="159"/>
      <c r="AW6" s="159"/>
      <c r="AX6" s="159" t="str">
        <f aca="false">IF(Eingabe!H110="","",Eingabe!H110)</f>
        <v/>
      </c>
      <c r="AY6" s="159"/>
      <c r="AZ6" s="159"/>
      <c r="BA6" s="159"/>
      <c r="BB6" s="161" t="str">
        <f aca="false">IF(Eingabe!K110="","",Eingabe!K110)</f>
        <v/>
      </c>
      <c r="BC6" s="161"/>
      <c r="BD6" s="161"/>
      <c r="BE6" s="161"/>
      <c r="BF6" s="161"/>
      <c r="BG6" s="161"/>
      <c r="BH6" s="161"/>
      <c r="BI6" s="161"/>
      <c r="BJ6" s="161"/>
      <c r="BK6" s="161"/>
      <c r="BL6" s="161"/>
      <c r="BM6" s="161"/>
      <c r="BN6" s="161"/>
      <c r="BO6" s="155"/>
      <c r="BP6" s="155"/>
      <c r="BQ6" s="155"/>
      <c r="BR6" s="155"/>
      <c r="BS6" s="155"/>
      <c r="BT6" s="155"/>
      <c r="BU6" s="155"/>
      <c r="BV6" s="155"/>
      <c r="BW6" s="155"/>
      <c r="BX6" s="155"/>
      <c r="BY6" s="155"/>
      <c r="BZ6" s="155"/>
      <c r="CA6" s="155"/>
      <c r="CB6" s="155"/>
      <c r="CC6" s="155"/>
      <c r="CD6" s="155"/>
      <c r="CE6" s="155"/>
      <c r="CF6" s="155"/>
      <c r="CG6" s="155"/>
      <c r="CH6" s="155"/>
      <c r="CI6" s="155"/>
      <c r="CJ6" s="155"/>
      <c r="CK6" s="155"/>
      <c r="CL6" s="155"/>
      <c r="CM6" s="155"/>
      <c r="CN6" s="155"/>
      <c r="CO6" s="155"/>
      <c r="CP6" s="155"/>
      <c r="CQ6" s="155"/>
      <c r="CR6" s="155"/>
      <c r="CS6" s="155"/>
      <c r="CT6" s="155"/>
      <c r="CU6" s="155"/>
      <c r="CV6" s="155"/>
      <c r="CW6" s="155"/>
      <c r="CX6" s="155"/>
      <c r="CY6" s="155"/>
      <c r="CZ6" s="155"/>
      <c r="DA6" s="155"/>
      <c r="DB6" s="155"/>
      <c r="DC6" s="155"/>
      <c r="DD6" s="155"/>
      <c r="DE6" s="155"/>
      <c r="DF6" s="155"/>
      <c r="DG6" s="155"/>
      <c r="DH6" s="155"/>
      <c r="DI6" s="155"/>
      <c r="DJ6" s="155"/>
      <c r="DK6" s="155"/>
      <c r="DL6" s="155"/>
      <c r="DM6" s="155"/>
      <c r="DN6" s="155"/>
      <c r="DO6" s="155"/>
      <c r="DP6" s="155"/>
      <c r="DQ6" s="155"/>
      <c r="DR6" s="155"/>
      <c r="DS6" s="155"/>
      <c r="DT6" s="155"/>
      <c r="DU6" s="155"/>
      <c r="DV6" s="155"/>
      <c r="DW6" s="155"/>
      <c r="DX6" s="155"/>
      <c r="DY6" s="155"/>
      <c r="DZ6" s="155"/>
      <c r="EA6" s="155"/>
      <c r="EB6" s="155"/>
      <c r="EC6" s="155"/>
      <c r="ED6" s="155"/>
      <c r="EE6" s="155"/>
      <c r="EF6" s="155"/>
      <c r="EG6" s="155"/>
      <c r="EH6" s="155"/>
      <c r="EI6" s="155"/>
      <c r="EJ6" s="155"/>
      <c r="EK6" s="155"/>
      <c r="EL6" s="155"/>
      <c r="EM6" s="155"/>
      <c r="EN6" s="155"/>
      <c r="EO6" s="155"/>
      <c r="EP6" s="155"/>
      <c r="EQ6" s="155"/>
      <c r="ER6" s="155"/>
      <c r="ES6" s="155"/>
      <c r="ET6" s="155"/>
      <c r="EU6" s="155"/>
      <c r="EV6" s="155"/>
      <c r="EW6" s="155"/>
      <c r="EX6" s="155"/>
      <c r="EY6" s="155"/>
      <c r="EZ6" s="155"/>
      <c r="FA6" s="155"/>
      <c r="FB6" s="155"/>
      <c r="FC6" s="155"/>
      <c r="FD6" s="155"/>
      <c r="FE6" s="155"/>
      <c r="FF6" s="155"/>
      <c r="FG6" s="155"/>
      <c r="FH6" s="155"/>
      <c r="FI6" s="155"/>
      <c r="FJ6" s="155"/>
      <c r="FK6" s="155"/>
      <c r="FL6" s="155"/>
      <c r="FM6" s="155"/>
      <c r="FN6" s="155"/>
      <c r="FO6" s="155"/>
      <c r="FP6" s="155"/>
      <c r="FQ6" s="155"/>
      <c r="FR6" s="155"/>
      <c r="FS6" s="155"/>
      <c r="FT6" s="155"/>
      <c r="FU6" s="155"/>
      <c r="FV6" s="155"/>
      <c r="FW6" s="155"/>
      <c r="FX6" s="155"/>
      <c r="FY6" s="155"/>
      <c r="FZ6" s="155"/>
      <c r="GA6" s="155"/>
      <c r="GB6" s="155"/>
      <c r="GC6" s="155"/>
      <c r="GD6" s="155"/>
      <c r="GE6" s="155"/>
      <c r="GF6" s="155"/>
      <c r="GG6" s="155"/>
      <c r="GH6" s="155"/>
      <c r="GI6" s="155"/>
      <c r="GJ6" s="155"/>
      <c r="GK6" s="155"/>
      <c r="GL6" s="155"/>
      <c r="GM6" s="155"/>
      <c r="GN6" s="155"/>
      <c r="GO6" s="155"/>
      <c r="GP6" s="155"/>
      <c r="GQ6" s="155"/>
      <c r="GR6" s="155"/>
      <c r="GS6" s="155"/>
      <c r="GT6" s="155"/>
      <c r="GU6" s="155"/>
      <c r="GV6" s="155"/>
      <c r="GW6" s="155"/>
      <c r="GX6" s="155"/>
      <c r="GY6" s="155"/>
      <c r="GZ6" s="155"/>
      <c r="HA6" s="155"/>
      <c r="HB6" s="155"/>
      <c r="HC6" s="155"/>
      <c r="HD6" s="155"/>
      <c r="HE6" s="155"/>
      <c r="HF6" s="155"/>
      <c r="HG6" s="155"/>
      <c r="HH6" s="155"/>
      <c r="HI6" s="155"/>
      <c r="HJ6" s="155"/>
      <c r="HK6" s="155"/>
      <c r="HL6" s="155"/>
      <c r="HM6" s="155"/>
      <c r="HN6" s="155"/>
      <c r="HO6" s="155"/>
      <c r="HP6" s="155"/>
      <c r="HQ6" s="155"/>
      <c r="HR6" s="155"/>
      <c r="HS6" s="155"/>
      <c r="HT6" s="155"/>
      <c r="HU6" s="155"/>
      <c r="HV6" s="155"/>
      <c r="HW6" s="155"/>
      <c r="HX6" s="155"/>
      <c r="HY6" s="155"/>
      <c r="HZ6" s="155"/>
      <c r="IA6" s="155"/>
      <c r="IB6" s="155"/>
      <c r="IC6" s="155"/>
      <c r="ID6" s="155"/>
      <c r="IE6" s="155"/>
      <c r="IF6" s="155"/>
      <c r="IG6" s="155"/>
      <c r="IH6" s="155"/>
      <c r="II6" s="155"/>
      <c r="IJ6" s="155"/>
      <c r="IK6" s="155"/>
      <c r="IL6" s="155"/>
      <c r="IM6" s="155"/>
      <c r="IN6" s="155"/>
      <c r="IO6" s="155"/>
      <c r="IP6" s="155"/>
      <c r="IQ6" s="155"/>
      <c r="IR6" s="155"/>
      <c r="IS6" s="155"/>
      <c r="IT6" s="155"/>
      <c r="IU6" s="155"/>
      <c r="IV6" s="155"/>
    </row>
    <row r="7" s="156" customFormat="true" ht="25.5" hidden="false" customHeight="true" outlineLevel="0" collapsed="false">
      <c r="A7" s="157" t="str">
        <f aca="false">IF(Eingabe!A111="","",Eingabe!A111)</f>
        <v/>
      </c>
      <c r="B7" s="157"/>
      <c r="C7" s="157"/>
      <c r="D7" s="157"/>
      <c r="E7" s="158" t="str">
        <f aca="false">IF(Eingabe!B111="","",Eingabe!B111)</f>
        <v/>
      </c>
      <c r="F7" s="158"/>
      <c r="G7" s="158"/>
      <c r="H7" s="158"/>
      <c r="I7" s="159" t="str">
        <f aca="false">IF(Eingabe!C111="","",Eingabe!C111)</f>
        <v/>
      </c>
      <c r="J7" s="159"/>
      <c r="K7" s="159"/>
      <c r="L7" s="159"/>
      <c r="M7" s="160" t="str">
        <f aca="false">IF(Eingabe!D111&amp;""&amp;Eingabe!E111="","",Eingabe!D111&amp;" 
"&amp;Eingabe!E111)</f>
        <v/>
      </c>
      <c r="N7" s="160"/>
      <c r="O7" s="160"/>
      <c r="P7" s="160"/>
      <c r="Q7" s="160"/>
      <c r="R7" s="160"/>
      <c r="S7" s="160"/>
      <c r="T7" s="160"/>
      <c r="U7" s="160"/>
      <c r="V7" s="160"/>
      <c r="W7" s="160"/>
      <c r="X7" s="160"/>
      <c r="Y7" s="160"/>
      <c r="Z7" s="160"/>
      <c r="AA7" s="160"/>
      <c r="AB7" s="160"/>
      <c r="AC7" s="160"/>
      <c r="AD7" s="160"/>
      <c r="AE7" s="160"/>
      <c r="AF7" s="160"/>
      <c r="AG7" s="159" t="str">
        <f aca="false">IF(Eingabe!F111&amp;""&amp;Eingabe!G111="","",Eingabe!F111&amp;" 
"&amp;Eingabe!G111)</f>
        <v/>
      </c>
      <c r="AH7" s="159"/>
      <c r="AI7" s="159"/>
      <c r="AJ7" s="159"/>
      <c r="AK7" s="159"/>
      <c r="AL7" s="159"/>
      <c r="AM7" s="159"/>
      <c r="AN7" s="159"/>
      <c r="AO7" s="159"/>
      <c r="AP7" s="159"/>
      <c r="AQ7" s="159"/>
      <c r="AR7" s="159"/>
      <c r="AS7" s="159"/>
      <c r="AT7" s="159"/>
      <c r="AU7" s="159"/>
      <c r="AV7" s="159"/>
      <c r="AW7" s="159"/>
      <c r="AX7" s="159" t="str">
        <f aca="false">IF(Eingabe!H111="","",Eingabe!H111)</f>
        <v/>
      </c>
      <c r="AY7" s="159"/>
      <c r="AZ7" s="159"/>
      <c r="BA7" s="159"/>
      <c r="BB7" s="161" t="str">
        <f aca="false">IF(Eingabe!K111="","",Eingabe!K111)</f>
        <v/>
      </c>
      <c r="BC7" s="161"/>
      <c r="BD7" s="161"/>
      <c r="BE7" s="161"/>
      <c r="BF7" s="161"/>
      <c r="BG7" s="161"/>
      <c r="BH7" s="161"/>
      <c r="BI7" s="161"/>
      <c r="BJ7" s="161"/>
      <c r="BK7" s="161"/>
      <c r="BL7" s="161"/>
      <c r="BM7" s="161"/>
      <c r="BN7" s="161"/>
      <c r="BO7" s="155"/>
      <c r="BP7" s="155"/>
      <c r="BQ7" s="155"/>
      <c r="BR7" s="155"/>
      <c r="BS7" s="155"/>
      <c r="BT7" s="155"/>
      <c r="BU7" s="155"/>
      <c r="BV7" s="155"/>
      <c r="BW7" s="155"/>
      <c r="BX7" s="155"/>
      <c r="BY7" s="155"/>
      <c r="BZ7" s="155"/>
      <c r="CA7" s="155"/>
      <c r="CB7" s="155"/>
      <c r="CC7" s="155"/>
      <c r="CD7" s="155"/>
      <c r="CE7" s="155"/>
      <c r="CF7" s="155"/>
      <c r="CG7" s="155"/>
      <c r="CH7" s="155"/>
      <c r="CI7" s="155"/>
      <c r="CJ7" s="155"/>
      <c r="CK7" s="155"/>
      <c r="CL7" s="155"/>
      <c r="CM7" s="155"/>
      <c r="CN7" s="155"/>
      <c r="CO7" s="155"/>
      <c r="CP7" s="155"/>
      <c r="CQ7" s="155"/>
      <c r="CR7" s="155"/>
      <c r="CS7" s="155"/>
      <c r="CT7" s="155"/>
      <c r="CU7" s="155"/>
      <c r="CV7" s="155"/>
      <c r="CW7" s="155"/>
      <c r="CX7" s="155"/>
      <c r="CY7" s="155"/>
      <c r="CZ7" s="155"/>
      <c r="DA7" s="155"/>
      <c r="DB7" s="155"/>
      <c r="DC7" s="155"/>
      <c r="DD7" s="155"/>
      <c r="DE7" s="155"/>
      <c r="DF7" s="155"/>
      <c r="DG7" s="155"/>
      <c r="DH7" s="155"/>
      <c r="DI7" s="155"/>
      <c r="DJ7" s="155"/>
      <c r="DK7" s="155"/>
      <c r="DL7" s="155"/>
      <c r="DM7" s="155"/>
      <c r="DN7" s="155"/>
      <c r="DO7" s="155"/>
      <c r="DP7" s="155"/>
      <c r="DQ7" s="155"/>
      <c r="DR7" s="155"/>
      <c r="DS7" s="155"/>
      <c r="DT7" s="155"/>
      <c r="DU7" s="155"/>
      <c r="DV7" s="155"/>
      <c r="DW7" s="155"/>
      <c r="DX7" s="155"/>
      <c r="DY7" s="155"/>
      <c r="DZ7" s="155"/>
      <c r="EA7" s="155"/>
      <c r="EB7" s="155"/>
      <c r="EC7" s="155"/>
      <c r="ED7" s="155"/>
      <c r="EE7" s="155"/>
      <c r="EF7" s="155"/>
      <c r="EG7" s="155"/>
      <c r="EH7" s="155"/>
      <c r="EI7" s="155"/>
      <c r="EJ7" s="155"/>
      <c r="EK7" s="155"/>
      <c r="EL7" s="155"/>
      <c r="EM7" s="155"/>
      <c r="EN7" s="155"/>
      <c r="EO7" s="155"/>
      <c r="EP7" s="155"/>
      <c r="EQ7" s="155"/>
      <c r="ER7" s="155"/>
      <c r="ES7" s="155"/>
      <c r="ET7" s="155"/>
      <c r="EU7" s="155"/>
      <c r="EV7" s="155"/>
      <c r="EW7" s="155"/>
      <c r="EX7" s="155"/>
      <c r="EY7" s="155"/>
      <c r="EZ7" s="155"/>
      <c r="FA7" s="155"/>
      <c r="FB7" s="155"/>
      <c r="FC7" s="155"/>
      <c r="FD7" s="155"/>
      <c r="FE7" s="155"/>
      <c r="FF7" s="155"/>
      <c r="FG7" s="155"/>
      <c r="FH7" s="155"/>
      <c r="FI7" s="155"/>
      <c r="FJ7" s="155"/>
      <c r="FK7" s="155"/>
      <c r="FL7" s="155"/>
      <c r="FM7" s="155"/>
      <c r="FN7" s="155"/>
      <c r="FO7" s="155"/>
      <c r="FP7" s="155"/>
      <c r="FQ7" s="155"/>
      <c r="FR7" s="155"/>
      <c r="FS7" s="155"/>
      <c r="FT7" s="155"/>
      <c r="FU7" s="155"/>
      <c r="FV7" s="155"/>
      <c r="FW7" s="155"/>
      <c r="FX7" s="155"/>
      <c r="FY7" s="155"/>
      <c r="FZ7" s="155"/>
      <c r="GA7" s="155"/>
      <c r="GB7" s="155"/>
      <c r="GC7" s="155"/>
      <c r="GD7" s="155"/>
      <c r="GE7" s="155"/>
      <c r="GF7" s="155"/>
      <c r="GG7" s="155"/>
      <c r="GH7" s="155"/>
      <c r="GI7" s="155"/>
      <c r="GJ7" s="155"/>
      <c r="GK7" s="155"/>
      <c r="GL7" s="155"/>
      <c r="GM7" s="155"/>
      <c r="GN7" s="155"/>
      <c r="GO7" s="155"/>
      <c r="GP7" s="155"/>
      <c r="GQ7" s="155"/>
      <c r="GR7" s="155"/>
      <c r="GS7" s="155"/>
      <c r="GT7" s="155"/>
      <c r="GU7" s="155"/>
      <c r="GV7" s="155"/>
      <c r="GW7" s="155"/>
      <c r="GX7" s="155"/>
      <c r="GY7" s="155"/>
      <c r="GZ7" s="155"/>
      <c r="HA7" s="155"/>
      <c r="HB7" s="155"/>
      <c r="HC7" s="155"/>
      <c r="HD7" s="155"/>
      <c r="HE7" s="155"/>
      <c r="HF7" s="155"/>
      <c r="HG7" s="155"/>
      <c r="HH7" s="155"/>
      <c r="HI7" s="155"/>
      <c r="HJ7" s="155"/>
      <c r="HK7" s="155"/>
      <c r="HL7" s="155"/>
      <c r="HM7" s="155"/>
      <c r="HN7" s="155"/>
      <c r="HO7" s="155"/>
      <c r="HP7" s="155"/>
      <c r="HQ7" s="155"/>
      <c r="HR7" s="155"/>
      <c r="HS7" s="155"/>
      <c r="HT7" s="155"/>
      <c r="HU7" s="155"/>
      <c r="HV7" s="155"/>
      <c r="HW7" s="155"/>
      <c r="HX7" s="155"/>
      <c r="HY7" s="155"/>
      <c r="HZ7" s="155"/>
      <c r="IA7" s="155"/>
      <c r="IB7" s="155"/>
      <c r="IC7" s="155"/>
      <c r="ID7" s="155"/>
      <c r="IE7" s="155"/>
      <c r="IF7" s="155"/>
      <c r="IG7" s="155"/>
      <c r="IH7" s="155"/>
      <c r="II7" s="155"/>
      <c r="IJ7" s="155"/>
      <c r="IK7" s="155"/>
      <c r="IL7" s="155"/>
      <c r="IM7" s="155"/>
      <c r="IN7" s="155"/>
      <c r="IO7" s="155"/>
      <c r="IP7" s="155"/>
      <c r="IQ7" s="155"/>
      <c r="IR7" s="155"/>
      <c r="IS7" s="155"/>
      <c r="IT7" s="155"/>
      <c r="IU7" s="155"/>
      <c r="IV7" s="155"/>
    </row>
    <row r="8" s="156" customFormat="true" ht="25.5" hidden="false" customHeight="true" outlineLevel="0" collapsed="false">
      <c r="A8" s="157" t="str">
        <f aca="false">IF(Eingabe!A112="","",Eingabe!A112)</f>
        <v/>
      </c>
      <c r="B8" s="157"/>
      <c r="C8" s="157"/>
      <c r="D8" s="157"/>
      <c r="E8" s="158" t="str">
        <f aca="false">IF(Eingabe!B112="","",Eingabe!B112)</f>
        <v/>
      </c>
      <c r="F8" s="158"/>
      <c r="G8" s="158"/>
      <c r="H8" s="158"/>
      <c r="I8" s="159" t="str">
        <f aca="false">IF(Eingabe!C112="","",Eingabe!C112)</f>
        <v/>
      </c>
      <c r="J8" s="159"/>
      <c r="K8" s="159"/>
      <c r="L8" s="159"/>
      <c r="M8" s="160" t="str">
        <f aca="false">IF(Eingabe!D112&amp;""&amp;Eingabe!E112="","",Eingabe!D112&amp;" 
"&amp;Eingabe!E112)</f>
        <v/>
      </c>
      <c r="N8" s="160"/>
      <c r="O8" s="160"/>
      <c r="P8" s="160"/>
      <c r="Q8" s="160"/>
      <c r="R8" s="160"/>
      <c r="S8" s="160"/>
      <c r="T8" s="160"/>
      <c r="U8" s="160"/>
      <c r="V8" s="160"/>
      <c r="W8" s="160"/>
      <c r="X8" s="160"/>
      <c r="Y8" s="160"/>
      <c r="Z8" s="160"/>
      <c r="AA8" s="160"/>
      <c r="AB8" s="160"/>
      <c r="AC8" s="160"/>
      <c r="AD8" s="160"/>
      <c r="AE8" s="160"/>
      <c r="AF8" s="160"/>
      <c r="AG8" s="159" t="str">
        <f aca="false">IF(Eingabe!F112&amp;""&amp;Eingabe!G112="","",Eingabe!F112&amp;" 
"&amp;Eingabe!G112)</f>
        <v/>
      </c>
      <c r="AH8" s="159"/>
      <c r="AI8" s="159"/>
      <c r="AJ8" s="159"/>
      <c r="AK8" s="159"/>
      <c r="AL8" s="159"/>
      <c r="AM8" s="159"/>
      <c r="AN8" s="159"/>
      <c r="AO8" s="159"/>
      <c r="AP8" s="159"/>
      <c r="AQ8" s="159"/>
      <c r="AR8" s="159"/>
      <c r="AS8" s="159"/>
      <c r="AT8" s="159"/>
      <c r="AU8" s="159"/>
      <c r="AV8" s="159"/>
      <c r="AW8" s="159"/>
      <c r="AX8" s="159" t="str">
        <f aca="false">IF(Eingabe!H112="","",Eingabe!H112)</f>
        <v/>
      </c>
      <c r="AY8" s="159"/>
      <c r="AZ8" s="159"/>
      <c r="BA8" s="159"/>
      <c r="BB8" s="161" t="str">
        <f aca="false">IF(Eingabe!K112="","",Eingabe!K112)</f>
        <v/>
      </c>
      <c r="BC8" s="161"/>
      <c r="BD8" s="161"/>
      <c r="BE8" s="161"/>
      <c r="BF8" s="161"/>
      <c r="BG8" s="161"/>
      <c r="BH8" s="161"/>
      <c r="BI8" s="161"/>
      <c r="BJ8" s="161"/>
      <c r="BK8" s="161"/>
      <c r="BL8" s="161"/>
      <c r="BM8" s="161"/>
      <c r="BN8" s="161"/>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c r="CR8" s="155"/>
      <c r="CS8" s="155"/>
      <c r="CT8" s="155"/>
      <c r="CU8" s="155"/>
      <c r="CV8" s="155"/>
      <c r="CW8" s="155"/>
      <c r="CX8" s="155"/>
      <c r="CY8" s="155"/>
      <c r="CZ8" s="155"/>
      <c r="DA8" s="155"/>
      <c r="DB8" s="155"/>
      <c r="DC8" s="155"/>
      <c r="DD8" s="155"/>
      <c r="DE8" s="155"/>
      <c r="DF8" s="155"/>
      <c r="DG8" s="155"/>
      <c r="DH8" s="155"/>
      <c r="DI8" s="155"/>
      <c r="DJ8" s="155"/>
      <c r="DK8" s="155"/>
      <c r="DL8" s="155"/>
      <c r="DM8" s="155"/>
      <c r="DN8" s="155"/>
      <c r="DO8" s="155"/>
      <c r="DP8" s="155"/>
      <c r="DQ8" s="155"/>
      <c r="DR8" s="155"/>
      <c r="DS8" s="155"/>
      <c r="DT8" s="155"/>
      <c r="DU8" s="155"/>
      <c r="DV8" s="155"/>
      <c r="DW8" s="155"/>
      <c r="DX8" s="155"/>
      <c r="DY8" s="155"/>
      <c r="DZ8" s="155"/>
      <c r="EA8" s="155"/>
      <c r="EB8" s="155"/>
      <c r="EC8" s="155"/>
      <c r="ED8" s="155"/>
      <c r="EE8" s="155"/>
      <c r="EF8" s="155"/>
      <c r="EG8" s="155"/>
      <c r="EH8" s="155"/>
      <c r="EI8" s="155"/>
      <c r="EJ8" s="155"/>
      <c r="EK8" s="155"/>
      <c r="EL8" s="155"/>
      <c r="EM8" s="155"/>
      <c r="EN8" s="155"/>
      <c r="EO8" s="155"/>
      <c r="EP8" s="155"/>
      <c r="EQ8" s="155"/>
      <c r="ER8" s="155"/>
      <c r="ES8" s="155"/>
      <c r="ET8" s="155"/>
      <c r="EU8" s="155"/>
      <c r="EV8" s="155"/>
      <c r="EW8" s="155"/>
      <c r="EX8" s="155"/>
      <c r="EY8" s="155"/>
      <c r="EZ8" s="155"/>
      <c r="FA8" s="155"/>
      <c r="FB8" s="155"/>
      <c r="FC8" s="155"/>
      <c r="FD8" s="155"/>
      <c r="FE8" s="155"/>
      <c r="FF8" s="155"/>
      <c r="FG8" s="155"/>
      <c r="FH8" s="155"/>
      <c r="FI8" s="155"/>
      <c r="FJ8" s="155"/>
      <c r="FK8" s="155"/>
      <c r="FL8" s="155"/>
      <c r="FM8" s="155"/>
      <c r="FN8" s="155"/>
      <c r="FO8" s="155"/>
      <c r="FP8" s="155"/>
      <c r="FQ8" s="155"/>
      <c r="FR8" s="155"/>
      <c r="FS8" s="155"/>
      <c r="FT8" s="155"/>
      <c r="FU8" s="155"/>
      <c r="FV8" s="155"/>
      <c r="FW8" s="155"/>
      <c r="FX8" s="155"/>
      <c r="FY8" s="155"/>
      <c r="FZ8" s="155"/>
      <c r="GA8" s="155"/>
      <c r="GB8" s="155"/>
      <c r="GC8" s="155"/>
      <c r="GD8" s="155"/>
      <c r="GE8" s="155"/>
      <c r="GF8" s="155"/>
      <c r="GG8" s="155"/>
      <c r="GH8" s="155"/>
      <c r="GI8" s="155"/>
      <c r="GJ8" s="155"/>
      <c r="GK8" s="155"/>
      <c r="GL8" s="155"/>
      <c r="GM8" s="155"/>
      <c r="GN8" s="155"/>
      <c r="GO8" s="155"/>
      <c r="GP8" s="155"/>
      <c r="GQ8" s="155"/>
      <c r="GR8" s="155"/>
      <c r="GS8" s="155"/>
      <c r="GT8" s="155"/>
      <c r="GU8" s="155"/>
      <c r="GV8" s="155"/>
      <c r="GW8" s="155"/>
      <c r="GX8" s="155"/>
      <c r="GY8" s="155"/>
      <c r="GZ8" s="155"/>
      <c r="HA8" s="155"/>
      <c r="HB8" s="155"/>
      <c r="HC8" s="155"/>
      <c r="HD8" s="155"/>
      <c r="HE8" s="155"/>
      <c r="HF8" s="155"/>
      <c r="HG8" s="155"/>
      <c r="HH8" s="155"/>
      <c r="HI8" s="155"/>
      <c r="HJ8" s="155"/>
      <c r="HK8" s="155"/>
      <c r="HL8" s="155"/>
      <c r="HM8" s="155"/>
      <c r="HN8" s="155"/>
      <c r="HO8" s="155"/>
      <c r="HP8" s="155"/>
      <c r="HQ8" s="155"/>
      <c r="HR8" s="155"/>
      <c r="HS8" s="155"/>
      <c r="HT8" s="155"/>
      <c r="HU8" s="155"/>
      <c r="HV8" s="155"/>
      <c r="HW8" s="155"/>
      <c r="HX8" s="155"/>
      <c r="HY8" s="155"/>
      <c r="HZ8" s="155"/>
      <c r="IA8" s="155"/>
      <c r="IB8" s="155"/>
      <c r="IC8" s="155"/>
      <c r="ID8" s="155"/>
      <c r="IE8" s="155"/>
      <c r="IF8" s="155"/>
      <c r="IG8" s="155"/>
      <c r="IH8" s="155"/>
      <c r="II8" s="155"/>
      <c r="IJ8" s="155"/>
      <c r="IK8" s="155"/>
      <c r="IL8" s="155"/>
      <c r="IM8" s="155"/>
      <c r="IN8" s="155"/>
      <c r="IO8" s="155"/>
      <c r="IP8" s="155"/>
      <c r="IQ8" s="155"/>
      <c r="IR8" s="155"/>
      <c r="IS8" s="155"/>
      <c r="IT8" s="155"/>
      <c r="IU8" s="155"/>
      <c r="IV8" s="155"/>
    </row>
    <row r="9" s="156" customFormat="true" ht="25.5" hidden="false" customHeight="true" outlineLevel="0" collapsed="false">
      <c r="A9" s="157" t="str">
        <f aca="false">IF(Eingabe!A113="","",Eingabe!A113)</f>
        <v/>
      </c>
      <c r="B9" s="157"/>
      <c r="C9" s="157"/>
      <c r="D9" s="157"/>
      <c r="E9" s="158" t="str">
        <f aca="false">IF(Eingabe!B113="","",Eingabe!B113)</f>
        <v/>
      </c>
      <c r="F9" s="158"/>
      <c r="G9" s="158"/>
      <c r="H9" s="158"/>
      <c r="I9" s="159" t="str">
        <f aca="false">IF(Eingabe!C113="","",Eingabe!C113)</f>
        <v/>
      </c>
      <c r="J9" s="159"/>
      <c r="K9" s="159"/>
      <c r="L9" s="159"/>
      <c r="M9" s="160" t="str">
        <f aca="false">IF(Eingabe!D113&amp;""&amp;Eingabe!E113="","",Eingabe!D113&amp;" 
"&amp;Eingabe!E113)</f>
        <v/>
      </c>
      <c r="N9" s="160"/>
      <c r="O9" s="160"/>
      <c r="P9" s="160"/>
      <c r="Q9" s="160"/>
      <c r="R9" s="160"/>
      <c r="S9" s="160"/>
      <c r="T9" s="160"/>
      <c r="U9" s="160"/>
      <c r="V9" s="160"/>
      <c r="W9" s="160"/>
      <c r="X9" s="160"/>
      <c r="Y9" s="160"/>
      <c r="Z9" s="160"/>
      <c r="AA9" s="160"/>
      <c r="AB9" s="160"/>
      <c r="AC9" s="160"/>
      <c r="AD9" s="160"/>
      <c r="AE9" s="160"/>
      <c r="AF9" s="160"/>
      <c r="AG9" s="159" t="str">
        <f aca="false">IF(Eingabe!F113&amp;""&amp;Eingabe!G113="","",Eingabe!F113&amp;" 
"&amp;Eingabe!G113)</f>
        <v/>
      </c>
      <c r="AH9" s="159"/>
      <c r="AI9" s="159"/>
      <c r="AJ9" s="159"/>
      <c r="AK9" s="159"/>
      <c r="AL9" s="159"/>
      <c r="AM9" s="159"/>
      <c r="AN9" s="159"/>
      <c r="AO9" s="159"/>
      <c r="AP9" s="159"/>
      <c r="AQ9" s="159"/>
      <c r="AR9" s="159"/>
      <c r="AS9" s="159"/>
      <c r="AT9" s="159"/>
      <c r="AU9" s="159"/>
      <c r="AV9" s="159"/>
      <c r="AW9" s="159"/>
      <c r="AX9" s="159" t="str">
        <f aca="false">IF(Eingabe!H113="","",Eingabe!H113)</f>
        <v/>
      </c>
      <c r="AY9" s="159"/>
      <c r="AZ9" s="159"/>
      <c r="BA9" s="159"/>
      <c r="BB9" s="161" t="str">
        <f aca="false">IF(Eingabe!K113="","",Eingabe!K113)</f>
        <v/>
      </c>
      <c r="BC9" s="161"/>
      <c r="BD9" s="161"/>
      <c r="BE9" s="161"/>
      <c r="BF9" s="161"/>
      <c r="BG9" s="161"/>
      <c r="BH9" s="161"/>
      <c r="BI9" s="161"/>
      <c r="BJ9" s="161"/>
      <c r="BK9" s="161"/>
      <c r="BL9" s="161"/>
      <c r="BM9" s="161"/>
      <c r="BN9" s="161"/>
      <c r="BO9" s="155"/>
      <c r="BP9" s="155"/>
      <c r="BQ9" s="155"/>
      <c r="BR9" s="155"/>
      <c r="BS9" s="155"/>
      <c r="BT9" s="155"/>
      <c r="BU9" s="155"/>
      <c r="BV9" s="155"/>
      <c r="BW9" s="155"/>
      <c r="BX9" s="155"/>
      <c r="BY9" s="155"/>
      <c r="BZ9" s="155"/>
      <c r="CA9" s="155"/>
      <c r="CB9" s="155"/>
      <c r="CC9" s="155"/>
      <c r="CD9" s="155"/>
      <c r="CE9" s="155"/>
      <c r="CF9" s="155"/>
      <c r="CG9" s="155"/>
      <c r="CH9" s="155"/>
      <c r="CI9" s="155"/>
      <c r="CJ9" s="155"/>
      <c r="CK9" s="155"/>
      <c r="CL9" s="155"/>
      <c r="CM9" s="155"/>
      <c r="CN9" s="155"/>
      <c r="CO9" s="155"/>
      <c r="CP9" s="155"/>
      <c r="CQ9" s="155"/>
      <c r="CR9" s="155"/>
      <c r="CS9" s="155"/>
      <c r="CT9" s="155"/>
      <c r="CU9" s="155"/>
      <c r="CV9" s="155"/>
      <c r="CW9" s="155"/>
      <c r="CX9" s="155"/>
      <c r="CY9" s="155"/>
      <c r="CZ9" s="155"/>
      <c r="DA9" s="155"/>
      <c r="DB9" s="155"/>
      <c r="DC9" s="155"/>
      <c r="DD9" s="155"/>
      <c r="DE9" s="155"/>
      <c r="DF9" s="155"/>
      <c r="DG9" s="155"/>
      <c r="DH9" s="155"/>
      <c r="DI9" s="155"/>
      <c r="DJ9" s="155"/>
      <c r="DK9" s="155"/>
      <c r="DL9" s="155"/>
      <c r="DM9" s="155"/>
      <c r="DN9" s="155"/>
      <c r="DO9" s="155"/>
      <c r="DP9" s="155"/>
      <c r="DQ9" s="155"/>
      <c r="DR9" s="155"/>
      <c r="DS9" s="155"/>
      <c r="DT9" s="155"/>
      <c r="DU9" s="155"/>
      <c r="DV9" s="155"/>
      <c r="DW9" s="155"/>
      <c r="DX9" s="155"/>
      <c r="DY9" s="155"/>
      <c r="DZ9" s="155"/>
      <c r="EA9" s="155"/>
      <c r="EB9" s="155"/>
      <c r="EC9" s="155"/>
      <c r="ED9" s="155"/>
      <c r="EE9" s="155"/>
      <c r="EF9" s="155"/>
      <c r="EG9" s="155"/>
      <c r="EH9" s="155"/>
      <c r="EI9" s="155"/>
      <c r="EJ9" s="155"/>
      <c r="EK9" s="155"/>
      <c r="EL9" s="155"/>
      <c r="EM9" s="155"/>
      <c r="EN9" s="155"/>
      <c r="EO9" s="155"/>
      <c r="EP9" s="155"/>
      <c r="EQ9" s="155"/>
      <c r="ER9" s="155"/>
      <c r="ES9" s="155"/>
      <c r="ET9" s="155"/>
      <c r="EU9" s="155"/>
      <c r="EV9" s="155"/>
      <c r="EW9" s="155"/>
      <c r="EX9" s="155"/>
      <c r="EY9" s="155"/>
      <c r="EZ9" s="155"/>
      <c r="FA9" s="155"/>
      <c r="FB9" s="155"/>
      <c r="FC9" s="155"/>
      <c r="FD9" s="155"/>
      <c r="FE9" s="155"/>
      <c r="FF9" s="155"/>
      <c r="FG9" s="155"/>
      <c r="FH9" s="155"/>
      <c r="FI9" s="155"/>
      <c r="FJ9" s="155"/>
      <c r="FK9" s="155"/>
      <c r="FL9" s="155"/>
      <c r="FM9" s="155"/>
      <c r="FN9" s="155"/>
      <c r="FO9" s="155"/>
      <c r="FP9" s="155"/>
      <c r="FQ9" s="155"/>
      <c r="FR9" s="155"/>
      <c r="FS9" s="155"/>
      <c r="FT9" s="155"/>
      <c r="FU9" s="155"/>
      <c r="FV9" s="155"/>
      <c r="FW9" s="155"/>
      <c r="FX9" s="155"/>
      <c r="FY9" s="155"/>
      <c r="FZ9" s="155"/>
      <c r="GA9" s="155"/>
      <c r="GB9" s="155"/>
      <c r="GC9" s="155"/>
      <c r="GD9" s="155"/>
      <c r="GE9" s="155"/>
      <c r="GF9" s="155"/>
      <c r="GG9" s="155"/>
      <c r="GH9" s="155"/>
      <c r="GI9" s="155"/>
      <c r="GJ9" s="155"/>
      <c r="GK9" s="155"/>
      <c r="GL9" s="155"/>
      <c r="GM9" s="155"/>
      <c r="GN9" s="155"/>
      <c r="GO9" s="155"/>
      <c r="GP9" s="155"/>
      <c r="GQ9" s="155"/>
      <c r="GR9" s="155"/>
      <c r="GS9" s="155"/>
      <c r="GT9" s="155"/>
      <c r="GU9" s="155"/>
      <c r="GV9" s="155"/>
      <c r="GW9" s="155"/>
      <c r="GX9" s="155"/>
      <c r="GY9" s="155"/>
      <c r="GZ9" s="155"/>
      <c r="HA9" s="155"/>
      <c r="HB9" s="155"/>
      <c r="HC9" s="155"/>
      <c r="HD9" s="155"/>
      <c r="HE9" s="155"/>
      <c r="HF9" s="155"/>
      <c r="HG9" s="155"/>
      <c r="HH9" s="155"/>
      <c r="HI9" s="155"/>
      <c r="HJ9" s="155"/>
      <c r="HK9" s="155"/>
      <c r="HL9" s="155"/>
      <c r="HM9" s="155"/>
      <c r="HN9" s="155"/>
      <c r="HO9" s="155"/>
      <c r="HP9" s="155"/>
      <c r="HQ9" s="155"/>
      <c r="HR9" s="155"/>
      <c r="HS9" s="155"/>
      <c r="HT9" s="155"/>
      <c r="HU9" s="155"/>
      <c r="HV9" s="155"/>
      <c r="HW9" s="155"/>
      <c r="HX9" s="155"/>
      <c r="HY9" s="155"/>
      <c r="HZ9" s="155"/>
      <c r="IA9" s="155"/>
      <c r="IB9" s="155"/>
      <c r="IC9" s="155"/>
      <c r="ID9" s="155"/>
      <c r="IE9" s="155"/>
      <c r="IF9" s="155"/>
      <c r="IG9" s="155"/>
      <c r="IH9" s="155"/>
      <c r="II9" s="155"/>
      <c r="IJ9" s="155"/>
      <c r="IK9" s="155"/>
      <c r="IL9" s="155"/>
      <c r="IM9" s="155"/>
      <c r="IN9" s="155"/>
      <c r="IO9" s="155"/>
      <c r="IP9" s="155"/>
      <c r="IQ9" s="155"/>
      <c r="IR9" s="155"/>
      <c r="IS9" s="155"/>
      <c r="IT9" s="155"/>
      <c r="IU9" s="155"/>
      <c r="IV9" s="155"/>
    </row>
    <row r="10" s="156" customFormat="true" ht="25.5" hidden="false" customHeight="true" outlineLevel="0" collapsed="false">
      <c r="A10" s="157" t="str">
        <f aca="false">IF(Eingabe!A114="","",Eingabe!A114)</f>
        <v/>
      </c>
      <c r="B10" s="157"/>
      <c r="C10" s="157"/>
      <c r="D10" s="157"/>
      <c r="E10" s="158" t="str">
        <f aca="false">IF(Eingabe!B114="","",Eingabe!B114)</f>
        <v/>
      </c>
      <c r="F10" s="158"/>
      <c r="G10" s="158"/>
      <c r="H10" s="158"/>
      <c r="I10" s="159" t="str">
        <f aca="false">IF(Eingabe!C114="","",Eingabe!C114)</f>
        <v/>
      </c>
      <c r="J10" s="159"/>
      <c r="K10" s="159"/>
      <c r="L10" s="159"/>
      <c r="M10" s="160" t="str">
        <f aca="false">IF(Eingabe!D114&amp;""&amp;Eingabe!E114="","",Eingabe!D114&amp;" 
"&amp;Eingabe!E114)</f>
        <v/>
      </c>
      <c r="N10" s="160"/>
      <c r="O10" s="160"/>
      <c r="P10" s="160"/>
      <c r="Q10" s="160"/>
      <c r="R10" s="160"/>
      <c r="S10" s="160"/>
      <c r="T10" s="160"/>
      <c r="U10" s="160"/>
      <c r="V10" s="160"/>
      <c r="W10" s="160"/>
      <c r="X10" s="160"/>
      <c r="Y10" s="160"/>
      <c r="Z10" s="160"/>
      <c r="AA10" s="160"/>
      <c r="AB10" s="160"/>
      <c r="AC10" s="160"/>
      <c r="AD10" s="160"/>
      <c r="AE10" s="160"/>
      <c r="AF10" s="160"/>
      <c r="AG10" s="159" t="str">
        <f aca="false">IF(Eingabe!F114&amp;""&amp;Eingabe!G114="","",Eingabe!F114&amp;" 
"&amp;Eingabe!G114)</f>
        <v/>
      </c>
      <c r="AH10" s="159"/>
      <c r="AI10" s="159"/>
      <c r="AJ10" s="159"/>
      <c r="AK10" s="159"/>
      <c r="AL10" s="159"/>
      <c r="AM10" s="159"/>
      <c r="AN10" s="159"/>
      <c r="AO10" s="159"/>
      <c r="AP10" s="159"/>
      <c r="AQ10" s="159"/>
      <c r="AR10" s="159"/>
      <c r="AS10" s="159"/>
      <c r="AT10" s="159"/>
      <c r="AU10" s="159"/>
      <c r="AV10" s="159"/>
      <c r="AW10" s="159"/>
      <c r="AX10" s="159" t="str">
        <f aca="false">IF(Eingabe!H114="","",Eingabe!H114)</f>
        <v/>
      </c>
      <c r="AY10" s="159"/>
      <c r="AZ10" s="159"/>
      <c r="BA10" s="159"/>
      <c r="BB10" s="161" t="str">
        <f aca="false">IF(Eingabe!K114="","",Eingabe!K114)</f>
        <v/>
      </c>
      <c r="BC10" s="161"/>
      <c r="BD10" s="161"/>
      <c r="BE10" s="161"/>
      <c r="BF10" s="161"/>
      <c r="BG10" s="161"/>
      <c r="BH10" s="161"/>
      <c r="BI10" s="161"/>
      <c r="BJ10" s="161"/>
      <c r="BK10" s="161"/>
      <c r="BL10" s="161"/>
      <c r="BM10" s="161"/>
      <c r="BN10" s="161"/>
      <c r="BO10" s="155"/>
      <c r="BP10" s="155"/>
      <c r="BQ10" s="155"/>
      <c r="BR10" s="155"/>
      <c r="BS10" s="155"/>
      <c r="BT10" s="155"/>
      <c r="BU10" s="155"/>
      <c r="BV10" s="155"/>
      <c r="BW10" s="155"/>
      <c r="BX10" s="155"/>
      <c r="BY10" s="155"/>
      <c r="BZ10" s="155"/>
      <c r="CA10" s="155"/>
      <c r="CB10" s="155"/>
      <c r="CC10" s="155"/>
      <c r="CD10" s="155"/>
      <c r="CE10" s="155"/>
      <c r="CF10" s="155"/>
      <c r="CG10" s="155"/>
      <c r="CH10" s="155"/>
      <c r="CI10" s="155"/>
      <c r="CJ10" s="155"/>
      <c r="CK10" s="155"/>
      <c r="CL10" s="155"/>
      <c r="CM10" s="155"/>
      <c r="CN10" s="155"/>
      <c r="CO10" s="155"/>
      <c r="CP10" s="155"/>
      <c r="CQ10" s="155"/>
      <c r="CR10" s="155"/>
      <c r="CS10" s="155"/>
      <c r="CT10" s="155"/>
      <c r="CU10" s="155"/>
      <c r="CV10" s="155"/>
      <c r="CW10" s="155"/>
      <c r="CX10" s="155"/>
      <c r="CY10" s="155"/>
      <c r="CZ10" s="155"/>
      <c r="DA10" s="155"/>
      <c r="DB10" s="155"/>
      <c r="DC10" s="155"/>
      <c r="DD10" s="155"/>
      <c r="DE10" s="155"/>
      <c r="DF10" s="155"/>
      <c r="DG10" s="155"/>
      <c r="DH10" s="155"/>
      <c r="DI10" s="155"/>
      <c r="DJ10" s="155"/>
      <c r="DK10" s="155"/>
      <c r="DL10" s="155"/>
      <c r="DM10" s="155"/>
      <c r="DN10" s="155"/>
      <c r="DO10" s="155"/>
      <c r="DP10" s="155"/>
      <c r="DQ10" s="155"/>
      <c r="DR10" s="155"/>
      <c r="DS10" s="155"/>
      <c r="DT10" s="155"/>
      <c r="DU10" s="155"/>
      <c r="DV10" s="155"/>
      <c r="DW10" s="155"/>
      <c r="DX10" s="155"/>
      <c r="DY10" s="155"/>
      <c r="DZ10" s="155"/>
      <c r="EA10" s="155"/>
      <c r="EB10" s="155"/>
      <c r="EC10" s="155"/>
      <c r="ED10" s="155"/>
      <c r="EE10" s="155"/>
      <c r="EF10" s="155"/>
      <c r="EG10" s="155"/>
      <c r="EH10" s="155"/>
      <c r="EI10" s="155"/>
      <c r="EJ10" s="155"/>
      <c r="EK10" s="155"/>
      <c r="EL10" s="155"/>
      <c r="EM10" s="155"/>
      <c r="EN10" s="155"/>
      <c r="EO10" s="155"/>
      <c r="EP10" s="155"/>
      <c r="EQ10" s="155"/>
      <c r="ER10" s="155"/>
      <c r="ES10" s="155"/>
      <c r="ET10" s="155"/>
      <c r="EU10" s="155"/>
      <c r="EV10" s="155"/>
      <c r="EW10" s="155"/>
      <c r="EX10" s="155"/>
      <c r="EY10" s="155"/>
      <c r="EZ10" s="155"/>
      <c r="FA10" s="155"/>
      <c r="FB10" s="155"/>
      <c r="FC10" s="155"/>
      <c r="FD10" s="155"/>
      <c r="FE10" s="155"/>
      <c r="FF10" s="155"/>
      <c r="FG10" s="155"/>
      <c r="FH10" s="155"/>
      <c r="FI10" s="155"/>
      <c r="FJ10" s="155"/>
      <c r="FK10" s="155"/>
      <c r="FL10" s="155"/>
      <c r="FM10" s="155"/>
      <c r="FN10" s="155"/>
      <c r="FO10" s="155"/>
      <c r="FP10" s="155"/>
      <c r="FQ10" s="155"/>
      <c r="FR10" s="155"/>
      <c r="FS10" s="155"/>
      <c r="FT10" s="155"/>
      <c r="FU10" s="155"/>
      <c r="FV10" s="155"/>
      <c r="FW10" s="155"/>
      <c r="FX10" s="155"/>
      <c r="FY10" s="155"/>
      <c r="FZ10" s="155"/>
      <c r="GA10" s="155"/>
      <c r="GB10" s="155"/>
      <c r="GC10" s="155"/>
      <c r="GD10" s="155"/>
      <c r="GE10" s="155"/>
      <c r="GF10" s="155"/>
      <c r="GG10" s="155"/>
      <c r="GH10" s="155"/>
      <c r="GI10" s="155"/>
      <c r="GJ10" s="155"/>
      <c r="GK10" s="155"/>
      <c r="GL10" s="155"/>
      <c r="GM10" s="155"/>
      <c r="GN10" s="155"/>
      <c r="GO10" s="155"/>
      <c r="GP10" s="155"/>
      <c r="GQ10" s="155"/>
      <c r="GR10" s="155"/>
      <c r="GS10" s="155"/>
      <c r="GT10" s="155"/>
      <c r="GU10" s="155"/>
      <c r="GV10" s="155"/>
      <c r="GW10" s="155"/>
      <c r="GX10" s="155"/>
      <c r="GY10" s="155"/>
      <c r="GZ10" s="155"/>
      <c r="HA10" s="155"/>
      <c r="HB10" s="155"/>
      <c r="HC10" s="155"/>
      <c r="HD10" s="155"/>
      <c r="HE10" s="155"/>
      <c r="HF10" s="155"/>
      <c r="HG10" s="155"/>
      <c r="HH10" s="155"/>
      <c r="HI10" s="155"/>
      <c r="HJ10" s="155"/>
      <c r="HK10" s="155"/>
      <c r="HL10" s="155"/>
      <c r="HM10" s="155"/>
      <c r="HN10" s="155"/>
      <c r="HO10" s="155"/>
      <c r="HP10" s="155"/>
      <c r="HQ10" s="155"/>
      <c r="HR10" s="155"/>
      <c r="HS10" s="155"/>
      <c r="HT10" s="155"/>
      <c r="HU10" s="155"/>
      <c r="HV10" s="155"/>
      <c r="HW10" s="155"/>
      <c r="HX10" s="155"/>
      <c r="HY10" s="155"/>
      <c r="HZ10" s="155"/>
      <c r="IA10" s="155"/>
      <c r="IB10" s="155"/>
      <c r="IC10" s="155"/>
      <c r="ID10" s="155"/>
      <c r="IE10" s="155"/>
      <c r="IF10" s="155"/>
      <c r="IG10" s="155"/>
      <c r="IH10" s="155"/>
      <c r="II10" s="155"/>
      <c r="IJ10" s="155"/>
      <c r="IK10" s="155"/>
      <c r="IL10" s="155"/>
      <c r="IM10" s="155"/>
      <c r="IN10" s="155"/>
      <c r="IO10" s="155"/>
      <c r="IP10" s="155"/>
      <c r="IQ10" s="155"/>
      <c r="IR10" s="155"/>
      <c r="IS10" s="155"/>
      <c r="IT10" s="155"/>
      <c r="IU10" s="155"/>
      <c r="IV10" s="155"/>
    </row>
    <row r="11" s="156" customFormat="true" ht="25.5" hidden="false" customHeight="true" outlineLevel="0" collapsed="false">
      <c r="A11" s="157" t="str">
        <f aca="false">IF(Eingabe!A115="","",Eingabe!A115)</f>
        <v/>
      </c>
      <c r="B11" s="157"/>
      <c r="C11" s="157"/>
      <c r="D11" s="157"/>
      <c r="E11" s="158" t="str">
        <f aca="false">IF(Eingabe!B115="","",Eingabe!B115)</f>
        <v/>
      </c>
      <c r="F11" s="158"/>
      <c r="G11" s="158"/>
      <c r="H11" s="158"/>
      <c r="I11" s="159" t="str">
        <f aca="false">IF(Eingabe!C115="","",Eingabe!C115)</f>
        <v/>
      </c>
      <c r="J11" s="159"/>
      <c r="K11" s="159"/>
      <c r="L11" s="159"/>
      <c r="M11" s="160" t="str">
        <f aca="false">IF(Eingabe!D115&amp;""&amp;Eingabe!E115="","",Eingabe!D115&amp;" 
"&amp;Eingabe!E115)</f>
        <v/>
      </c>
      <c r="N11" s="160"/>
      <c r="O11" s="160"/>
      <c r="P11" s="160"/>
      <c r="Q11" s="160"/>
      <c r="R11" s="160"/>
      <c r="S11" s="160"/>
      <c r="T11" s="160"/>
      <c r="U11" s="160"/>
      <c r="V11" s="160"/>
      <c r="W11" s="160"/>
      <c r="X11" s="160"/>
      <c r="Y11" s="160"/>
      <c r="Z11" s="160"/>
      <c r="AA11" s="160"/>
      <c r="AB11" s="160"/>
      <c r="AC11" s="160"/>
      <c r="AD11" s="160"/>
      <c r="AE11" s="160"/>
      <c r="AF11" s="160"/>
      <c r="AG11" s="159" t="str">
        <f aca="false">IF(Eingabe!F115&amp;""&amp;Eingabe!G115="","",Eingabe!F115&amp;" 
"&amp;Eingabe!G115)</f>
        <v/>
      </c>
      <c r="AH11" s="159"/>
      <c r="AI11" s="159"/>
      <c r="AJ11" s="159"/>
      <c r="AK11" s="159"/>
      <c r="AL11" s="159"/>
      <c r="AM11" s="159"/>
      <c r="AN11" s="159"/>
      <c r="AO11" s="159"/>
      <c r="AP11" s="159"/>
      <c r="AQ11" s="159"/>
      <c r="AR11" s="159"/>
      <c r="AS11" s="159"/>
      <c r="AT11" s="159"/>
      <c r="AU11" s="159"/>
      <c r="AV11" s="159"/>
      <c r="AW11" s="159"/>
      <c r="AX11" s="159" t="str">
        <f aca="false">IF(Eingabe!H115="","",Eingabe!H115)</f>
        <v/>
      </c>
      <c r="AY11" s="159"/>
      <c r="AZ11" s="159"/>
      <c r="BA11" s="159"/>
      <c r="BB11" s="161" t="str">
        <f aca="false">IF(Eingabe!K115="","",Eingabe!K115)</f>
        <v/>
      </c>
      <c r="BC11" s="161"/>
      <c r="BD11" s="161"/>
      <c r="BE11" s="161"/>
      <c r="BF11" s="161"/>
      <c r="BG11" s="161"/>
      <c r="BH11" s="161"/>
      <c r="BI11" s="161"/>
      <c r="BJ11" s="161"/>
      <c r="BK11" s="161"/>
      <c r="BL11" s="161"/>
      <c r="BM11" s="161"/>
      <c r="BN11" s="161"/>
      <c r="BO11" s="155"/>
      <c r="BP11" s="155"/>
      <c r="BQ11" s="155"/>
      <c r="BR11" s="155"/>
      <c r="BS11" s="155"/>
      <c r="BT11" s="155"/>
      <c r="BU11" s="155"/>
      <c r="BV11" s="155"/>
      <c r="BW11" s="155"/>
      <c r="BX11" s="155"/>
      <c r="BY11" s="155"/>
      <c r="BZ11" s="155"/>
      <c r="CA11" s="155"/>
      <c r="CB11" s="155"/>
      <c r="CC11" s="155"/>
      <c r="CD11" s="155"/>
      <c r="CE11" s="155"/>
      <c r="CF11" s="155"/>
      <c r="CG11" s="155"/>
      <c r="CH11" s="155"/>
      <c r="CI11" s="155"/>
      <c r="CJ11" s="155"/>
      <c r="CK11" s="155"/>
      <c r="CL11" s="155"/>
      <c r="CM11" s="155"/>
      <c r="CN11" s="155"/>
      <c r="CO11" s="155"/>
      <c r="CP11" s="155"/>
      <c r="CQ11" s="155"/>
      <c r="CR11" s="155"/>
      <c r="CS11" s="155"/>
      <c r="CT11" s="155"/>
      <c r="CU11" s="155"/>
      <c r="CV11" s="155"/>
      <c r="CW11" s="155"/>
      <c r="CX11" s="155"/>
      <c r="CY11" s="155"/>
      <c r="CZ11" s="155"/>
      <c r="DA11" s="155"/>
      <c r="DB11" s="155"/>
      <c r="DC11" s="155"/>
      <c r="DD11" s="155"/>
      <c r="DE11" s="155"/>
      <c r="DF11" s="155"/>
      <c r="DG11" s="155"/>
      <c r="DH11" s="155"/>
      <c r="DI11" s="155"/>
      <c r="DJ11" s="155"/>
      <c r="DK11" s="155"/>
      <c r="DL11" s="155"/>
      <c r="DM11" s="155"/>
      <c r="DN11" s="155"/>
      <c r="DO11" s="155"/>
      <c r="DP11" s="155"/>
      <c r="DQ11" s="155"/>
      <c r="DR11" s="155"/>
      <c r="DS11" s="155"/>
      <c r="DT11" s="155"/>
      <c r="DU11" s="155"/>
      <c r="DV11" s="155"/>
      <c r="DW11" s="155"/>
      <c r="DX11" s="155"/>
      <c r="DY11" s="155"/>
      <c r="DZ11" s="155"/>
      <c r="EA11" s="155"/>
      <c r="EB11" s="155"/>
      <c r="EC11" s="155"/>
      <c r="ED11" s="155"/>
      <c r="EE11" s="155"/>
      <c r="EF11" s="155"/>
      <c r="EG11" s="155"/>
      <c r="EH11" s="155"/>
      <c r="EI11" s="155"/>
      <c r="EJ11" s="155"/>
      <c r="EK11" s="155"/>
      <c r="EL11" s="155"/>
      <c r="EM11" s="155"/>
      <c r="EN11" s="155"/>
      <c r="EO11" s="155"/>
      <c r="EP11" s="155"/>
      <c r="EQ11" s="155"/>
      <c r="ER11" s="155"/>
      <c r="ES11" s="155"/>
      <c r="ET11" s="155"/>
      <c r="EU11" s="155"/>
      <c r="EV11" s="155"/>
      <c r="EW11" s="155"/>
      <c r="EX11" s="155"/>
      <c r="EY11" s="155"/>
      <c r="EZ11" s="155"/>
      <c r="FA11" s="155"/>
      <c r="FB11" s="155"/>
      <c r="FC11" s="155"/>
      <c r="FD11" s="155"/>
      <c r="FE11" s="155"/>
      <c r="FF11" s="155"/>
      <c r="FG11" s="155"/>
      <c r="FH11" s="155"/>
      <c r="FI11" s="155"/>
      <c r="FJ11" s="155"/>
      <c r="FK11" s="155"/>
      <c r="FL11" s="155"/>
      <c r="FM11" s="155"/>
      <c r="FN11" s="155"/>
      <c r="FO11" s="155"/>
      <c r="FP11" s="155"/>
      <c r="FQ11" s="155"/>
      <c r="FR11" s="155"/>
      <c r="FS11" s="155"/>
      <c r="FT11" s="155"/>
      <c r="FU11" s="155"/>
      <c r="FV11" s="155"/>
      <c r="FW11" s="155"/>
      <c r="FX11" s="155"/>
      <c r="FY11" s="155"/>
      <c r="FZ11" s="155"/>
      <c r="GA11" s="155"/>
      <c r="GB11" s="155"/>
      <c r="GC11" s="155"/>
      <c r="GD11" s="155"/>
      <c r="GE11" s="155"/>
      <c r="GF11" s="155"/>
      <c r="GG11" s="155"/>
      <c r="GH11" s="155"/>
      <c r="GI11" s="155"/>
      <c r="GJ11" s="155"/>
      <c r="GK11" s="155"/>
      <c r="GL11" s="155"/>
      <c r="GM11" s="155"/>
      <c r="GN11" s="155"/>
      <c r="GO11" s="155"/>
      <c r="GP11" s="155"/>
      <c r="GQ11" s="155"/>
      <c r="GR11" s="155"/>
      <c r="GS11" s="155"/>
      <c r="GT11" s="155"/>
      <c r="GU11" s="155"/>
      <c r="GV11" s="155"/>
      <c r="GW11" s="155"/>
      <c r="GX11" s="155"/>
      <c r="GY11" s="155"/>
      <c r="GZ11" s="155"/>
      <c r="HA11" s="155"/>
      <c r="HB11" s="155"/>
      <c r="HC11" s="155"/>
      <c r="HD11" s="155"/>
      <c r="HE11" s="155"/>
      <c r="HF11" s="155"/>
      <c r="HG11" s="155"/>
      <c r="HH11" s="155"/>
      <c r="HI11" s="155"/>
      <c r="HJ11" s="155"/>
      <c r="HK11" s="155"/>
      <c r="HL11" s="155"/>
      <c r="HM11" s="155"/>
      <c r="HN11" s="155"/>
      <c r="HO11" s="155"/>
      <c r="HP11" s="155"/>
      <c r="HQ11" s="155"/>
      <c r="HR11" s="155"/>
      <c r="HS11" s="155"/>
      <c r="HT11" s="155"/>
      <c r="HU11" s="155"/>
      <c r="HV11" s="155"/>
      <c r="HW11" s="155"/>
      <c r="HX11" s="155"/>
      <c r="HY11" s="155"/>
      <c r="HZ11" s="155"/>
      <c r="IA11" s="155"/>
      <c r="IB11" s="155"/>
      <c r="IC11" s="155"/>
      <c r="ID11" s="155"/>
      <c r="IE11" s="155"/>
      <c r="IF11" s="155"/>
      <c r="IG11" s="155"/>
      <c r="IH11" s="155"/>
      <c r="II11" s="155"/>
      <c r="IJ11" s="155"/>
      <c r="IK11" s="155"/>
      <c r="IL11" s="155"/>
      <c r="IM11" s="155"/>
      <c r="IN11" s="155"/>
      <c r="IO11" s="155"/>
      <c r="IP11" s="155"/>
      <c r="IQ11" s="155"/>
      <c r="IR11" s="155"/>
      <c r="IS11" s="155"/>
      <c r="IT11" s="155"/>
      <c r="IU11" s="155"/>
      <c r="IV11" s="155"/>
    </row>
    <row r="12" s="156" customFormat="true" ht="25.5" hidden="false" customHeight="true" outlineLevel="0" collapsed="false">
      <c r="A12" s="157" t="str">
        <f aca="false">IF(Eingabe!A116="","",Eingabe!A116)</f>
        <v/>
      </c>
      <c r="B12" s="157"/>
      <c r="C12" s="157"/>
      <c r="D12" s="157"/>
      <c r="E12" s="158" t="str">
        <f aca="false">IF(Eingabe!B116="","",Eingabe!B116)</f>
        <v/>
      </c>
      <c r="F12" s="158"/>
      <c r="G12" s="158"/>
      <c r="H12" s="158"/>
      <c r="I12" s="159" t="str">
        <f aca="false">IF(Eingabe!C116="","",Eingabe!C116)</f>
        <v/>
      </c>
      <c r="J12" s="159"/>
      <c r="K12" s="159"/>
      <c r="L12" s="159"/>
      <c r="M12" s="160" t="str">
        <f aca="false">IF(Eingabe!D116&amp;""&amp;Eingabe!E116="","",Eingabe!D116&amp;" 
"&amp;Eingabe!E116)</f>
        <v/>
      </c>
      <c r="N12" s="160"/>
      <c r="O12" s="160"/>
      <c r="P12" s="160"/>
      <c r="Q12" s="160"/>
      <c r="R12" s="160"/>
      <c r="S12" s="160"/>
      <c r="T12" s="160"/>
      <c r="U12" s="160"/>
      <c r="V12" s="160"/>
      <c r="W12" s="160"/>
      <c r="X12" s="160"/>
      <c r="Y12" s="160"/>
      <c r="Z12" s="160"/>
      <c r="AA12" s="160"/>
      <c r="AB12" s="160"/>
      <c r="AC12" s="160"/>
      <c r="AD12" s="160"/>
      <c r="AE12" s="160"/>
      <c r="AF12" s="160"/>
      <c r="AG12" s="159" t="str">
        <f aca="false">IF(Eingabe!F116&amp;""&amp;Eingabe!G116="","",Eingabe!F116&amp;" 
"&amp;Eingabe!G116)</f>
        <v/>
      </c>
      <c r="AH12" s="159"/>
      <c r="AI12" s="159"/>
      <c r="AJ12" s="159"/>
      <c r="AK12" s="159"/>
      <c r="AL12" s="159"/>
      <c r="AM12" s="159"/>
      <c r="AN12" s="159"/>
      <c r="AO12" s="159"/>
      <c r="AP12" s="159"/>
      <c r="AQ12" s="159"/>
      <c r="AR12" s="159"/>
      <c r="AS12" s="159"/>
      <c r="AT12" s="159"/>
      <c r="AU12" s="159"/>
      <c r="AV12" s="159"/>
      <c r="AW12" s="159"/>
      <c r="AX12" s="159" t="str">
        <f aca="false">IF(Eingabe!H116="","",Eingabe!H116)</f>
        <v/>
      </c>
      <c r="AY12" s="159"/>
      <c r="AZ12" s="159"/>
      <c r="BA12" s="159"/>
      <c r="BB12" s="161" t="str">
        <f aca="false">IF(Eingabe!K116="","",Eingabe!K116)</f>
        <v/>
      </c>
      <c r="BC12" s="161"/>
      <c r="BD12" s="161"/>
      <c r="BE12" s="161"/>
      <c r="BF12" s="161"/>
      <c r="BG12" s="161"/>
      <c r="BH12" s="161"/>
      <c r="BI12" s="161"/>
      <c r="BJ12" s="161"/>
      <c r="BK12" s="161"/>
      <c r="BL12" s="161"/>
      <c r="BM12" s="161"/>
      <c r="BN12" s="161"/>
      <c r="BO12" s="155"/>
      <c r="BP12" s="155"/>
      <c r="BQ12" s="155"/>
      <c r="BR12" s="155"/>
      <c r="BS12" s="155"/>
      <c r="BT12" s="155"/>
      <c r="BU12" s="155"/>
      <c r="BV12" s="155"/>
      <c r="BW12" s="155"/>
      <c r="BX12" s="155"/>
      <c r="BY12" s="155"/>
      <c r="BZ12" s="155"/>
      <c r="CA12" s="155"/>
      <c r="CB12" s="155"/>
      <c r="CC12" s="155"/>
      <c r="CD12" s="155"/>
      <c r="CE12" s="155"/>
      <c r="CF12" s="155"/>
      <c r="CG12" s="155"/>
      <c r="CH12" s="155"/>
      <c r="CI12" s="155"/>
      <c r="CJ12" s="155"/>
      <c r="CK12" s="155"/>
      <c r="CL12" s="155"/>
      <c r="CM12" s="155"/>
      <c r="CN12" s="155"/>
      <c r="CO12" s="155"/>
      <c r="CP12" s="155"/>
      <c r="CQ12" s="155"/>
      <c r="CR12" s="155"/>
      <c r="CS12" s="155"/>
      <c r="CT12" s="155"/>
      <c r="CU12" s="155"/>
      <c r="CV12" s="155"/>
      <c r="CW12" s="155"/>
      <c r="CX12" s="155"/>
      <c r="CY12" s="155"/>
      <c r="CZ12" s="155"/>
      <c r="DA12" s="155"/>
      <c r="DB12" s="155"/>
      <c r="DC12" s="155"/>
      <c r="DD12" s="155"/>
      <c r="DE12" s="155"/>
      <c r="DF12" s="155"/>
      <c r="DG12" s="155"/>
      <c r="DH12" s="155"/>
      <c r="DI12" s="155"/>
      <c r="DJ12" s="155"/>
      <c r="DK12" s="155"/>
      <c r="DL12" s="155"/>
      <c r="DM12" s="155"/>
      <c r="DN12" s="155"/>
      <c r="DO12" s="155"/>
      <c r="DP12" s="155"/>
      <c r="DQ12" s="155"/>
      <c r="DR12" s="155"/>
      <c r="DS12" s="155"/>
      <c r="DT12" s="155"/>
      <c r="DU12" s="155"/>
      <c r="DV12" s="155"/>
      <c r="DW12" s="155"/>
      <c r="DX12" s="155"/>
      <c r="DY12" s="155"/>
      <c r="DZ12" s="155"/>
      <c r="EA12" s="155"/>
      <c r="EB12" s="155"/>
      <c r="EC12" s="155"/>
      <c r="ED12" s="155"/>
      <c r="EE12" s="155"/>
      <c r="EF12" s="155"/>
      <c r="EG12" s="155"/>
      <c r="EH12" s="155"/>
      <c r="EI12" s="155"/>
      <c r="EJ12" s="155"/>
      <c r="EK12" s="155"/>
      <c r="EL12" s="155"/>
      <c r="EM12" s="155"/>
      <c r="EN12" s="155"/>
      <c r="EO12" s="155"/>
      <c r="EP12" s="155"/>
      <c r="EQ12" s="155"/>
      <c r="ER12" s="155"/>
      <c r="ES12" s="155"/>
      <c r="ET12" s="155"/>
      <c r="EU12" s="155"/>
      <c r="EV12" s="155"/>
      <c r="EW12" s="155"/>
      <c r="EX12" s="155"/>
      <c r="EY12" s="155"/>
      <c r="EZ12" s="155"/>
      <c r="FA12" s="155"/>
      <c r="FB12" s="155"/>
      <c r="FC12" s="155"/>
      <c r="FD12" s="155"/>
      <c r="FE12" s="155"/>
      <c r="FF12" s="155"/>
      <c r="FG12" s="155"/>
      <c r="FH12" s="155"/>
      <c r="FI12" s="155"/>
      <c r="FJ12" s="155"/>
      <c r="FK12" s="155"/>
      <c r="FL12" s="155"/>
      <c r="FM12" s="155"/>
      <c r="FN12" s="155"/>
      <c r="FO12" s="155"/>
      <c r="FP12" s="155"/>
      <c r="FQ12" s="155"/>
      <c r="FR12" s="155"/>
      <c r="FS12" s="155"/>
      <c r="FT12" s="155"/>
      <c r="FU12" s="155"/>
      <c r="FV12" s="155"/>
      <c r="FW12" s="155"/>
      <c r="FX12" s="155"/>
      <c r="FY12" s="155"/>
      <c r="FZ12" s="155"/>
      <c r="GA12" s="155"/>
      <c r="GB12" s="155"/>
      <c r="GC12" s="155"/>
      <c r="GD12" s="155"/>
      <c r="GE12" s="155"/>
      <c r="GF12" s="155"/>
      <c r="GG12" s="155"/>
      <c r="GH12" s="155"/>
      <c r="GI12" s="155"/>
      <c r="GJ12" s="155"/>
      <c r="GK12" s="155"/>
      <c r="GL12" s="155"/>
      <c r="GM12" s="155"/>
      <c r="GN12" s="155"/>
      <c r="GO12" s="155"/>
      <c r="GP12" s="155"/>
      <c r="GQ12" s="155"/>
      <c r="GR12" s="155"/>
      <c r="GS12" s="155"/>
      <c r="GT12" s="155"/>
      <c r="GU12" s="155"/>
      <c r="GV12" s="155"/>
      <c r="GW12" s="155"/>
      <c r="GX12" s="155"/>
      <c r="GY12" s="155"/>
      <c r="GZ12" s="155"/>
      <c r="HA12" s="155"/>
      <c r="HB12" s="155"/>
      <c r="HC12" s="155"/>
      <c r="HD12" s="155"/>
      <c r="HE12" s="155"/>
      <c r="HF12" s="155"/>
      <c r="HG12" s="155"/>
      <c r="HH12" s="155"/>
      <c r="HI12" s="155"/>
      <c r="HJ12" s="155"/>
      <c r="HK12" s="155"/>
      <c r="HL12" s="155"/>
      <c r="HM12" s="155"/>
      <c r="HN12" s="155"/>
      <c r="HO12" s="155"/>
      <c r="HP12" s="155"/>
      <c r="HQ12" s="155"/>
      <c r="HR12" s="155"/>
      <c r="HS12" s="155"/>
      <c r="HT12" s="155"/>
      <c r="HU12" s="155"/>
      <c r="HV12" s="155"/>
      <c r="HW12" s="155"/>
      <c r="HX12" s="155"/>
      <c r="HY12" s="155"/>
      <c r="HZ12" s="155"/>
      <c r="IA12" s="155"/>
      <c r="IB12" s="155"/>
      <c r="IC12" s="155"/>
      <c r="ID12" s="155"/>
      <c r="IE12" s="155"/>
      <c r="IF12" s="155"/>
      <c r="IG12" s="155"/>
      <c r="IH12" s="155"/>
      <c r="II12" s="155"/>
      <c r="IJ12" s="155"/>
      <c r="IK12" s="155"/>
      <c r="IL12" s="155"/>
      <c r="IM12" s="155"/>
      <c r="IN12" s="155"/>
      <c r="IO12" s="155"/>
      <c r="IP12" s="155"/>
      <c r="IQ12" s="155"/>
      <c r="IR12" s="155"/>
      <c r="IS12" s="155"/>
      <c r="IT12" s="155"/>
      <c r="IU12" s="155"/>
      <c r="IV12" s="155"/>
    </row>
    <row r="13" s="156" customFormat="true" ht="25.5" hidden="false" customHeight="true" outlineLevel="0" collapsed="false">
      <c r="A13" s="157" t="str">
        <f aca="false">IF(Eingabe!A117="","",Eingabe!A117)</f>
        <v/>
      </c>
      <c r="B13" s="157"/>
      <c r="C13" s="157"/>
      <c r="D13" s="157"/>
      <c r="E13" s="158" t="str">
        <f aca="false">IF(Eingabe!B117="","",Eingabe!B117)</f>
        <v/>
      </c>
      <c r="F13" s="158"/>
      <c r="G13" s="158"/>
      <c r="H13" s="158"/>
      <c r="I13" s="159" t="str">
        <f aca="false">IF(Eingabe!C117="","",Eingabe!C117)</f>
        <v/>
      </c>
      <c r="J13" s="159"/>
      <c r="K13" s="159"/>
      <c r="L13" s="159"/>
      <c r="M13" s="160" t="str">
        <f aca="false">IF(Eingabe!D117&amp;""&amp;Eingabe!E117="","",Eingabe!D117&amp;" 
"&amp;Eingabe!E117)</f>
        <v/>
      </c>
      <c r="N13" s="160"/>
      <c r="O13" s="160"/>
      <c r="P13" s="160"/>
      <c r="Q13" s="160"/>
      <c r="R13" s="160"/>
      <c r="S13" s="160"/>
      <c r="T13" s="160"/>
      <c r="U13" s="160"/>
      <c r="V13" s="160"/>
      <c r="W13" s="160"/>
      <c r="X13" s="160"/>
      <c r="Y13" s="160"/>
      <c r="Z13" s="160"/>
      <c r="AA13" s="160"/>
      <c r="AB13" s="160"/>
      <c r="AC13" s="160"/>
      <c r="AD13" s="160"/>
      <c r="AE13" s="160"/>
      <c r="AF13" s="160"/>
      <c r="AG13" s="159" t="str">
        <f aca="false">IF(Eingabe!F117&amp;""&amp;Eingabe!G117="","",Eingabe!F117&amp;" 
"&amp;Eingabe!G117)</f>
        <v/>
      </c>
      <c r="AH13" s="159"/>
      <c r="AI13" s="159"/>
      <c r="AJ13" s="159"/>
      <c r="AK13" s="159"/>
      <c r="AL13" s="159"/>
      <c r="AM13" s="159"/>
      <c r="AN13" s="159"/>
      <c r="AO13" s="159"/>
      <c r="AP13" s="159"/>
      <c r="AQ13" s="159"/>
      <c r="AR13" s="159"/>
      <c r="AS13" s="159"/>
      <c r="AT13" s="159"/>
      <c r="AU13" s="159"/>
      <c r="AV13" s="159"/>
      <c r="AW13" s="159"/>
      <c r="AX13" s="159" t="str">
        <f aca="false">IF(Eingabe!H117="","",Eingabe!H117)</f>
        <v/>
      </c>
      <c r="AY13" s="159"/>
      <c r="AZ13" s="159"/>
      <c r="BA13" s="159"/>
      <c r="BB13" s="161" t="str">
        <f aca="false">IF(Eingabe!K117="","",Eingabe!K117)</f>
        <v/>
      </c>
      <c r="BC13" s="161"/>
      <c r="BD13" s="161"/>
      <c r="BE13" s="161"/>
      <c r="BF13" s="161"/>
      <c r="BG13" s="161"/>
      <c r="BH13" s="161"/>
      <c r="BI13" s="161"/>
      <c r="BJ13" s="161"/>
      <c r="BK13" s="161"/>
      <c r="BL13" s="161"/>
      <c r="BM13" s="161"/>
      <c r="BN13" s="161"/>
      <c r="BO13" s="155"/>
      <c r="BP13" s="155"/>
      <c r="BQ13" s="155"/>
      <c r="BR13" s="155"/>
      <c r="BS13" s="155"/>
      <c r="BT13" s="155"/>
      <c r="BU13" s="155"/>
      <c r="BV13" s="155"/>
      <c r="BW13" s="155"/>
      <c r="BX13" s="155"/>
      <c r="BY13" s="155"/>
      <c r="BZ13" s="155"/>
      <c r="CA13" s="155"/>
      <c r="CB13" s="155"/>
      <c r="CC13" s="155"/>
      <c r="CD13" s="155"/>
      <c r="CE13" s="155"/>
      <c r="CF13" s="155"/>
      <c r="CG13" s="155"/>
      <c r="CH13" s="155"/>
      <c r="CI13" s="155"/>
      <c r="CJ13" s="155"/>
      <c r="CK13" s="155"/>
      <c r="CL13" s="155"/>
      <c r="CM13" s="155"/>
      <c r="CN13" s="155"/>
      <c r="CO13" s="155"/>
      <c r="CP13" s="155"/>
      <c r="CQ13" s="155"/>
      <c r="CR13" s="155"/>
      <c r="CS13" s="155"/>
      <c r="CT13" s="155"/>
      <c r="CU13" s="155"/>
      <c r="CV13" s="155"/>
      <c r="CW13" s="155"/>
      <c r="CX13" s="155"/>
      <c r="CY13" s="155"/>
      <c r="CZ13" s="155"/>
      <c r="DA13" s="155"/>
      <c r="DB13" s="155"/>
      <c r="DC13" s="155"/>
      <c r="DD13" s="155"/>
      <c r="DE13" s="155"/>
      <c r="DF13" s="155"/>
      <c r="DG13" s="155"/>
      <c r="DH13" s="155"/>
      <c r="DI13" s="155"/>
      <c r="DJ13" s="155"/>
      <c r="DK13" s="155"/>
      <c r="DL13" s="155"/>
      <c r="DM13" s="155"/>
      <c r="DN13" s="155"/>
      <c r="DO13" s="155"/>
      <c r="DP13" s="155"/>
      <c r="DQ13" s="155"/>
      <c r="DR13" s="155"/>
      <c r="DS13" s="155"/>
      <c r="DT13" s="155"/>
      <c r="DU13" s="155"/>
      <c r="DV13" s="155"/>
      <c r="DW13" s="155"/>
      <c r="DX13" s="155"/>
      <c r="DY13" s="155"/>
      <c r="DZ13" s="155"/>
      <c r="EA13" s="155"/>
      <c r="EB13" s="155"/>
      <c r="EC13" s="155"/>
      <c r="ED13" s="155"/>
      <c r="EE13" s="155"/>
      <c r="EF13" s="155"/>
      <c r="EG13" s="155"/>
      <c r="EH13" s="155"/>
      <c r="EI13" s="155"/>
      <c r="EJ13" s="155"/>
      <c r="EK13" s="155"/>
      <c r="EL13" s="155"/>
      <c r="EM13" s="155"/>
      <c r="EN13" s="155"/>
      <c r="EO13" s="155"/>
      <c r="EP13" s="155"/>
      <c r="EQ13" s="155"/>
      <c r="ER13" s="155"/>
      <c r="ES13" s="155"/>
      <c r="ET13" s="155"/>
      <c r="EU13" s="155"/>
      <c r="EV13" s="155"/>
      <c r="EW13" s="155"/>
      <c r="EX13" s="155"/>
      <c r="EY13" s="155"/>
      <c r="EZ13" s="155"/>
      <c r="FA13" s="155"/>
      <c r="FB13" s="155"/>
      <c r="FC13" s="155"/>
      <c r="FD13" s="155"/>
      <c r="FE13" s="155"/>
      <c r="FF13" s="155"/>
      <c r="FG13" s="155"/>
      <c r="FH13" s="155"/>
      <c r="FI13" s="155"/>
      <c r="FJ13" s="155"/>
      <c r="FK13" s="155"/>
      <c r="FL13" s="155"/>
      <c r="FM13" s="155"/>
      <c r="FN13" s="155"/>
      <c r="FO13" s="155"/>
      <c r="FP13" s="155"/>
      <c r="FQ13" s="155"/>
      <c r="FR13" s="155"/>
      <c r="FS13" s="155"/>
      <c r="FT13" s="155"/>
      <c r="FU13" s="155"/>
      <c r="FV13" s="155"/>
      <c r="FW13" s="155"/>
      <c r="FX13" s="155"/>
      <c r="FY13" s="155"/>
      <c r="FZ13" s="155"/>
      <c r="GA13" s="155"/>
      <c r="GB13" s="155"/>
      <c r="GC13" s="155"/>
      <c r="GD13" s="155"/>
      <c r="GE13" s="155"/>
      <c r="GF13" s="155"/>
      <c r="GG13" s="155"/>
      <c r="GH13" s="155"/>
      <c r="GI13" s="155"/>
      <c r="GJ13" s="155"/>
      <c r="GK13" s="155"/>
      <c r="GL13" s="155"/>
      <c r="GM13" s="155"/>
      <c r="GN13" s="155"/>
      <c r="GO13" s="155"/>
      <c r="GP13" s="155"/>
      <c r="GQ13" s="155"/>
      <c r="GR13" s="155"/>
      <c r="GS13" s="155"/>
      <c r="GT13" s="155"/>
      <c r="GU13" s="155"/>
      <c r="GV13" s="155"/>
      <c r="GW13" s="155"/>
      <c r="GX13" s="155"/>
      <c r="GY13" s="155"/>
      <c r="GZ13" s="155"/>
      <c r="HA13" s="155"/>
      <c r="HB13" s="155"/>
      <c r="HC13" s="155"/>
      <c r="HD13" s="155"/>
      <c r="HE13" s="155"/>
      <c r="HF13" s="155"/>
      <c r="HG13" s="155"/>
      <c r="HH13" s="155"/>
      <c r="HI13" s="155"/>
      <c r="HJ13" s="155"/>
      <c r="HK13" s="155"/>
      <c r="HL13" s="155"/>
      <c r="HM13" s="155"/>
      <c r="HN13" s="155"/>
      <c r="HO13" s="155"/>
      <c r="HP13" s="155"/>
      <c r="HQ13" s="155"/>
      <c r="HR13" s="155"/>
      <c r="HS13" s="155"/>
      <c r="HT13" s="155"/>
      <c r="HU13" s="155"/>
      <c r="HV13" s="155"/>
      <c r="HW13" s="155"/>
      <c r="HX13" s="155"/>
      <c r="HY13" s="155"/>
      <c r="HZ13" s="155"/>
      <c r="IA13" s="155"/>
      <c r="IB13" s="155"/>
      <c r="IC13" s="155"/>
      <c r="ID13" s="155"/>
      <c r="IE13" s="155"/>
      <c r="IF13" s="155"/>
      <c r="IG13" s="155"/>
      <c r="IH13" s="155"/>
      <c r="II13" s="155"/>
      <c r="IJ13" s="155"/>
      <c r="IK13" s="155"/>
      <c r="IL13" s="155"/>
      <c r="IM13" s="155"/>
      <c r="IN13" s="155"/>
      <c r="IO13" s="155"/>
      <c r="IP13" s="155"/>
      <c r="IQ13" s="155"/>
      <c r="IR13" s="155"/>
      <c r="IS13" s="155"/>
      <c r="IT13" s="155"/>
      <c r="IU13" s="155"/>
      <c r="IV13" s="155"/>
    </row>
    <row r="14" s="156" customFormat="true" ht="25.5" hidden="false" customHeight="true" outlineLevel="0" collapsed="false">
      <c r="A14" s="157" t="str">
        <f aca="false">IF(Eingabe!A118="","",Eingabe!A118)</f>
        <v/>
      </c>
      <c r="B14" s="157"/>
      <c r="C14" s="157"/>
      <c r="D14" s="157"/>
      <c r="E14" s="158" t="str">
        <f aca="false">IF(Eingabe!B118="","",Eingabe!B118)</f>
        <v/>
      </c>
      <c r="F14" s="158"/>
      <c r="G14" s="158"/>
      <c r="H14" s="158"/>
      <c r="I14" s="159" t="str">
        <f aca="false">IF(Eingabe!C118="","",Eingabe!C118)</f>
        <v/>
      </c>
      <c r="J14" s="159"/>
      <c r="K14" s="159"/>
      <c r="L14" s="159"/>
      <c r="M14" s="160" t="str">
        <f aca="false">IF(Eingabe!D118&amp;""&amp;Eingabe!E118="","",Eingabe!D118&amp;" 
"&amp;Eingabe!E118)</f>
        <v/>
      </c>
      <c r="N14" s="160"/>
      <c r="O14" s="160"/>
      <c r="P14" s="160"/>
      <c r="Q14" s="160"/>
      <c r="R14" s="160"/>
      <c r="S14" s="160"/>
      <c r="T14" s="160"/>
      <c r="U14" s="160"/>
      <c r="V14" s="160"/>
      <c r="W14" s="160"/>
      <c r="X14" s="160"/>
      <c r="Y14" s="160"/>
      <c r="Z14" s="160"/>
      <c r="AA14" s="160"/>
      <c r="AB14" s="160"/>
      <c r="AC14" s="160"/>
      <c r="AD14" s="160"/>
      <c r="AE14" s="160"/>
      <c r="AF14" s="160"/>
      <c r="AG14" s="159" t="str">
        <f aca="false">IF(Eingabe!F118&amp;""&amp;Eingabe!G118="","",Eingabe!F118&amp;" 
"&amp;Eingabe!G118)</f>
        <v/>
      </c>
      <c r="AH14" s="159"/>
      <c r="AI14" s="159"/>
      <c r="AJ14" s="159"/>
      <c r="AK14" s="159"/>
      <c r="AL14" s="159"/>
      <c r="AM14" s="159"/>
      <c r="AN14" s="159"/>
      <c r="AO14" s="159"/>
      <c r="AP14" s="159"/>
      <c r="AQ14" s="159"/>
      <c r="AR14" s="159"/>
      <c r="AS14" s="159"/>
      <c r="AT14" s="159"/>
      <c r="AU14" s="159"/>
      <c r="AV14" s="159"/>
      <c r="AW14" s="159"/>
      <c r="AX14" s="159" t="str">
        <f aca="false">IF(Eingabe!H118="","",Eingabe!H118)</f>
        <v/>
      </c>
      <c r="AY14" s="159"/>
      <c r="AZ14" s="159"/>
      <c r="BA14" s="159"/>
      <c r="BB14" s="161" t="str">
        <f aca="false">IF(Eingabe!K118="","",Eingabe!K118)</f>
        <v/>
      </c>
      <c r="BC14" s="161"/>
      <c r="BD14" s="161"/>
      <c r="BE14" s="161"/>
      <c r="BF14" s="161"/>
      <c r="BG14" s="161"/>
      <c r="BH14" s="161"/>
      <c r="BI14" s="161"/>
      <c r="BJ14" s="161"/>
      <c r="BK14" s="161"/>
      <c r="BL14" s="161"/>
      <c r="BM14" s="161"/>
      <c r="BN14" s="161"/>
      <c r="BO14" s="155"/>
      <c r="BP14" s="155"/>
      <c r="BQ14" s="155"/>
      <c r="BR14" s="155"/>
      <c r="BS14" s="155"/>
      <c r="BT14" s="155"/>
      <c r="BU14" s="155"/>
      <c r="BV14" s="155"/>
      <c r="BW14" s="155"/>
      <c r="BX14" s="155"/>
      <c r="BY14" s="155"/>
      <c r="BZ14" s="155"/>
      <c r="CA14" s="155"/>
      <c r="CB14" s="155"/>
      <c r="CC14" s="155"/>
      <c r="CD14" s="155"/>
      <c r="CE14" s="155"/>
      <c r="CF14" s="155"/>
      <c r="CG14" s="155"/>
      <c r="CH14" s="155"/>
      <c r="CI14" s="155"/>
      <c r="CJ14" s="155"/>
      <c r="CK14" s="155"/>
      <c r="CL14" s="155"/>
      <c r="CM14" s="155"/>
      <c r="CN14" s="155"/>
      <c r="CO14" s="155"/>
      <c r="CP14" s="155"/>
      <c r="CQ14" s="155"/>
      <c r="CR14" s="155"/>
      <c r="CS14" s="155"/>
      <c r="CT14" s="155"/>
      <c r="CU14" s="155"/>
      <c r="CV14" s="155"/>
      <c r="CW14" s="155"/>
      <c r="CX14" s="155"/>
      <c r="CY14" s="155"/>
      <c r="CZ14" s="155"/>
      <c r="DA14" s="155"/>
      <c r="DB14" s="155"/>
      <c r="DC14" s="155"/>
      <c r="DD14" s="155"/>
      <c r="DE14" s="155"/>
      <c r="DF14" s="155"/>
      <c r="DG14" s="155"/>
      <c r="DH14" s="155"/>
      <c r="DI14" s="155"/>
      <c r="DJ14" s="155"/>
      <c r="DK14" s="155"/>
      <c r="DL14" s="155"/>
      <c r="DM14" s="155"/>
      <c r="DN14" s="155"/>
      <c r="DO14" s="155"/>
      <c r="DP14" s="155"/>
      <c r="DQ14" s="155"/>
      <c r="DR14" s="155"/>
      <c r="DS14" s="155"/>
      <c r="DT14" s="155"/>
      <c r="DU14" s="155"/>
      <c r="DV14" s="155"/>
      <c r="DW14" s="155"/>
      <c r="DX14" s="155"/>
      <c r="DY14" s="155"/>
      <c r="DZ14" s="155"/>
      <c r="EA14" s="155"/>
      <c r="EB14" s="155"/>
      <c r="EC14" s="155"/>
      <c r="ED14" s="155"/>
      <c r="EE14" s="155"/>
      <c r="EF14" s="155"/>
      <c r="EG14" s="155"/>
      <c r="EH14" s="155"/>
      <c r="EI14" s="155"/>
      <c r="EJ14" s="155"/>
      <c r="EK14" s="155"/>
      <c r="EL14" s="155"/>
      <c r="EM14" s="155"/>
      <c r="EN14" s="155"/>
      <c r="EO14" s="155"/>
      <c r="EP14" s="155"/>
      <c r="EQ14" s="155"/>
      <c r="ER14" s="155"/>
      <c r="ES14" s="155"/>
      <c r="ET14" s="155"/>
      <c r="EU14" s="155"/>
      <c r="EV14" s="155"/>
      <c r="EW14" s="155"/>
      <c r="EX14" s="155"/>
      <c r="EY14" s="155"/>
      <c r="EZ14" s="155"/>
      <c r="FA14" s="155"/>
      <c r="FB14" s="155"/>
      <c r="FC14" s="155"/>
      <c r="FD14" s="155"/>
      <c r="FE14" s="155"/>
      <c r="FF14" s="155"/>
      <c r="FG14" s="155"/>
      <c r="FH14" s="155"/>
      <c r="FI14" s="155"/>
      <c r="FJ14" s="155"/>
      <c r="FK14" s="155"/>
      <c r="FL14" s="155"/>
      <c r="FM14" s="155"/>
      <c r="FN14" s="155"/>
      <c r="FO14" s="155"/>
      <c r="FP14" s="155"/>
      <c r="FQ14" s="155"/>
      <c r="FR14" s="155"/>
      <c r="FS14" s="155"/>
      <c r="FT14" s="155"/>
      <c r="FU14" s="155"/>
      <c r="FV14" s="155"/>
      <c r="FW14" s="155"/>
      <c r="FX14" s="155"/>
      <c r="FY14" s="155"/>
      <c r="FZ14" s="155"/>
      <c r="GA14" s="155"/>
      <c r="GB14" s="155"/>
      <c r="GC14" s="155"/>
      <c r="GD14" s="155"/>
      <c r="GE14" s="155"/>
      <c r="GF14" s="155"/>
      <c r="GG14" s="155"/>
      <c r="GH14" s="155"/>
      <c r="GI14" s="155"/>
      <c r="GJ14" s="155"/>
      <c r="GK14" s="155"/>
      <c r="GL14" s="155"/>
      <c r="GM14" s="155"/>
      <c r="GN14" s="155"/>
      <c r="GO14" s="155"/>
      <c r="GP14" s="155"/>
      <c r="GQ14" s="155"/>
      <c r="GR14" s="155"/>
      <c r="GS14" s="155"/>
      <c r="GT14" s="155"/>
      <c r="GU14" s="155"/>
      <c r="GV14" s="155"/>
      <c r="GW14" s="155"/>
      <c r="GX14" s="155"/>
      <c r="GY14" s="155"/>
      <c r="GZ14" s="155"/>
      <c r="HA14" s="155"/>
      <c r="HB14" s="155"/>
      <c r="HC14" s="155"/>
      <c r="HD14" s="155"/>
      <c r="HE14" s="155"/>
      <c r="HF14" s="155"/>
      <c r="HG14" s="155"/>
      <c r="HH14" s="155"/>
      <c r="HI14" s="155"/>
      <c r="HJ14" s="155"/>
      <c r="HK14" s="155"/>
      <c r="HL14" s="155"/>
      <c r="HM14" s="155"/>
      <c r="HN14" s="155"/>
      <c r="HO14" s="155"/>
      <c r="HP14" s="155"/>
      <c r="HQ14" s="155"/>
      <c r="HR14" s="155"/>
      <c r="HS14" s="155"/>
      <c r="HT14" s="155"/>
      <c r="HU14" s="155"/>
      <c r="HV14" s="155"/>
      <c r="HW14" s="155"/>
      <c r="HX14" s="155"/>
      <c r="HY14" s="155"/>
      <c r="HZ14" s="155"/>
      <c r="IA14" s="155"/>
      <c r="IB14" s="155"/>
      <c r="IC14" s="155"/>
      <c r="ID14" s="155"/>
      <c r="IE14" s="155"/>
      <c r="IF14" s="155"/>
      <c r="IG14" s="155"/>
      <c r="IH14" s="155"/>
      <c r="II14" s="155"/>
      <c r="IJ14" s="155"/>
      <c r="IK14" s="155"/>
      <c r="IL14" s="155"/>
      <c r="IM14" s="155"/>
      <c r="IN14" s="155"/>
      <c r="IO14" s="155"/>
      <c r="IP14" s="155"/>
      <c r="IQ14" s="155"/>
      <c r="IR14" s="155"/>
      <c r="IS14" s="155"/>
      <c r="IT14" s="155"/>
      <c r="IU14" s="155"/>
      <c r="IV14" s="155"/>
    </row>
    <row r="15" s="156" customFormat="true" ht="25.5" hidden="false" customHeight="true" outlineLevel="0" collapsed="false">
      <c r="A15" s="157" t="str">
        <f aca="false">IF(Eingabe!A119="","",Eingabe!A119)</f>
        <v/>
      </c>
      <c r="B15" s="157"/>
      <c r="C15" s="157"/>
      <c r="D15" s="157"/>
      <c r="E15" s="158" t="str">
        <f aca="false">IF(Eingabe!B119="","",Eingabe!B119)</f>
        <v/>
      </c>
      <c r="F15" s="158"/>
      <c r="G15" s="158"/>
      <c r="H15" s="158"/>
      <c r="I15" s="159" t="str">
        <f aca="false">IF(Eingabe!C119="","",Eingabe!C119)</f>
        <v/>
      </c>
      <c r="J15" s="159"/>
      <c r="K15" s="159"/>
      <c r="L15" s="159"/>
      <c r="M15" s="160" t="str">
        <f aca="false">IF(Eingabe!D119&amp;""&amp;Eingabe!E119="","",Eingabe!D119&amp;" 
"&amp;Eingabe!E119)</f>
        <v/>
      </c>
      <c r="N15" s="160"/>
      <c r="O15" s="160"/>
      <c r="P15" s="160"/>
      <c r="Q15" s="160"/>
      <c r="R15" s="160"/>
      <c r="S15" s="160"/>
      <c r="T15" s="160"/>
      <c r="U15" s="160"/>
      <c r="V15" s="160"/>
      <c r="W15" s="160"/>
      <c r="X15" s="160"/>
      <c r="Y15" s="160"/>
      <c r="Z15" s="160"/>
      <c r="AA15" s="160"/>
      <c r="AB15" s="160"/>
      <c r="AC15" s="160"/>
      <c r="AD15" s="160"/>
      <c r="AE15" s="160"/>
      <c r="AF15" s="160"/>
      <c r="AG15" s="159" t="str">
        <f aca="false">IF(Eingabe!F119&amp;""&amp;Eingabe!G119="","",Eingabe!F119&amp;" 
"&amp;Eingabe!G119)</f>
        <v/>
      </c>
      <c r="AH15" s="159"/>
      <c r="AI15" s="159"/>
      <c r="AJ15" s="159"/>
      <c r="AK15" s="159"/>
      <c r="AL15" s="159"/>
      <c r="AM15" s="159"/>
      <c r="AN15" s="159"/>
      <c r="AO15" s="159"/>
      <c r="AP15" s="159"/>
      <c r="AQ15" s="159"/>
      <c r="AR15" s="159"/>
      <c r="AS15" s="159"/>
      <c r="AT15" s="159"/>
      <c r="AU15" s="159"/>
      <c r="AV15" s="159"/>
      <c r="AW15" s="159"/>
      <c r="AX15" s="159" t="str">
        <f aca="false">IF(Eingabe!H119="","",Eingabe!H119)</f>
        <v/>
      </c>
      <c r="AY15" s="159"/>
      <c r="AZ15" s="159"/>
      <c r="BA15" s="159"/>
      <c r="BB15" s="161" t="str">
        <f aca="false">IF(Eingabe!K119="","",Eingabe!K119)</f>
        <v/>
      </c>
      <c r="BC15" s="161"/>
      <c r="BD15" s="161"/>
      <c r="BE15" s="161"/>
      <c r="BF15" s="161"/>
      <c r="BG15" s="161"/>
      <c r="BH15" s="161"/>
      <c r="BI15" s="161"/>
      <c r="BJ15" s="161"/>
      <c r="BK15" s="161"/>
      <c r="BL15" s="161"/>
      <c r="BM15" s="161"/>
      <c r="BN15" s="161"/>
      <c r="BO15" s="155"/>
      <c r="BP15" s="155"/>
      <c r="BQ15" s="155"/>
      <c r="BR15" s="155"/>
      <c r="BS15" s="155"/>
      <c r="BT15" s="155"/>
      <c r="BU15" s="155"/>
      <c r="BV15" s="155"/>
      <c r="BW15" s="155"/>
      <c r="BX15" s="155"/>
      <c r="BY15" s="155"/>
      <c r="BZ15" s="155"/>
      <c r="CA15" s="155"/>
      <c r="CB15" s="155"/>
      <c r="CC15" s="155"/>
      <c r="CD15" s="155"/>
      <c r="CE15" s="155"/>
      <c r="CF15" s="155"/>
      <c r="CG15" s="155"/>
      <c r="CH15" s="155"/>
      <c r="CI15" s="155"/>
      <c r="CJ15" s="155"/>
      <c r="CK15" s="155"/>
      <c r="CL15" s="155"/>
      <c r="CM15" s="155"/>
      <c r="CN15" s="155"/>
      <c r="CO15" s="155"/>
      <c r="CP15" s="155"/>
      <c r="CQ15" s="155"/>
      <c r="CR15" s="155"/>
      <c r="CS15" s="155"/>
      <c r="CT15" s="155"/>
      <c r="CU15" s="155"/>
      <c r="CV15" s="155"/>
      <c r="CW15" s="155"/>
      <c r="CX15" s="155"/>
      <c r="CY15" s="155"/>
      <c r="CZ15" s="155"/>
      <c r="DA15" s="155"/>
      <c r="DB15" s="155"/>
      <c r="DC15" s="155"/>
      <c r="DD15" s="155"/>
      <c r="DE15" s="155"/>
      <c r="DF15" s="155"/>
      <c r="DG15" s="155"/>
      <c r="DH15" s="155"/>
      <c r="DI15" s="155"/>
      <c r="DJ15" s="155"/>
      <c r="DK15" s="155"/>
      <c r="DL15" s="155"/>
      <c r="DM15" s="155"/>
      <c r="DN15" s="155"/>
      <c r="DO15" s="155"/>
      <c r="DP15" s="155"/>
      <c r="DQ15" s="155"/>
      <c r="DR15" s="155"/>
      <c r="DS15" s="155"/>
      <c r="DT15" s="155"/>
      <c r="DU15" s="155"/>
      <c r="DV15" s="155"/>
      <c r="DW15" s="155"/>
      <c r="DX15" s="155"/>
      <c r="DY15" s="155"/>
      <c r="DZ15" s="155"/>
      <c r="EA15" s="155"/>
      <c r="EB15" s="155"/>
      <c r="EC15" s="155"/>
      <c r="ED15" s="155"/>
      <c r="EE15" s="155"/>
      <c r="EF15" s="155"/>
      <c r="EG15" s="155"/>
      <c r="EH15" s="155"/>
      <c r="EI15" s="155"/>
      <c r="EJ15" s="155"/>
      <c r="EK15" s="155"/>
      <c r="EL15" s="155"/>
      <c r="EM15" s="155"/>
      <c r="EN15" s="155"/>
      <c r="EO15" s="155"/>
      <c r="EP15" s="155"/>
      <c r="EQ15" s="155"/>
      <c r="ER15" s="155"/>
      <c r="ES15" s="155"/>
      <c r="ET15" s="155"/>
      <c r="EU15" s="155"/>
      <c r="EV15" s="155"/>
      <c r="EW15" s="155"/>
      <c r="EX15" s="155"/>
      <c r="EY15" s="155"/>
      <c r="EZ15" s="155"/>
      <c r="FA15" s="155"/>
      <c r="FB15" s="155"/>
      <c r="FC15" s="155"/>
      <c r="FD15" s="155"/>
      <c r="FE15" s="155"/>
      <c r="FF15" s="155"/>
      <c r="FG15" s="155"/>
      <c r="FH15" s="155"/>
      <c r="FI15" s="155"/>
      <c r="FJ15" s="155"/>
      <c r="FK15" s="155"/>
      <c r="FL15" s="155"/>
      <c r="FM15" s="155"/>
      <c r="FN15" s="155"/>
      <c r="FO15" s="155"/>
      <c r="FP15" s="155"/>
      <c r="FQ15" s="155"/>
      <c r="FR15" s="155"/>
      <c r="FS15" s="155"/>
      <c r="FT15" s="155"/>
      <c r="FU15" s="155"/>
      <c r="FV15" s="155"/>
      <c r="FW15" s="155"/>
      <c r="FX15" s="155"/>
      <c r="FY15" s="155"/>
      <c r="FZ15" s="155"/>
      <c r="GA15" s="155"/>
      <c r="GB15" s="155"/>
      <c r="GC15" s="155"/>
      <c r="GD15" s="155"/>
      <c r="GE15" s="155"/>
      <c r="GF15" s="155"/>
      <c r="GG15" s="155"/>
      <c r="GH15" s="155"/>
      <c r="GI15" s="155"/>
      <c r="GJ15" s="155"/>
      <c r="GK15" s="155"/>
      <c r="GL15" s="155"/>
      <c r="GM15" s="155"/>
      <c r="GN15" s="155"/>
      <c r="GO15" s="155"/>
      <c r="GP15" s="155"/>
      <c r="GQ15" s="155"/>
      <c r="GR15" s="155"/>
      <c r="GS15" s="155"/>
      <c r="GT15" s="155"/>
      <c r="GU15" s="155"/>
      <c r="GV15" s="155"/>
      <c r="GW15" s="155"/>
      <c r="GX15" s="155"/>
      <c r="GY15" s="155"/>
      <c r="GZ15" s="155"/>
      <c r="HA15" s="155"/>
      <c r="HB15" s="155"/>
      <c r="HC15" s="155"/>
      <c r="HD15" s="155"/>
      <c r="HE15" s="155"/>
      <c r="HF15" s="155"/>
      <c r="HG15" s="155"/>
      <c r="HH15" s="155"/>
      <c r="HI15" s="155"/>
      <c r="HJ15" s="155"/>
      <c r="HK15" s="155"/>
      <c r="HL15" s="155"/>
      <c r="HM15" s="155"/>
      <c r="HN15" s="155"/>
      <c r="HO15" s="155"/>
      <c r="HP15" s="155"/>
      <c r="HQ15" s="155"/>
      <c r="HR15" s="155"/>
      <c r="HS15" s="155"/>
      <c r="HT15" s="155"/>
      <c r="HU15" s="155"/>
      <c r="HV15" s="155"/>
      <c r="HW15" s="155"/>
      <c r="HX15" s="155"/>
      <c r="HY15" s="155"/>
      <c r="HZ15" s="155"/>
      <c r="IA15" s="155"/>
      <c r="IB15" s="155"/>
      <c r="IC15" s="155"/>
      <c r="ID15" s="155"/>
      <c r="IE15" s="155"/>
      <c r="IF15" s="155"/>
      <c r="IG15" s="155"/>
      <c r="IH15" s="155"/>
      <c r="II15" s="155"/>
      <c r="IJ15" s="155"/>
      <c r="IK15" s="155"/>
      <c r="IL15" s="155"/>
      <c r="IM15" s="155"/>
      <c r="IN15" s="155"/>
      <c r="IO15" s="155"/>
      <c r="IP15" s="155"/>
      <c r="IQ15" s="155"/>
      <c r="IR15" s="155"/>
      <c r="IS15" s="155"/>
      <c r="IT15" s="155"/>
      <c r="IU15" s="155"/>
      <c r="IV15" s="155"/>
    </row>
    <row r="16" s="156" customFormat="true" ht="25.5" hidden="false" customHeight="true" outlineLevel="0" collapsed="false">
      <c r="A16" s="157" t="str">
        <f aca="false">IF(Eingabe!A120="","",Eingabe!A120)</f>
        <v/>
      </c>
      <c r="B16" s="157"/>
      <c r="C16" s="157"/>
      <c r="D16" s="157"/>
      <c r="E16" s="158" t="str">
        <f aca="false">IF(Eingabe!B120="","",Eingabe!B120)</f>
        <v/>
      </c>
      <c r="F16" s="158"/>
      <c r="G16" s="158"/>
      <c r="H16" s="158"/>
      <c r="I16" s="159" t="str">
        <f aca="false">IF(Eingabe!C120="","",Eingabe!C120)</f>
        <v/>
      </c>
      <c r="J16" s="159"/>
      <c r="K16" s="159"/>
      <c r="L16" s="159"/>
      <c r="M16" s="160" t="str">
        <f aca="false">IF(Eingabe!D120&amp;""&amp;Eingabe!E120="","",Eingabe!D120&amp;" 
"&amp;Eingabe!E120)</f>
        <v/>
      </c>
      <c r="N16" s="160"/>
      <c r="O16" s="160"/>
      <c r="P16" s="160"/>
      <c r="Q16" s="160"/>
      <c r="R16" s="160"/>
      <c r="S16" s="160"/>
      <c r="T16" s="160"/>
      <c r="U16" s="160"/>
      <c r="V16" s="160"/>
      <c r="W16" s="160"/>
      <c r="X16" s="160"/>
      <c r="Y16" s="160"/>
      <c r="Z16" s="160"/>
      <c r="AA16" s="160"/>
      <c r="AB16" s="160"/>
      <c r="AC16" s="160"/>
      <c r="AD16" s="160"/>
      <c r="AE16" s="160"/>
      <c r="AF16" s="160"/>
      <c r="AG16" s="159" t="str">
        <f aca="false">IF(Eingabe!F120&amp;""&amp;Eingabe!G120="","",Eingabe!F120&amp;" 
"&amp;Eingabe!G120)</f>
        <v/>
      </c>
      <c r="AH16" s="159"/>
      <c r="AI16" s="159"/>
      <c r="AJ16" s="159"/>
      <c r="AK16" s="159"/>
      <c r="AL16" s="159"/>
      <c r="AM16" s="159"/>
      <c r="AN16" s="159"/>
      <c r="AO16" s="159"/>
      <c r="AP16" s="159"/>
      <c r="AQ16" s="159"/>
      <c r="AR16" s="159"/>
      <c r="AS16" s="159"/>
      <c r="AT16" s="159"/>
      <c r="AU16" s="159"/>
      <c r="AV16" s="159"/>
      <c r="AW16" s="159"/>
      <c r="AX16" s="159" t="str">
        <f aca="false">IF(Eingabe!H120="","",Eingabe!H120)</f>
        <v/>
      </c>
      <c r="AY16" s="159"/>
      <c r="AZ16" s="159"/>
      <c r="BA16" s="159"/>
      <c r="BB16" s="161" t="str">
        <f aca="false">IF(Eingabe!K120="","",Eingabe!K120)</f>
        <v/>
      </c>
      <c r="BC16" s="161"/>
      <c r="BD16" s="161"/>
      <c r="BE16" s="161"/>
      <c r="BF16" s="161"/>
      <c r="BG16" s="161"/>
      <c r="BH16" s="161"/>
      <c r="BI16" s="161"/>
      <c r="BJ16" s="161"/>
      <c r="BK16" s="161"/>
      <c r="BL16" s="161"/>
      <c r="BM16" s="161"/>
      <c r="BN16" s="161"/>
      <c r="BO16" s="155"/>
      <c r="BP16" s="155"/>
      <c r="BQ16" s="155"/>
      <c r="BR16" s="155"/>
      <c r="BS16" s="155"/>
      <c r="BT16" s="155"/>
      <c r="BU16" s="155"/>
      <c r="BV16" s="155"/>
      <c r="BW16" s="155"/>
      <c r="BX16" s="155"/>
      <c r="BY16" s="155"/>
      <c r="BZ16" s="155"/>
      <c r="CA16" s="155"/>
      <c r="CB16" s="155"/>
      <c r="CC16" s="155"/>
      <c r="CD16" s="155"/>
      <c r="CE16" s="155"/>
      <c r="CF16" s="155"/>
      <c r="CG16" s="155"/>
      <c r="CH16" s="155"/>
      <c r="CI16" s="155"/>
      <c r="CJ16" s="155"/>
      <c r="CK16" s="155"/>
      <c r="CL16" s="155"/>
      <c r="CM16" s="155"/>
      <c r="CN16" s="155"/>
      <c r="CO16" s="155"/>
      <c r="CP16" s="155"/>
      <c r="CQ16" s="155"/>
      <c r="CR16" s="155"/>
      <c r="CS16" s="155"/>
      <c r="CT16" s="155"/>
      <c r="CU16" s="155"/>
      <c r="CV16" s="155"/>
      <c r="CW16" s="155"/>
      <c r="CX16" s="155"/>
      <c r="CY16" s="155"/>
      <c r="CZ16" s="155"/>
      <c r="DA16" s="155"/>
      <c r="DB16" s="155"/>
      <c r="DC16" s="155"/>
      <c r="DD16" s="155"/>
      <c r="DE16" s="155"/>
      <c r="DF16" s="155"/>
      <c r="DG16" s="155"/>
      <c r="DH16" s="155"/>
      <c r="DI16" s="155"/>
      <c r="DJ16" s="155"/>
      <c r="DK16" s="155"/>
      <c r="DL16" s="155"/>
      <c r="DM16" s="155"/>
      <c r="DN16" s="155"/>
      <c r="DO16" s="155"/>
      <c r="DP16" s="155"/>
      <c r="DQ16" s="155"/>
      <c r="DR16" s="155"/>
      <c r="DS16" s="155"/>
      <c r="DT16" s="155"/>
      <c r="DU16" s="155"/>
      <c r="DV16" s="155"/>
      <c r="DW16" s="155"/>
      <c r="DX16" s="155"/>
      <c r="DY16" s="155"/>
      <c r="DZ16" s="155"/>
      <c r="EA16" s="155"/>
      <c r="EB16" s="155"/>
      <c r="EC16" s="155"/>
      <c r="ED16" s="155"/>
      <c r="EE16" s="155"/>
      <c r="EF16" s="155"/>
      <c r="EG16" s="155"/>
      <c r="EH16" s="155"/>
      <c r="EI16" s="155"/>
      <c r="EJ16" s="155"/>
      <c r="EK16" s="155"/>
      <c r="EL16" s="155"/>
      <c r="EM16" s="155"/>
      <c r="EN16" s="155"/>
      <c r="EO16" s="155"/>
      <c r="EP16" s="155"/>
      <c r="EQ16" s="155"/>
      <c r="ER16" s="155"/>
      <c r="ES16" s="155"/>
      <c r="ET16" s="155"/>
      <c r="EU16" s="155"/>
      <c r="EV16" s="155"/>
      <c r="EW16" s="155"/>
      <c r="EX16" s="155"/>
      <c r="EY16" s="155"/>
      <c r="EZ16" s="155"/>
      <c r="FA16" s="155"/>
      <c r="FB16" s="155"/>
      <c r="FC16" s="155"/>
      <c r="FD16" s="155"/>
      <c r="FE16" s="155"/>
      <c r="FF16" s="155"/>
      <c r="FG16" s="155"/>
      <c r="FH16" s="155"/>
      <c r="FI16" s="155"/>
      <c r="FJ16" s="155"/>
      <c r="FK16" s="155"/>
      <c r="FL16" s="155"/>
      <c r="FM16" s="155"/>
      <c r="FN16" s="155"/>
      <c r="FO16" s="155"/>
      <c r="FP16" s="155"/>
      <c r="FQ16" s="155"/>
      <c r="FR16" s="155"/>
      <c r="FS16" s="155"/>
      <c r="FT16" s="155"/>
      <c r="FU16" s="155"/>
      <c r="FV16" s="155"/>
      <c r="FW16" s="155"/>
      <c r="FX16" s="155"/>
      <c r="FY16" s="155"/>
      <c r="FZ16" s="155"/>
      <c r="GA16" s="155"/>
      <c r="GB16" s="155"/>
      <c r="GC16" s="155"/>
      <c r="GD16" s="155"/>
      <c r="GE16" s="155"/>
      <c r="GF16" s="155"/>
      <c r="GG16" s="155"/>
      <c r="GH16" s="155"/>
      <c r="GI16" s="155"/>
      <c r="GJ16" s="155"/>
      <c r="GK16" s="155"/>
      <c r="GL16" s="155"/>
      <c r="GM16" s="155"/>
      <c r="GN16" s="155"/>
      <c r="GO16" s="155"/>
      <c r="GP16" s="155"/>
      <c r="GQ16" s="155"/>
      <c r="GR16" s="155"/>
      <c r="GS16" s="155"/>
      <c r="GT16" s="155"/>
      <c r="GU16" s="155"/>
      <c r="GV16" s="155"/>
      <c r="GW16" s="155"/>
      <c r="GX16" s="155"/>
      <c r="GY16" s="155"/>
      <c r="GZ16" s="155"/>
      <c r="HA16" s="155"/>
      <c r="HB16" s="155"/>
      <c r="HC16" s="155"/>
      <c r="HD16" s="155"/>
      <c r="HE16" s="155"/>
      <c r="HF16" s="155"/>
      <c r="HG16" s="155"/>
      <c r="HH16" s="155"/>
      <c r="HI16" s="155"/>
      <c r="HJ16" s="155"/>
      <c r="HK16" s="155"/>
      <c r="HL16" s="155"/>
      <c r="HM16" s="155"/>
      <c r="HN16" s="155"/>
      <c r="HO16" s="155"/>
      <c r="HP16" s="155"/>
      <c r="HQ16" s="155"/>
      <c r="HR16" s="155"/>
      <c r="HS16" s="155"/>
      <c r="HT16" s="155"/>
      <c r="HU16" s="155"/>
      <c r="HV16" s="155"/>
      <c r="HW16" s="155"/>
      <c r="HX16" s="155"/>
      <c r="HY16" s="155"/>
      <c r="HZ16" s="155"/>
      <c r="IA16" s="155"/>
      <c r="IB16" s="155"/>
      <c r="IC16" s="155"/>
      <c r="ID16" s="155"/>
      <c r="IE16" s="155"/>
      <c r="IF16" s="155"/>
      <c r="IG16" s="155"/>
      <c r="IH16" s="155"/>
      <c r="II16" s="155"/>
      <c r="IJ16" s="155"/>
      <c r="IK16" s="155"/>
      <c r="IL16" s="155"/>
      <c r="IM16" s="155"/>
      <c r="IN16" s="155"/>
      <c r="IO16" s="155"/>
      <c r="IP16" s="155"/>
      <c r="IQ16" s="155"/>
      <c r="IR16" s="155"/>
      <c r="IS16" s="155"/>
      <c r="IT16" s="155"/>
      <c r="IU16" s="155"/>
      <c r="IV16" s="155"/>
    </row>
    <row r="17" s="156" customFormat="true" ht="25.5" hidden="false" customHeight="true" outlineLevel="0" collapsed="false">
      <c r="A17" s="157" t="str">
        <f aca="false">IF(Eingabe!A121="","",Eingabe!A121)</f>
        <v/>
      </c>
      <c r="B17" s="157"/>
      <c r="C17" s="157"/>
      <c r="D17" s="157"/>
      <c r="E17" s="158" t="str">
        <f aca="false">IF(Eingabe!B121="","",Eingabe!B121)</f>
        <v/>
      </c>
      <c r="F17" s="158"/>
      <c r="G17" s="158"/>
      <c r="H17" s="158"/>
      <c r="I17" s="159" t="str">
        <f aca="false">IF(Eingabe!C121="","",Eingabe!C121)</f>
        <v/>
      </c>
      <c r="J17" s="159"/>
      <c r="K17" s="159"/>
      <c r="L17" s="159"/>
      <c r="M17" s="160" t="str">
        <f aca="false">IF(Eingabe!D121&amp;""&amp;Eingabe!E121="","",Eingabe!D121&amp;" 
"&amp;Eingabe!E121)</f>
        <v/>
      </c>
      <c r="N17" s="160"/>
      <c r="O17" s="160"/>
      <c r="P17" s="160"/>
      <c r="Q17" s="160"/>
      <c r="R17" s="160"/>
      <c r="S17" s="160"/>
      <c r="T17" s="160"/>
      <c r="U17" s="160"/>
      <c r="V17" s="160"/>
      <c r="W17" s="160"/>
      <c r="X17" s="160"/>
      <c r="Y17" s="160"/>
      <c r="Z17" s="160"/>
      <c r="AA17" s="160"/>
      <c r="AB17" s="160"/>
      <c r="AC17" s="160"/>
      <c r="AD17" s="160"/>
      <c r="AE17" s="160"/>
      <c r="AF17" s="160"/>
      <c r="AG17" s="159" t="str">
        <f aca="false">IF(Eingabe!F121&amp;""&amp;Eingabe!G121="","",Eingabe!F121&amp;" 
"&amp;Eingabe!G121)</f>
        <v/>
      </c>
      <c r="AH17" s="159"/>
      <c r="AI17" s="159"/>
      <c r="AJ17" s="159"/>
      <c r="AK17" s="159"/>
      <c r="AL17" s="159"/>
      <c r="AM17" s="159"/>
      <c r="AN17" s="159"/>
      <c r="AO17" s="159"/>
      <c r="AP17" s="159"/>
      <c r="AQ17" s="159"/>
      <c r="AR17" s="159"/>
      <c r="AS17" s="159"/>
      <c r="AT17" s="159"/>
      <c r="AU17" s="159"/>
      <c r="AV17" s="159"/>
      <c r="AW17" s="159"/>
      <c r="AX17" s="159" t="str">
        <f aca="false">IF(Eingabe!H121="","",Eingabe!H121)</f>
        <v/>
      </c>
      <c r="AY17" s="159"/>
      <c r="AZ17" s="159"/>
      <c r="BA17" s="159"/>
      <c r="BB17" s="161" t="str">
        <f aca="false">IF(Eingabe!K121="","",Eingabe!K121)</f>
        <v/>
      </c>
      <c r="BC17" s="161"/>
      <c r="BD17" s="161"/>
      <c r="BE17" s="161"/>
      <c r="BF17" s="161"/>
      <c r="BG17" s="161"/>
      <c r="BH17" s="161"/>
      <c r="BI17" s="161"/>
      <c r="BJ17" s="161"/>
      <c r="BK17" s="161"/>
      <c r="BL17" s="161"/>
      <c r="BM17" s="161"/>
      <c r="BN17" s="161"/>
      <c r="BO17" s="155"/>
      <c r="BP17" s="155"/>
      <c r="BQ17" s="155"/>
      <c r="BR17" s="155"/>
      <c r="BS17" s="155"/>
      <c r="BT17" s="155"/>
      <c r="BU17" s="155"/>
      <c r="BV17" s="155"/>
      <c r="BW17" s="155"/>
      <c r="BX17" s="155"/>
      <c r="BY17" s="155"/>
      <c r="BZ17" s="155"/>
      <c r="CA17" s="155"/>
      <c r="CB17" s="155"/>
      <c r="CC17" s="155"/>
      <c r="CD17" s="155"/>
      <c r="CE17" s="155"/>
      <c r="CF17" s="155"/>
      <c r="CG17" s="155"/>
      <c r="CH17" s="155"/>
      <c r="CI17" s="155"/>
      <c r="CJ17" s="155"/>
      <c r="CK17" s="155"/>
      <c r="CL17" s="155"/>
      <c r="CM17" s="155"/>
      <c r="CN17" s="155"/>
      <c r="CO17" s="155"/>
      <c r="CP17" s="155"/>
      <c r="CQ17" s="155"/>
      <c r="CR17" s="155"/>
      <c r="CS17" s="155"/>
      <c r="CT17" s="155"/>
      <c r="CU17" s="155"/>
      <c r="CV17" s="155"/>
      <c r="CW17" s="155"/>
      <c r="CX17" s="155"/>
      <c r="CY17" s="155"/>
      <c r="CZ17" s="155"/>
      <c r="DA17" s="155"/>
      <c r="DB17" s="155"/>
      <c r="DC17" s="155"/>
      <c r="DD17" s="155"/>
      <c r="DE17" s="155"/>
      <c r="DF17" s="155"/>
      <c r="DG17" s="155"/>
      <c r="DH17" s="155"/>
      <c r="DI17" s="155"/>
      <c r="DJ17" s="155"/>
      <c r="DK17" s="155"/>
      <c r="DL17" s="155"/>
      <c r="DM17" s="155"/>
      <c r="DN17" s="155"/>
      <c r="DO17" s="155"/>
      <c r="DP17" s="155"/>
      <c r="DQ17" s="155"/>
      <c r="DR17" s="155"/>
      <c r="DS17" s="155"/>
      <c r="DT17" s="155"/>
      <c r="DU17" s="155"/>
      <c r="DV17" s="155"/>
      <c r="DW17" s="155"/>
      <c r="DX17" s="155"/>
      <c r="DY17" s="155"/>
      <c r="DZ17" s="155"/>
      <c r="EA17" s="155"/>
      <c r="EB17" s="155"/>
      <c r="EC17" s="155"/>
      <c r="ED17" s="155"/>
      <c r="EE17" s="155"/>
      <c r="EF17" s="155"/>
      <c r="EG17" s="155"/>
      <c r="EH17" s="155"/>
      <c r="EI17" s="155"/>
      <c r="EJ17" s="155"/>
      <c r="EK17" s="155"/>
      <c r="EL17" s="155"/>
      <c r="EM17" s="155"/>
      <c r="EN17" s="155"/>
      <c r="EO17" s="155"/>
      <c r="EP17" s="155"/>
      <c r="EQ17" s="155"/>
      <c r="ER17" s="155"/>
      <c r="ES17" s="155"/>
      <c r="ET17" s="155"/>
      <c r="EU17" s="155"/>
      <c r="EV17" s="155"/>
      <c r="EW17" s="155"/>
      <c r="EX17" s="155"/>
      <c r="EY17" s="155"/>
      <c r="EZ17" s="155"/>
      <c r="FA17" s="155"/>
      <c r="FB17" s="155"/>
      <c r="FC17" s="155"/>
      <c r="FD17" s="155"/>
      <c r="FE17" s="155"/>
      <c r="FF17" s="155"/>
      <c r="FG17" s="155"/>
      <c r="FH17" s="155"/>
      <c r="FI17" s="155"/>
      <c r="FJ17" s="155"/>
      <c r="FK17" s="155"/>
      <c r="FL17" s="155"/>
      <c r="FM17" s="155"/>
      <c r="FN17" s="155"/>
      <c r="FO17" s="155"/>
      <c r="FP17" s="155"/>
      <c r="FQ17" s="155"/>
      <c r="FR17" s="155"/>
      <c r="FS17" s="155"/>
      <c r="FT17" s="155"/>
      <c r="FU17" s="155"/>
      <c r="FV17" s="155"/>
      <c r="FW17" s="155"/>
      <c r="FX17" s="155"/>
      <c r="FY17" s="155"/>
      <c r="FZ17" s="155"/>
      <c r="GA17" s="155"/>
      <c r="GB17" s="155"/>
      <c r="GC17" s="155"/>
      <c r="GD17" s="155"/>
      <c r="GE17" s="155"/>
      <c r="GF17" s="155"/>
      <c r="GG17" s="155"/>
      <c r="GH17" s="155"/>
      <c r="GI17" s="155"/>
      <c r="GJ17" s="155"/>
      <c r="GK17" s="155"/>
      <c r="GL17" s="155"/>
      <c r="GM17" s="155"/>
      <c r="GN17" s="155"/>
      <c r="GO17" s="155"/>
      <c r="GP17" s="155"/>
      <c r="GQ17" s="155"/>
      <c r="GR17" s="155"/>
      <c r="GS17" s="155"/>
      <c r="GT17" s="155"/>
      <c r="GU17" s="155"/>
      <c r="GV17" s="155"/>
      <c r="GW17" s="155"/>
      <c r="GX17" s="155"/>
      <c r="GY17" s="155"/>
      <c r="GZ17" s="155"/>
      <c r="HA17" s="155"/>
      <c r="HB17" s="155"/>
      <c r="HC17" s="155"/>
      <c r="HD17" s="155"/>
      <c r="HE17" s="155"/>
      <c r="HF17" s="155"/>
      <c r="HG17" s="155"/>
      <c r="HH17" s="155"/>
      <c r="HI17" s="155"/>
      <c r="HJ17" s="155"/>
      <c r="HK17" s="155"/>
      <c r="HL17" s="155"/>
      <c r="HM17" s="155"/>
      <c r="HN17" s="155"/>
      <c r="HO17" s="155"/>
      <c r="HP17" s="155"/>
      <c r="HQ17" s="155"/>
      <c r="HR17" s="155"/>
      <c r="HS17" s="155"/>
      <c r="HT17" s="155"/>
      <c r="HU17" s="155"/>
      <c r="HV17" s="155"/>
      <c r="HW17" s="155"/>
      <c r="HX17" s="155"/>
      <c r="HY17" s="155"/>
      <c r="HZ17" s="155"/>
      <c r="IA17" s="155"/>
      <c r="IB17" s="155"/>
      <c r="IC17" s="155"/>
      <c r="ID17" s="155"/>
      <c r="IE17" s="155"/>
      <c r="IF17" s="155"/>
      <c r="IG17" s="155"/>
      <c r="IH17" s="155"/>
      <c r="II17" s="155"/>
      <c r="IJ17" s="155"/>
      <c r="IK17" s="155"/>
      <c r="IL17" s="155"/>
      <c r="IM17" s="155"/>
      <c r="IN17" s="155"/>
      <c r="IO17" s="155"/>
      <c r="IP17" s="155"/>
      <c r="IQ17" s="155"/>
      <c r="IR17" s="155"/>
      <c r="IS17" s="155"/>
      <c r="IT17" s="155"/>
      <c r="IU17" s="155"/>
      <c r="IV17" s="155"/>
    </row>
    <row r="18" s="156" customFormat="true" ht="25.5" hidden="false" customHeight="true" outlineLevel="0" collapsed="false">
      <c r="A18" s="157" t="str">
        <f aca="false">IF(Eingabe!A122="","",Eingabe!A122)</f>
        <v/>
      </c>
      <c r="B18" s="157"/>
      <c r="C18" s="157"/>
      <c r="D18" s="157"/>
      <c r="E18" s="158" t="str">
        <f aca="false">IF(Eingabe!B122="","",Eingabe!B122)</f>
        <v/>
      </c>
      <c r="F18" s="158"/>
      <c r="G18" s="158"/>
      <c r="H18" s="158"/>
      <c r="I18" s="159" t="str">
        <f aca="false">IF(Eingabe!C122="","",Eingabe!C122)</f>
        <v/>
      </c>
      <c r="J18" s="159"/>
      <c r="K18" s="159"/>
      <c r="L18" s="159"/>
      <c r="M18" s="160" t="str">
        <f aca="false">IF(Eingabe!D122&amp;""&amp;Eingabe!E122="","",Eingabe!D122&amp;" 
"&amp;Eingabe!E122)</f>
        <v/>
      </c>
      <c r="N18" s="160"/>
      <c r="O18" s="160"/>
      <c r="P18" s="160"/>
      <c r="Q18" s="160"/>
      <c r="R18" s="160"/>
      <c r="S18" s="160"/>
      <c r="T18" s="160"/>
      <c r="U18" s="160"/>
      <c r="V18" s="160"/>
      <c r="W18" s="160"/>
      <c r="X18" s="160"/>
      <c r="Y18" s="160"/>
      <c r="Z18" s="160"/>
      <c r="AA18" s="160"/>
      <c r="AB18" s="160"/>
      <c r="AC18" s="160"/>
      <c r="AD18" s="160"/>
      <c r="AE18" s="160"/>
      <c r="AF18" s="160"/>
      <c r="AG18" s="159" t="str">
        <f aca="false">IF(Eingabe!F122&amp;""&amp;Eingabe!G122="","",Eingabe!F122&amp;" 
"&amp;Eingabe!G122)</f>
        <v/>
      </c>
      <c r="AH18" s="159"/>
      <c r="AI18" s="159"/>
      <c r="AJ18" s="159"/>
      <c r="AK18" s="159"/>
      <c r="AL18" s="159"/>
      <c r="AM18" s="159"/>
      <c r="AN18" s="159"/>
      <c r="AO18" s="159"/>
      <c r="AP18" s="159"/>
      <c r="AQ18" s="159"/>
      <c r="AR18" s="159"/>
      <c r="AS18" s="159"/>
      <c r="AT18" s="159"/>
      <c r="AU18" s="159"/>
      <c r="AV18" s="159"/>
      <c r="AW18" s="159"/>
      <c r="AX18" s="159" t="str">
        <f aca="false">IF(Eingabe!H122="","",Eingabe!H122)</f>
        <v/>
      </c>
      <c r="AY18" s="159"/>
      <c r="AZ18" s="159"/>
      <c r="BA18" s="159"/>
      <c r="BB18" s="161" t="str">
        <f aca="false">IF(Eingabe!K122="","",Eingabe!K122)</f>
        <v/>
      </c>
      <c r="BC18" s="161"/>
      <c r="BD18" s="161"/>
      <c r="BE18" s="161"/>
      <c r="BF18" s="161"/>
      <c r="BG18" s="161"/>
      <c r="BH18" s="161"/>
      <c r="BI18" s="161"/>
      <c r="BJ18" s="161"/>
      <c r="BK18" s="161"/>
      <c r="BL18" s="161"/>
      <c r="BM18" s="161"/>
      <c r="BN18" s="161"/>
      <c r="BO18" s="155"/>
      <c r="BP18" s="155"/>
      <c r="BQ18" s="155"/>
      <c r="BR18" s="155"/>
      <c r="BS18" s="155"/>
      <c r="BT18" s="155"/>
      <c r="BU18" s="155"/>
      <c r="BV18" s="155"/>
      <c r="BW18" s="155"/>
      <c r="BX18" s="155"/>
      <c r="BY18" s="155"/>
      <c r="BZ18" s="155"/>
      <c r="CA18" s="155"/>
      <c r="CB18" s="155"/>
      <c r="CC18" s="155"/>
      <c r="CD18" s="155"/>
      <c r="CE18" s="155"/>
      <c r="CF18" s="155"/>
      <c r="CG18" s="155"/>
      <c r="CH18" s="155"/>
      <c r="CI18" s="155"/>
      <c r="CJ18" s="155"/>
      <c r="CK18" s="155"/>
      <c r="CL18" s="155"/>
      <c r="CM18" s="155"/>
      <c r="CN18" s="155"/>
      <c r="CO18" s="155"/>
      <c r="CP18" s="155"/>
      <c r="CQ18" s="155"/>
      <c r="CR18" s="155"/>
      <c r="CS18" s="155"/>
      <c r="CT18" s="155"/>
      <c r="CU18" s="155"/>
      <c r="CV18" s="155"/>
      <c r="CW18" s="155"/>
      <c r="CX18" s="155"/>
      <c r="CY18" s="155"/>
      <c r="CZ18" s="155"/>
      <c r="DA18" s="155"/>
      <c r="DB18" s="155"/>
      <c r="DC18" s="155"/>
      <c r="DD18" s="155"/>
      <c r="DE18" s="155"/>
      <c r="DF18" s="155"/>
      <c r="DG18" s="155"/>
      <c r="DH18" s="155"/>
      <c r="DI18" s="155"/>
      <c r="DJ18" s="155"/>
      <c r="DK18" s="155"/>
      <c r="DL18" s="155"/>
      <c r="DM18" s="155"/>
      <c r="DN18" s="155"/>
      <c r="DO18" s="155"/>
      <c r="DP18" s="155"/>
      <c r="DQ18" s="155"/>
      <c r="DR18" s="155"/>
      <c r="DS18" s="155"/>
      <c r="DT18" s="155"/>
      <c r="DU18" s="155"/>
      <c r="DV18" s="155"/>
      <c r="DW18" s="155"/>
      <c r="DX18" s="155"/>
      <c r="DY18" s="155"/>
      <c r="DZ18" s="155"/>
      <c r="EA18" s="155"/>
      <c r="EB18" s="155"/>
      <c r="EC18" s="155"/>
      <c r="ED18" s="155"/>
      <c r="EE18" s="155"/>
      <c r="EF18" s="155"/>
      <c r="EG18" s="155"/>
      <c r="EH18" s="155"/>
      <c r="EI18" s="155"/>
      <c r="EJ18" s="155"/>
      <c r="EK18" s="155"/>
      <c r="EL18" s="155"/>
      <c r="EM18" s="155"/>
      <c r="EN18" s="155"/>
      <c r="EO18" s="155"/>
      <c r="EP18" s="155"/>
      <c r="EQ18" s="155"/>
      <c r="ER18" s="155"/>
      <c r="ES18" s="155"/>
      <c r="ET18" s="155"/>
      <c r="EU18" s="155"/>
      <c r="EV18" s="155"/>
      <c r="EW18" s="155"/>
      <c r="EX18" s="155"/>
      <c r="EY18" s="155"/>
      <c r="EZ18" s="155"/>
      <c r="FA18" s="155"/>
      <c r="FB18" s="155"/>
      <c r="FC18" s="155"/>
      <c r="FD18" s="155"/>
      <c r="FE18" s="155"/>
      <c r="FF18" s="155"/>
      <c r="FG18" s="155"/>
      <c r="FH18" s="155"/>
      <c r="FI18" s="155"/>
      <c r="FJ18" s="155"/>
      <c r="FK18" s="155"/>
      <c r="FL18" s="155"/>
      <c r="FM18" s="155"/>
      <c r="FN18" s="155"/>
      <c r="FO18" s="155"/>
      <c r="FP18" s="155"/>
      <c r="FQ18" s="155"/>
      <c r="FR18" s="155"/>
      <c r="FS18" s="155"/>
      <c r="FT18" s="155"/>
      <c r="FU18" s="155"/>
      <c r="FV18" s="155"/>
      <c r="FW18" s="155"/>
      <c r="FX18" s="155"/>
      <c r="FY18" s="155"/>
      <c r="FZ18" s="155"/>
      <c r="GA18" s="155"/>
      <c r="GB18" s="155"/>
      <c r="GC18" s="155"/>
      <c r="GD18" s="155"/>
      <c r="GE18" s="155"/>
      <c r="GF18" s="155"/>
      <c r="GG18" s="155"/>
      <c r="GH18" s="155"/>
      <c r="GI18" s="155"/>
      <c r="GJ18" s="155"/>
      <c r="GK18" s="155"/>
      <c r="GL18" s="155"/>
      <c r="GM18" s="155"/>
      <c r="GN18" s="155"/>
      <c r="GO18" s="155"/>
      <c r="GP18" s="155"/>
      <c r="GQ18" s="155"/>
      <c r="GR18" s="155"/>
      <c r="GS18" s="155"/>
      <c r="GT18" s="155"/>
      <c r="GU18" s="155"/>
      <c r="GV18" s="155"/>
      <c r="GW18" s="155"/>
      <c r="GX18" s="155"/>
      <c r="GY18" s="155"/>
      <c r="GZ18" s="155"/>
      <c r="HA18" s="155"/>
      <c r="HB18" s="155"/>
      <c r="HC18" s="155"/>
      <c r="HD18" s="155"/>
      <c r="HE18" s="155"/>
      <c r="HF18" s="155"/>
      <c r="HG18" s="155"/>
      <c r="HH18" s="155"/>
      <c r="HI18" s="155"/>
      <c r="HJ18" s="155"/>
      <c r="HK18" s="155"/>
      <c r="HL18" s="155"/>
      <c r="HM18" s="155"/>
      <c r="HN18" s="155"/>
      <c r="HO18" s="155"/>
      <c r="HP18" s="155"/>
      <c r="HQ18" s="155"/>
      <c r="HR18" s="155"/>
      <c r="HS18" s="155"/>
      <c r="HT18" s="155"/>
      <c r="HU18" s="155"/>
      <c r="HV18" s="155"/>
      <c r="HW18" s="155"/>
      <c r="HX18" s="155"/>
      <c r="HY18" s="155"/>
      <c r="HZ18" s="155"/>
      <c r="IA18" s="155"/>
      <c r="IB18" s="155"/>
      <c r="IC18" s="155"/>
      <c r="ID18" s="155"/>
      <c r="IE18" s="155"/>
      <c r="IF18" s="155"/>
      <c r="IG18" s="155"/>
      <c r="IH18" s="155"/>
      <c r="II18" s="155"/>
      <c r="IJ18" s="155"/>
      <c r="IK18" s="155"/>
      <c r="IL18" s="155"/>
      <c r="IM18" s="155"/>
      <c r="IN18" s="155"/>
      <c r="IO18" s="155"/>
      <c r="IP18" s="155"/>
      <c r="IQ18" s="155"/>
      <c r="IR18" s="155"/>
      <c r="IS18" s="155"/>
      <c r="IT18" s="155"/>
      <c r="IU18" s="155"/>
      <c r="IV18" s="155"/>
    </row>
    <row r="19" s="156" customFormat="true" ht="25.5" hidden="false" customHeight="true" outlineLevel="0" collapsed="false">
      <c r="A19" s="157" t="str">
        <f aca="false">IF(Eingabe!A123="","",Eingabe!A123)</f>
        <v/>
      </c>
      <c r="B19" s="157"/>
      <c r="C19" s="157"/>
      <c r="D19" s="157"/>
      <c r="E19" s="158" t="str">
        <f aca="false">IF(Eingabe!B123="","",Eingabe!B123)</f>
        <v/>
      </c>
      <c r="F19" s="158"/>
      <c r="G19" s="158"/>
      <c r="H19" s="158"/>
      <c r="I19" s="159" t="str">
        <f aca="false">IF(Eingabe!C123="","",Eingabe!C123)</f>
        <v/>
      </c>
      <c r="J19" s="159"/>
      <c r="K19" s="159"/>
      <c r="L19" s="159"/>
      <c r="M19" s="160" t="str">
        <f aca="false">IF(Eingabe!D123&amp;""&amp;Eingabe!E123="","",Eingabe!D123&amp;" 
"&amp;Eingabe!E123)</f>
        <v/>
      </c>
      <c r="N19" s="160"/>
      <c r="O19" s="160"/>
      <c r="P19" s="160"/>
      <c r="Q19" s="160"/>
      <c r="R19" s="160"/>
      <c r="S19" s="160"/>
      <c r="T19" s="160"/>
      <c r="U19" s="160"/>
      <c r="V19" s="160"/>
      <c r="W19" s="160"/>
      <c r="X19" s="160"/>
      <c r="Y19" s="160"/>
      <c r="Z19" s="160"/>
      <c r="AA19" s="160"/>
      <c r="AB19" s="160"/>
      <c r="AC19" s="160"/>
      <c r="AD19" s="160"/>
      <c r="AE19" s="160"/>
      <c r="AF19" s="160"/>
      <c r="AG19" s="159" t="str">
        <f aca="false">IF(Eingabe!F123&amp;""&amp;Eingabe!G123="","",Eingabe!F123&amp;" 
"&amp;Eingabe!G123)</f>
        <v/>
      </c>
      <c r="AH19" s="159"/>
      <c r="AI19" s="159"/>
      <c r="AJ19" s="159"/>
      <c r="AK19" s="159"/>
      <c r="AL19" s="159"/>
      <c r="AM19" s="159"/>
      <c r="AN19" s="159"/>
      <c r="AO19" s="159"/>
      <c r="AP19" s="159"/>
      <c r="AQ19" s="159"/>
      <c r="AR19" s="159"/>
      <c r="AS19" s="159"/>
      <c r="AT19" s="159"/>
      <c r="AU19" s="159"/>
      <c r="AV19" s="159"/>
      <c r="AW19" s="159"/>
      <c r="AX19" s="159" t="str">
        <f aca="false">IF(Eingabe!H123="","",Eingabe!H123)</f>
        <v/>
      </c>
      <c r="AY19" s="159"/>
      <c r="AZ19" s="159"/>
      <c r="BA19" s="159"/>
      <c r="BB19" s="161" t="str">
        <f aca="false">IF(Eingabe!K123="","",Eingabe!K123)</f>
        <v/>
      </c>
      <c r="BC19" s="161"/>
      <c r="BD19" s="161"/>
      <c r="BE19" s="161"/>
      <c r="BF19" s="161"/>
      <c r="BG19" s="161"/>
      <c r="BH19" s="161"/>
      <c r="BI19" s="161"/>
      <c r="BJ19" s="161"/>
      <c r="BK19" s="161"/>
      <c r="BL19" s="161"/>
      <c r="BM19" s="161"/>
      <c r="BN19" s="161"/>
      <c r="BO19" s="155"/>
      <c r="BP19" s="155"/>
      <c r="BQ19" s="155"/>
      <c r="BR19" s="155"/>
      <c r="BS19" s="155"/>
      <c r="BT19" s="155"/>
      <c r="BU19" s="155"/>
      <c r="BV19" s="155"/>
      <c r="BW19" s="155"/>
      <c r="BX19" s="155"/>
      <c r="BY19" s="155"/>
      <c r="BZ19" s="155"/>
      <c r="CA19" s="155"/>
      <c r="CB19" s="155"/>
      <c r="CC19" s="155"/>
      <c r="CD19" s="155"/>
      <c r="CE19" s="155"/>
      <c r="CF19" s="155"/>
      <c r="CG19" s="155"/>
      <c r="CH19" s="155"/>
      <c r="CI19" s="155"/>
      <c r="CJ19" s="155"/>
      <c r="CK19" s="155"/>
      <c r="CL19" s="155"/>
      <c r="CM19" s="155"/>
      <c r="CN19" s="155"/>
      <c r="CO19" s="155"/>
      <c r="CP19" s="155"/>
      <c r="CQ19" s="155"/>
      <c r="CR19" s="155"/>
      <c r="CS19" s="155"/>
      <c r="CT19" s="155"/>
      <c r="CU19" s="155"/>
      <c r="CV19" s="155"/>
      <c r="CW19" s="155"/>
      <c r="CX19" s="155"/>
      <c r="CY19" s="155"/>
      <c r="CZ19" s="155"/>
      <c r="DA19" s="155"/>
      <c r="DB19" s="155"/>
      <c r="DC19" s="155"/>
      <c r="DD19" s="155"/>
      <c r="DE19" s="155"/>
      <c r="DF19" s="155"/>
      <c r="DG19" s="155"/>
      <c r="DH19" s="155"/>
      <c r="DI19" s="155"/>
      <c r="DJ19" s="155"/>
      <c r="DK19" s="155"/>
      <c r="DL19" s="155"/>
      <c r="DM19" s="155"/>
      <c r="DN19" s="155"/>
      <c r="DO19" s="155"/>
      <c r="DP19" s="155"/>
      <c r="DQ19" s="155"/>
      <c r="DR19" s="155"/>
      <c r="DS19" s="155"/>
      <c r="DT19" s="155"/>
      <c r="DU19" s="155"/>
      <c r="DV19" s="155"/>
      <c r="DW19" s="155"/>
      <c r="DX19" s="155"/>
      <c r="DY19" s="155"/>
      <c r="DZ19" s="155"/>
      <c r="EA19" s="155"/>
      <c r="EB19" s="155"/>
      <c r="EC19" s="155"/>
      <c r="ED19" s="155"/>
      <c r="EE19" s="155"/>
      <c r="EF19" s="155"/>
      <c r="EG19" s="155"/>
      <c r="EH19" s="155"/>
      <c r="EI19" s="155"/>
      <c r="EJ19" s="155"/>
      <c r="EK19" s="155"/>
      <c r="EL19" s="155"/>
      <c r="EM19" s="155"/>
      <c r="EN19" s="155"/>
      <c r="EO19" s="155"/>
      <c r="EP19" s="155"/>
      <c r="EQ19" s="155"/>
      <c r="ER19" s="155"/>
      <c r="ES19" s="155"/>
      <c r="ET19" s="155"/>
      <c r="EU19" s="155"/>
      <c r="EV19" s="155"/>
      <c r="EW19" s="155"/>
      <c r="EX19" s="155"/>
      <c r="EY19" s="155"/>
      <c r="EZ19" s="155"/>
      <c r="FA19" s="155"/>
      <c r="FB19" s="155"/>
      <c r="FC19" s="155"/>
      <c r="FD19" s="155"/>
      <c r="FE19" s="155"/>
      <c r="FF19" s="155"/>
      <c r="FG19" s="155"/>
      <c r="FH19" s="155"/>
      <c r="FI19" s="155"/>
      <c r="FJ19" s="155"/>
      <c r="FK19" s="155"/>
      <c r="FL19" s="155"/>
      <c r="FM19" s="155"/>
      <c r="FN19" s="155"/>
      <c r="FO19" s="155"/>
      <c r="FP19" s="155"/>
      <c r="FQ19" s="155"/>
      <c r="FR19" s="155"/>
      <c r="FS19" s="155"/>
      <c r="FT19" s="155"/>
      <c r="FU19" s="155"/>
      <c r="FV19" s="155"/>
      <c r="FW19" s="155"/>
      <c r="FX19" s="155"/>
      <c r="FY19" s="155"/>
      <c r="FZ19" s="155"/>
      <c r="GA19" s="155"/>
      <c r="GB19" s="155"/>
      <c r="GC19" s="155"/>
      <c r="GD19" s="155"/>
      <c r="GE19" s="155"/>
      <c r="GF19" s="155"/>
      <c r="GG19" s="155"/>
      <c r="GH19" s="155"/>
      <c r="GI19" s="155"/>
      <c r="GJ19" s="155"/>
      <c r="GK19" s="155"/>
      <c r="GL19" s="155"/>
      <c r="GM19" s="155"/>
      <c r="GN19" s="155"/>
      <c r="GO19" s="155"/>
      <c r="GP19" s="155"/>
      <c r="GQ19" s="155"/>
      <c r="GR19" s="155"/>
      <c r="GS19" s="155"/>
      <c r="GT19" s="155"/>
      <c r="GU19" s="155"/>
      <c r="GV19" s="155"/>
      <c r="GW19" s="155"/>
      <c r="GX19" s="155"/>
      <c r="GY19" s="155"/>
      <c r="GZ19" s="155"/>
      <c r="HA19" s="155"/>
      <c r="HB19" s="155"/>
      <c r="HC19" s="155"/>
      <c r="HD19" s="155"/>
      <c r="HE19" s="155"/>
      <c r="HF19" s="155"/>
      <c r="HG19" s="155"/>
      <c r="HH19" s="155"/>
      <c r="HI19" s="155"/>
      <c r="HJ19" s="155"/>
      <c r="HK19" s="155"/>
      <c r="HL19" s="155"/>
      <c r="HM19" s="155"/>
      <c r="HN19" s="155"/>
      <c r="HO19" s="155"/>
      <c r="HP19" s="155"/>
      <c r="HQ19" s="155"/>
      <c r="HR19" s="155"/>
      <c r="HS19" s="155"/>
      <c r="HT19" s="155"/>
      <c r="HU19" s="155"/>
      <c r="HV19" s="155"/>
      <c r="HW19" s="155"/>
      <c r="HX19" s="155"/>
      <c r="HY19" s="155"/>
      <c r="HZ19" s="155"/>
      <c r="IA19" s="155"/>
      <c r="IB19" s="155"/>
      <c r="IC19" s="155"/>
      <c r="ID19" s="155"/>
      <c r="IE19" s="155"/>
      <c r="IF19" s="155"/>
      <c r="IG19" s="155"/>
      <c r="IH19" s="155"/>
      <c r="II19" s="155"/>
      <c r="IJ19" s="155"/>
      <c r="IK19" s="155"/>
      <c r="IL19" s="155"/>
      <c r="IM19" s="155"/>
      <c r="IN19" s="155"/>
      <c r="IO19" s="155"/>
      <c r="IP19" s="155"/>
      <c r="IQ19" s="155"/>
      <c r="IR19" s="155"/>
      <c r="IS19" s="155"/>
      <c r="IT19" s="155"/>
      <c r="IU19" s="155"/>
      <c r="IV19" s="155"/>
    </row>
    <row r="20" s="156" customFormat="true" ht="25.5" hidden="false" customHeight="true" outlineLevel="0" collapsed="false">
      <c r="A20" s="157" t="str">
        <f aca="false">IF(Eingabe!A124="","",Eingabe!A124)</f>
        <v/>
      </c>
      <c r="B20" s="157"/>
      <c r="C20" s="157"/>
      <c r="D20" s="157"/>
      <c r="E20" s="158" t="str">
        <f aca="false">IF(Eingabe!B124="","",Eingabe!B124)</f>
        <v/>
      </c>
      <c r="F20" s="158"/>
      <c r="G20" s="158"/>
      <c r="H20" s="158"/>
      <c r="I20" s="159" t="str">
        <f aca="false">IF(Eingabe!C124="","",Eingabe!C124)</f>
        <v/>
      </c>
      <c r="J20" s="159"/>
      <c r="K20" s="159"/>
      <c r="L20" s="159"/>
      <c r="M20" s="160" t="str">
        <f aca="false">IF(Eingabe!D124&amp;""&amp;Eingabe!E124="","",Eingabe!D124&amp;" 
"&amp;Eingabe!E124)</f>
        <v/>
      </c>
      <c r="N20" s="160"/>
      <c r="O20" s="160"/>
      <c r="P20" s="160"/>
      <c r="Q20" s="160"/>
      <c r="R20" s="160"/>
      <c r="S20" s="160"/>
      <c r="T20" s="160"/>
      <c r="U20" s="160"/>
      <c r="V20" s="160"/>
      <c r="W20" s="160"/>
      <c r="X20" s="160"/>
      <c r="Y20" s="160"/>
      <c r="Z20" s="160"/>
      <c r="AA20" s="160"/>
      <c r="AB20" s="160"/>
      <c r="AC20" s="160"/>
      <c r="AD20" s="160"/>
      <c r="AE20" s="160"/>
      <c r="AF20" s="160"/>
      <c r="AG20" s="159" t="str">
        <f aca="false">IF(Eingabe!F124&amp;""&amp;Eingabe!G124="","",Eingabe!F124&amp;" 
"&amp;Eingabe!G124)</f>
        <v/>
      </c>
      <c r="AH20" s="159"/>
      <c r="AI20" s="159"/>
      <c r="AJ20" s="159"/>
      <c r="AK20" s="159"/>
      <c r="AL20" s="159"/>
      <c r="AM20" s="159"/>
      <c r="AN20" s="159"/>
      <c r="AO20" s="159"/>
      <c r="AP20" s="159"/>
      <c r="AQ20" s="159"/>
      <c r="AR20" s="159"/>
      <c r="AS20" s="159"/>
      <c r="AT20" s="159"/>
      <c r="AU20" s="159"/>
      <c r="AV20" s="159"/>
      <c r="AW20" s="159"/>
      <c r="AX20" s="159" t="str">
        <f aca="false">IF(Eingabe!H124="","",Eingabe!H124)</f>
        <v/>
      </c>
      <c r="AY20" s="159"/>
      <c r="AZ20" s="159"/>
      <c r="BA20" s="159"/>
      <c r="BB20" s="161" t="str">
        <f aca="false">IF(Eingabe!K124="","",Eingabe!K124)</f>
        <v/>
      </c>
      <c r="BC20" s="161"/>
      <c r="BD20" s="161"/>
      <c r="BE20" s="161"/>
      <c r="BF20" s="161"/>
      <c r="BG20" s="161"/>
      <c r="BH20" s="161"/>
      <c r="BI20" s="161"/>
      <c r="BJ20" s="161"/>
      <c r="BK20" s="161"/>
      <c r="BL20" s="161"/>
      <c r="BM20" s="161"/>
      <c r="BN20" s="161"/>
      <c r="BO20" s="155"/>
      <c r="BP20" s="155"/>
      <c r="BQ20" s="155"/>
      <c r="BR20" s="155"/>
      <c r="BS20" s="155"/>
      <c r="BT20" s="155"/>
      <c r="BU20" s="155"/>
      <c r="BV20" s="155"/>
      <c r="BW20" s="155"/>
      <c r="BX20" s="155"/>
      <c r="BY20" s="155"/>
      <c r="BZ20" s="155"/>
      <c r="CA20" s="155"/>
      <c r="CB20" s="155"/>
      <c r="CC20" s="155"/>
      <c r="CD20" s="155"/>
      <c r="CE20" s="155"/>
      <c r="CF20" s="155"/>
      <c r="CG20" s="155"/>
      <c r="CH20" s="155"/>
      <c r="CI20" s="155"/>
      <c r="CJ20" s="155"/>
      <c r="CK20" s="155"/>
      <c r="CL20" s="155"/>
      <c r="CM20" s="155"/>
      <c r="CN20" s="155"/>
      <c r="CO20" s="155"/>
      <c r="CP20" s="155"/>
      <c r="CQ20" s="155"/>
      <c r="CR20" s="155"/>
      <c r="CS20" s="155"/>
      <c r="CT20" s="155"/>
      <c r="CU20" s="155"/>
      <c r="CV20" s="155"/>
      <c r="CW20" s="155"/>
      <c r="CX20" s="155"/>
      <c r="CY20" s="155"/>
      <c r="CZ20" s="155"/>
      <c r="DA20" s="155"/>
      <c r="DB20" s="155"/>
      <c r="DC20" s="155"/>
      <c r="DD20" s="155"/>
      <c r="DE20" s="155"/>
      <c r="DF20" s="155"/>
      <c r="DG20" s="155"/>
      <c r="DH20" s="155"/>
      <c r="DI20" s="155"/>
      <c r="DJ20" s="155"/>
      <c r="DK20" s="155"/>
      <c r="DL20" s="155"/>
      <c r="DM20" s="155"/>
      <c r="DN20" s="155"/>
      <c r="DO20" s="155"/>
      <c r="DP20" s="155"/>
      <c r="DQ20" s="155"/>
      <c r="DR20" s="155"/>
      <c r="DS20" s="155"/>
      <c r="DT20" s="155"/>
      <c r="DU20" s="155"/>
      <c r="DV20" s="155"/>
      <c r="DW20" s="155"/>
      <c r="DX20" s="155"/>
      <c r="DY20" s="155"/>
      <c r="DZ20" s="155"/>
      <c r="EA20" s="155"/>
      <c r="EB20" s="155"/>
      <c r="EC20" s="155"/>
      <c r="ED20" s="155"/>
      <c r="EE20" s="155"/>
      <c r="EF20" s="155"/>
      <c r="EG20" s="155"/>
      <c r="EH20" s="155"/>
      <c r="EI20" s="155"/>
      <c r="EJ20" s="155"/>
      <c r="EK20" s="155"/>
      <c r="EL20" s="155"/>
      <c r="EM20" s="155"/>
      <c r="EN20" s="155"/>
      <c r="EO20" s="155"/>
      <c r="EP20" s="155"/>
      <c r="EQ20" s="155"/>
      <c r="ER20" s="155"/>
      <c r="ES20" s="155"/>
      <c r="ET20" s="155"/>
      <c r="EU20" s="155"/>
      <c r="EV20" s="155"/>
      <c r="EW20" s="155"/>
      <c r="EX20" s="155"/>
      <c r="EY20" s="155"/>
      <c r="EZ20" s="155"/>
      <c r="FA20" s="155"/>
      <c r="FB20" s="155"/>
      <c r="FC20" s="155"/>
      <c r="FD20" s="155"/>
      <c r="FE20" s="155"/>
      <c r="FF20" s="155"/>
      <c r="FG20" s="155"/>
      <c r="FH20" s="155"/>
      <c r="FI20" s="155"/>
      <c r="FJ20" s="155"/>
      <c r="FK20" s="155"/>
      <c r="FL20" s="155"/>
      <c r="FM20" s="155"/>
      <c r="FN20" s="155"/>
      <c r="FO20" s="155"/>
      <c r="FP20" s="155"/>
      <c r="FQ20" s="155"/>
      <c r="FR20" s="155"/>
      <c r="FS20" s="155"/>
      <c r="FT20" s="155"/>
      <c r="FU20" s="155"/>
      <c r="FV20" s="155"/>
      <c r="FW20" s="155"/>
      <c r="FX20" s="155"/>
      <c r="FY20" s="155"/>
      <c r="FZ20" s="155"/>
      <c r="GA20" s="155"/>
      <c r="GB20" s="155"/>
      <c r="GC20" s="155"/>
      <c r="GD20" s="155"/>
      <c r="GE20" s="155"/>
      <c r="GF20" s="155"/>
      <c r="GG20" s="155"/>
      <c r="GH20" s="155"/>
      <c r="GI20" s="155"/>
      <c r="GJ20" s="155"/>
      <c r="GK20" s="155"/>
      <c r="GL20" s="155"/>
      <c r="GM20" s="155"/>
      <c r="GN20" s="155"/>
      <c r="GO20" s="155"/>
      <c r="GP20" s="155"/>
      <c r="GQ20" s="155"/>
      <c r="GR20" s="155"/>
      <c r="GS20" s="155"/>
      <c r="GT20" s="155"/>
      <c r="GU20" s="155"/>
      <c r="GV20" s="155"/>
      <c r="GW20" s="155"/>
      <c r="GX20" s="155"/>
      <c r="GY20" s="155"/>
      <c r="GZ20" s="155"/>
      <c r="HA20" s="155"/>
      <c r="HB20" s="155"/>
      <c r="HC20" s="155"/>
      <c r="HD20" s="155"/>
      <c r="HE20" s="155"/>
      <c r="HF20" s="155"/>
      <c r="HG20" s="155"/>
      <c r="HH20" s="155"/>
      <c r="HI20" s="155"/>
      <c r="HJ20" s="155"/>
      <c r="HK20" s="155"/>
      <c r="HL20" s="155"/>
      <c r="HM20" s="155"/>
      <c r="HN20" s="155"/>
      <c r="HO20" s="155"/>
      <c r="HP20" s="155"/>
      <c r="HQ20" s="155"/>
      <c r="HR20" s="155"/>
      <c r="HS20" s="155"/>
      <c r="HT20" s="155"/>
      <c r="HU20" s="155"/>
      <c r="HV20" s="155"/>
      <c r="HW20" s="155"/>
      <c r="HX20" s="155"/>
      <c r="HY20" s="155"/>
      <c r="HZ20" s="155"/>
      <c r="IA20" s="155"/>
      <c r="IB20" s="155"/>
      <c r="IC20" s="155"/>
      <c r="ID20" s="155"/>
      <c r="IE20" s="155"/>
      <c r="IF20" s="155"/>
      <c r="IG20" s="155"/>
      <c r="IH20" s="155"/>
      <c r="II20" s="155"/>
      <c r="IJ20" s="155"/>
      <c r="IK20" s="155"/>
      <c r="IL20" s="155"/>
      <c r="IM20" s="155"/>
      <c r="IN20" s="155"/>
      <c r="IO20" s="155"/>
      <c r="IP20" s="155"/>
      <c r="IQ20" s="155"/>
      <c r="IR20" s="155"/>
      <c r="IS20" s="155"/>
      <c r="IT20" s="155"/>
      <c r="IU20" s="155"/>
      <c r="IV20" s="155"/>
    </row>
    <row r="21" s="156" customFormat="true" ht="25.5" hidden="false" customHeight="true" outlineLevel="0" collapsed="false">
      <c r="A21" s="157" t="str">
        <f aca="false">IF(Eingabe!A125="","",Eingabe!A125)</f>
        <v/>
      </c>
      <c r="B21" s="157"/>
      <c r="C21" s="157"/>
      <c r="D21" s="157"/>
      <c r="E21" s="158" t="str">
        <f aca="false">IF(Eingabe!B125="","",Eingabe!B125)</f>
        <v/>
      </c>
      <c r="F21" s="158"/>
      <c r="G21" s="158"/>
      <c r="H21" s="158"/>
      <c r="I21" s="159" t="str">
        <f aca="false">IF(Eingabe!C125="","",Eingabe!C125)</f>
        <v/>
      </c>
      <c r="J21" s="159"/>
      <c r="K21" s="159"/>
      <c r="L21" s="159"/>
      <c r="M21" s="160" t="str">
        <f aca="false">IF(Eingabe!D125&amp;""&amp;Eingabe!E125="","",Eingabe!D125&amp;" 
"&amp;Eingabe!E125)</f>
        <v/>
      </c>
      <c r="N21" s="160"/>
      <c r="O21" s="160"/>
      <c r="P21" s="160"/>
      <c r="Q21" s="160"/>
      <c r="R21" s="160"/>
      <c r="S21" s="160"/>
      <c r="T21" s="160"/>
      <c r="U21" s="160"/>
      <c r="V21" s="160"/>
      <c r="W21" s="160"/>
      <c r="X21" s="160"/>
      <c r="Y21" s="160"/>
      <c r="Z21" s="160"/>
      <c r="AA21" s="160"/>
      <c r="AB21" s="160"/>
      <c r="AC21" s="160"/>
      <c r="AD21" s="160"/>
      <c r="AE21" s="160"/>
      <c r="AF21" s="160"/>
      <c r="AG21" s="159" t="str">
        <f aca="false">IF(Eingabe!F125&amp;""&amp;Eingabe!G125="","",Eingabe!F125&amp;" 
"&amp;Eingabe!G125)</f>
        <v/>
      </c>
      <c r="AH21" s="159"/>
      <c r="AI21" s="159"/>
      <c r="AJ21" s="159"/>
      <c r="AK21" s="159"/>
      <c r="AL21" s="159"/>
      <c r="AM21" s="159"/>
      <c r="AN21" s="159"/>
      <c r="AO21" s="159"/>
      <c r="AP21" s="159"/>
      <c r="AQ21" s="159"/>
      <c r="AR21" s="159"/>
      <c r="AS21" s="159"/>
      <c r="AT21" s="159"/>
      <c r="AU21" s="159"/>
      <c r="AV21" s="159"/>
      <c r="AW21" s="159"/>
      <c r="AX21" s="159" t="str">
        <f aca="false">IF(Eingabe!H125="","",Eingabe!H125)</f>
        <v/>
      </c>
      <c r="AY21" s="159"/>
      <c r="AZ21" s="159"/>
      <c r="BA21" s="159"/>
      <c r="BB21" s="161" t="str">
        <f aca="false">IF(Eingabe!K125="","",Eingabe!K125)</f>
        <v/>
      </c>
      <c r="BC21" s="161"/>
      <c r="BD21" s="161"/>
      <c r="BE21" s="161"/>
      <c r="BF21" s="161"/>
      <c r="BG21" s="161"/>
      <c r="BH21" s="161"/>
      <c r="BI21" s="161"/>
      <c r="BJ21" s="161"/>
      <c r="BK21" s="161"/>
      <c r="BL21" s="161"/>
      <c r="BM21" s="161"/>
      <c r="BN21" s="161"/>
      <c r="BO21" s="155"/>
      <c r="BP21" s="155"/>
      <c r="BQ21" s="155"/>
      <c r="BR21" s="155"/>
      <c r="BS21" s="155"/>
      <c r="BT21" s="155"/>
      <c r="BU21" s="155"/>
      <c r="BV21" s="155"/>
      <c r="BW21" s="155"/>
      <c r="BX21" s="155"/>
      <c r="BY21" s="155"/>
      <c r="BZ21" s="155"/>
      <c r="CA21" s="155"/>
      <c r="CB21" s="155"/>
      <c r="CC21" s="155"/>
      <c r="CD21" s="155"/>
      <c r="CE21" s="155"/>
      <c r="CF21" s="155"/>
      <c r="CG21" s="155"/>
      <c r="CH21" s="155"/>
      <c r="CI21" s="155"/>
      <c r="CJ21" s="155"/>
      <c r="CK21" s="155"/>
      <c r="CL21" s="155"/>
      <c r="CM21" s="155"/>
      <c r="CN21" s="155"/>
      <c r="CO21" s="155"/>
      <c r="CP21" s="155"/>
      <c r="CQ21" s="155"/>
      <c r="CR21" s="155"/>
      <c r="CS21" s="155"/>
      <c r="CT21" s="155"/>
      <c r="CU21" s="155"/>
      <c r="CV21" s="155"/>
      <c r="CW21" s="155"/>
      <c r="CX21" s="155"/>
      <c r="CY21" s="155"/>
      <c r="CZ21" s="155"/>
      <c r="DA21" s="155"/>
      <c r="DB21" s="155"/>
      <c r="DC21" s="155"/>
      <c r="DD21" s="155"/>
      <c r="DE21" s="155"/>
      <c r="DF21" s="155"/>
      <c r="DG21" s="155"/>
      <c r="DH21" s="155"/>
      <c r="DI21" s="155"/>
      <c r="DJ21" s="155"/>
      <c r="DK21" s="155"/>
      <c r="DL21" s="155"/>
      <c r="DM21" s="155"/>
      <c r="DN21" s="155"/>
      <c r="DO21" s="155"/>
      <c r="DP21" s="155"/>
      <c r="DQ21" s="155"/>
      <c r="DR21" s="155"/>
      <c r="DS21" s="155"/>
      <c r="DT21" s="155"/>
      <c r="DU21" s="155"/>
      <c r="DV21" s="155"/>
      <c r="DW21" s="155"/>
      <c r="DX21" s="155"/>
      <c r="DY21" s="155"/>
      <c r="DZ21" s="155"/>
      <c r="EA21" s="155"/>
      <c r="EB21" s="155"/>
      <c r="EC21" s="155"/>
      <c r="ED21" s="155"/>
      <c r="EE21" s="155"/>
      <c r="EF21" s="155"/>
      <c r="EG21" s="155"/>
      <c r="EH21" s="155"/>
      <c r="EI21" s="155"/>
      <c r="EJ21" s="155"/>
      <c r="EK21" s="155"/>
      <c r="EL21" s="155"/>
      <c r="EM21" s="155"/>
      <c r="EN21" s="155"/>
      <c r="EO21" s="155"/>
      <c r="EP21" s="155"/>
      <c r="EQ21" s="155"/>
      <c r="ER21" s="155"/>
      <c r="ES21" s="155"/>
      <c r="ET21" s="155"/>
      <c r="EU21" s="155"/>
      <c r="EV21" s="155"/>
      <c r="EW21" s="155"/>
      <c r="EX21" s="155"/>
      <c r="EY21" s="155"/>
      <c r="EZ21" s="155"/>
      <c r="FA21" s="155"/>
      <c r="FB21" s="155"/>
      <c r="FC21" s="155"/>
      <c r="FD21" s="155"/>
      <c r="FE21" s="155"/>
      <c r="FF21" s="155"/>
      <c r="FG21" s="155"/>
      <c r="FH21" s="155"/>
      <c r="FI21" s="155"/>
      <c r="FJ21" s="155"/>
      <c r="FK21" s="155"/>
      <c r="FL21" s="155"/>
      <c r="FM21" s="155"/>
      <c r="FN21" s="155"/>
      <c r="FO21" s="155"/>
      <c r="FP21" s="155"/>
      <c r="FQ21" s="155"/>
      <c r="FR21" s="155"/>
      <c r="FS21" s="155"/>
      <c r="FT21" s="155"/>
      <c r="FU21" s="155"/>
      <c r="FV21" s="155"/>
      <c r="FW21" s="155"/>
      <c r="FX21" s="155"/>
      <c r="FY21" s="155"/>
      <c r="FZ21" s="155"/>
      <c r="GA21" s="155"/>
      <c r="GB21" s="155"/>
      <c r="GC21" s="155"/>
      <c r="GD21" s="155"/>
      <c r="GE21" s="155"/>
      <c r="GF21" s="155"/>
      <c r="GG21" s="155"/>
      <c r="GH21" s="155"/>
      <c r="GI21" s="155"/>
      <c r="GJ21" s="155"/>
      <c r="GK21" s="155"/>
      <c r="GL21" s="155"/>
      <c r="GM21" s="155"/>
      <c r="GN21" s="155"/>
      <c r="GO21" s="155"/>
      <c r="GP21" s="155"/>
      <c r="GQ21" s="155"/>
      <c r="GR21" s="155"/>
      <c r="GS21" s="155"/>
      <c r="GT21" s="155"/>
      <c r="GU21" s="155"/>
      <c r="GV21" s="155"/>
      <c r="GW21" s="155"/>
      <c r="GX21" s="155"/>
      <c r="GY21" s="155"/>
      <c r="GZ21" s="155"/>
      <c r="HA21" s="155"/>
      <c r="HB21" s="155"/>
      <c r="HC21" s="155"/>
      <c r="HD21" s="155"/>
      <c r="HE21" s="155"/>
      <c r="HF21" s="155"/>
      <c r="HG21" s="155"/>
      <c r="HH21" s="155"/>
      <c r="HI21" s="155"/>
      <c r="HJ21" s="155"/>
      <c r="HK21" s="155"/>
      <c r="HL21" s="155"/>
      <c r="HM21" s="155"/>
      <c r="HN21" s="155"/>
      <c r="HO21" s="155"/>
      <c r="HP21" s="155"/>
      <c r="HQ21" s="155"/>
      <c r="HR21" s="155"/>
      <c r="HS21" s="155"/>
      <c r="HT21" s="155"/>
      <c r="HU21" s="155"/>
      <c r="HV21" s="155"/>
      <c r="HW21" s="155"/>
      <c r="HX21" s="155"/>
      <c r="HY21" s="155"/>
      <c r="HZ21" s="155"/>
      <c r="IA21" s="155"/>
      <c r="IB21" s="155"/>
      <c r="IC21" s="155"/>
      <c r="ID21" s="155"/>
      <c r="IE21" s="155"/>
      <c r="IF21" s="155"/>
      <c r="IG21" s="155"/>
      <c r="IH21" s="155"/>
      <c r="II21" s="155"/>
      <c r="IJ21" s="155"/>
      <c r="IK21" s="155"/>
      <c r="IL21" s="155"/>
      <c r="IM21" s="155"/>
      <c r="IN21" s="155"/>
      <c r="IO21" s="155"/>
      <c r="IP21" s="155"/>
      <c r="IQ21" s="155"/>
      <c r="IR21" s="155"/>
      <c r="IS21" s="155"/>
      <c r="IT21" s="155"/>
      <c r="IU21" s="155"/>
      <c r="IV21" s="155"/>
    </row>
    <row r="22" s="156" customFormat="true" ht="25.5" hidden="false" customHeight="true" outlineLevel="0" collapsed="false">
      <c r="A22" s="157" t="str">
        <f aca="false">IF(Eingabe!A126="","",Eingabe!A126)</f>
        <v/>
      </c>
      <c r="B22" s="157"/>
      <c r="C22" s="157"/>
      <c r="D22" s="157"/>
      <c r="E22" s="158" t="str">
        <f aca="false">IF(Eingabe!B126="","",Eingabe!B126)</f>
        <v/>
      </c>
      <c r="F22" s="158"/>
      <c r="G22" s="158"/>
      <c r="H22" s="158"/>
      <c r="I22" s="159" t="str">
        <f aca="false">IF(Eingabe!C126="","",Eingabe!C126)</f>
        <v/>
      </c>
      <c r="J22" s="159"/>
      <c r="K22" s="159"/>
      <c r="L22" s="159"/>
      <c r="M22" s="160" t="str">
        <f aca="false">IF(Eingabe!D126&amp;""&amp;Eingabe!E126="","",Eingabe!D126&amp;" 
"&amp;Eingabe!E126)</f>
        <v/>
      </c>
      <c r="N22" s="160"/>
      <c r="O22" s="160"/>
      <c r="P22" s="160"/>
      <c r="Q22" s="160"/>
      <c r="R22" s="160"/>
      <c r="S22" s="160"/>
      <c r="T22" s="160"/>
      <c r="U22" s="160"/>
      <c r="V22" s="160"/>
      <c r="W22" s="160"/>
      <c r="X22" s="160"/>
      <c r="Y22" s="160"/>
      <c r="Z22" s="160"/>
      <c r="AA22" s="160"/>
      <c r="AB22" s="160"/>
      <c r="AC22" s="160"/>
      <c r="AD22" s="160"/>
      <c r="AE22" s="160"/>
      <c r="AF22" s="160"/>
      <c r="AG22" s="159" t="str">
        <f aca="false">IF(Eingabe!F126&amp;""&amp;Eingabe!G126="","",Eingabe!F126&amp;" 
"&amp;Eingabe!G126)</f>
        <v/>
      </c>
      <c r="AH22" s="159"/>
      <c r="AI22" s="159"/>
      <c r="AJ22" s="159"/>
      <c r="AK22" s="159"/>
      <c r="AL22" s="159"/>
      <c r="AM22" s="159"/>
      <c r="AN22" s="159"/>
      <c r="AO22" s="159"/>
      <c r="AP22" s="159"/>
      <c r="AQ22" s="159"/>
      <c r="AR22" s="159"/>
      <c r="AS22" s="159"/>
      <c r="AT22" s="159"/>
      <c r="AU22" s="159"/>
      <c r="AV22" s="159"/>
      <c r="AW22" s="159"/>
      <c r="AX22" s="159" t="str">
        <f aca="false">IF(Eingabe!H126="","",Eingabe!H126)</f>
        <v/>
      </c>
      <c r="AY22" s="159"/>
      <c r="AZ22" s="159"/>
      <c r="BA22" s="159"/>
      <c r="BB22" s="161" t="str">
        <f aca="false">IF(Eingabe!K126="","",Eingabe!K126)</f>
        <v/>
      </c>
      <c r="BC22" s="161"/>
      <c r="BD22" s="161"/>
      <c r="BE22" s="161"/>
      <c r="BF22" s="161"/>
      <c r="BG22" s="161"/>
      <c r="BH22" s="161"/>
      <c r="BI22" s="161"/>
      <c r="BJ22" s="161"/>
      <c r="BK22" s="161"/>
      <c r="BL22" s="161"/>
      <c r="BM22" s="161"/>
      <c r="BN22" s="161"/>
      <c r="BO22" s="155"/>
      <c r="BP22" s="155"/>
      <c r="BQ22" s="155"/>
      <c r="BR22" s="155"/>
      <c r="BS22" s="155"/>
      <c r="BT22" s="155"/>
      <c r="BU22" s="155"/>
      <c r="BV22" s="155"/>
      <c r="BW22" s="155"/>
      <c r="BX22" s="155"/>
      <c r="BY22" s="155"/>
      <c r="BZ22" s="155"/>
      <c r="CA22" s="155"/>
      <c r="CB22" s="155"/>
      <c r="CC22" s="155"/>
      <c r="CD22" s="155"/>
      <c r="CE22" s="155"/>
      <c r="CF22" s="155"/>
      <c r="CG22" s="155"/>
      <c r="CH22" s="155"/>
      <c r="CI22" s="155"/>
      <c r="CJ22" s="155"/>
      <c r="CK22" s="155"/>
      <c r="CL22" s="155"/>
      <c r="CM22" s="155"/>
      <c r="CN22" s="155"/>
      <c r="CO22" s="155"/>
      <c r="CP22" s="155"/>
      <c r="CQ22" s="155"/>
      <c r="CR22" s="155"/>
      <c r="CS22" s="155"/>
      <c r="CT22" s="155"/>
      <c r="CU22" s="155"/>
      <c r="CV22" s="155"/>
      <c r="CW22" s="155"/>
      <c r="CX22" s="155"/>
      <c r="CY22" s="155"/>
      <c r="CZ22" s="155"/>
      <c r="DA22" s="155"/>
      <c r="DB22" s="155"/>
      <c r="DC22" s="155"/>
      <c r="DD22" s="155"/>
      <c r="DE22" s="155"/>
      <c r="DF22" s="155"/>
      <c r="DG22" s="155"/>
      <c r="DH22" s="155"/>
      <c r="DI22" s="155"/>
      <c r="DJ22" s="155"/>
      <c r="DK22" s="155"/>
      <c r="DL22" s="155"/>
      <c r="DM22" s="155"/>
      <c r="DN22" s="155"/>
      <c r="DO22" s="155"/>
      <c r="DP22" s="155"/>
      <c r="DQ22" s="155"/>
      <c r="DR22" s="155"/>
      <c r="DS22" s="155"/>
      <c r="DT22" s="155"/>
      <c r="DU22" s="155"/>
      <c r="DV22" s="155"/>
      <c r="DW22" s="155"/>
      <c r="DX22" s="155"/>
      <c r="DY22" s="155"/>
      <c r="DZ22" s="155"/>
      <c r="EA22" s="155"/>
      <c r="EB22" s="155"/>
      <c r="EC22" s="155"/>
      <c r="ED22" s="155"/>
      <c r="EE22" s="155"/>
      <c r="EF22" s="155"/>
      <c r="EG22" s="155"/>
      <c r="EH22" s="155"/>
      <c r="EI22" s="155"/>
      <c r="EJ22" s="155"/>
      <c r="EK22" s="155"/>
      <c r="EL22" s="155"/>
      <c r="EM22" s="155"/>
      <c r="EN22" s="155"/>
      <c r="EO22" s="155"/>
      <c r="EP22" s="155"/>
      <c r="EQ22" s="155"/>
      <c r="ER22" s="155"/>
      <c r="ES22" s="155"/>
      <c r="ET22" s="155"/>
      <c r="EU22" s="155"/>
      <c r="EV22" s="155"/>
      <c r="EW22" s="155"/>
      <c r="EX22" s="155"/>
      <c r="EY22" s="155"/>
      <c r="EZ22" s="155"/>
      <c r="FA22" s="155"/>
      <c r="FB22" s="155"/>
      <c r="FC22" s="155"/>
      <c r="FD22" s="155"/>
      <c r="FE22" s="155"/>
      <c r="FF22" s="155"/>
      <c r="FG22" s="155"/>
      <c r="FH22" s="155"/>
      <c r="FI22" s="155"/>
      <c r="FJ22" s="155"/>
      <c r="FK22" s="155"/>
      <c r="FL22" s="155"/>
      <c r="FM22" s="155"/>
      <c r="FN22" s="155"/>
      <c r="FO22" s="155"/>
      <c r="FP22" s="155"/>
      <c r="FQ22" s="155"/>
      <c r="FR22" s="155"/>
      <c r="FS22" s="155"/>
      <c r="FT22" s="155"/>
      <c r="FU22" s="155"/>
      <c r="FV22" s="155"/>
      <c r="FW22" s="155"/>
      <c r="FX22" s="155"/>
      <c r="FY22" s="155"/>
      <c r="FZ22" s="155"/>
      <c r="GA22" s="155"/>
      <c r="GB22" s="155"/>
      <c r="GC22" s="155"/>
      <c r="GD22" s="155"/>
      <c r="GE22" s="155"/>
      <c r="GF22" s="155"/>
      <c r="GG22" s="155"/>
      <c r="GH22" s="155"/>
      <c r="GI22" s="155"/>
      <c r="GJ22" s="155"/>
      <c r="GK22" s="155"/>
      <c r="GL22" s="155"/>
      <c r="GM22" s="155"/>
      <c r="GN22" s="155"/>
      <c r="GO22" s="155"/>
      <c r="GP22" s="155"/>
      <c r="GQ22" s="155"/>
      <c r="GR22" s="155"/>
      <c r="GS22" s="155"/>
      <c r="GT22" s="155"/>
      <c r="GU22" s="155"/>
      <c r="GV22" s="155"/>
      <c r="GW22" s="155"/>
      <c r="GX22" s="155"/>
      <c r="GY22" s="155"/>
      <c r="GZ22" s="155"/>
      <c r="HA22" s="155"/>
      <c r="HB22" s="155"/>
      <c r="HC22" s="155"/>
      <c r="HD22" s="155"/>
      <c r="HE22" s="155"/>
      <c r="HF22" s="155"/>
      <c r="HG22" s="155"/>
      <c r="HH22" s="155"/>
      <c r="HI22" s="155"/>
      <c r="HJ22" s="155"/>
      <c r="HK22" s="155"/>
      <c r="HL22" s="155"/>
      <c r="HM22" s="155"/>
      <c r="HN22" s="155"/>
      <c r="HO22" s="155"/>
      <c r="HP22" s="155"/>
      <c r="HQ22" s="155"/>
      <c r="HR22" s="155"/>
      <c r="HS22" s="155"/>
      <c r="HT22" s="155"/>
      <c r="HU22" s="155"/>
      <c r="HV22" s="155"/>
      <c r="HW22" s="155"/>
      <c r="HX22" s="155"/>
      <c r="HY22" s="155"/>
      <c r="HZ22" s="155"/>
      <c r="IA22" s="155"/>
      <c r="IB22" s="155"/>
      <c r="IC22" s="155"/>
      <c r="ID22" s="155"/>
      <c r="IE22" s="155"/>
      <c r="IF22" s="155"/>
      <c r="IG22" s="155"/>
      <c r="IH22" s="155"/>
      <c r="II22" s="155"/>
      <c r="IJ22" s="155"/>
      <c r="IK22" s="155"/>
      <c r="IL22" s="155"/>
      <c r="IM22" s="155"/>
      <c r="IN22" s="155"/>
      <c r="IO22" s="155"/>
      <c r="IP22" s="155"/>
      <c r="IQ22" s="155"/>
      <c r="IR22" s="155"/>
      <c r="IS22" s="155"/>
      <c r="IT22" s="155"/>
      <c r="IU22" s="155"/>
      <c r="IV22" s="155"/>
    </row>
    <row r="23" s="156" customFormat="true" ht="25.5" hidden="false" customHeight="true" outlineLevel="0" collapsed="false">
      <c r="A23" s="157" t="str">
        <f aca="false">IF(Eingabe!A127="","",Eingabe!A127)</f>
        <v/>
      </c>
      <c r="B23" s="157"/>
      <c r="C23" s="157"/>
      <c r="D23" s="157"/>
      <c r="E23" s="158" t="str">
        <f aca="false">IF(Eingabe!B127="","",Eingabe!B127)</f>
        <v/>
      </c>
      <c r="F23" s="158"/>
      <c r="G23" s="158"/>
      <c r="H23" s="158"/>
      <c r="I23" s="159" t="str">
        <f aca="false">IF(Eingabe!C127="","",Eingabe!C127)</f>
        <v/>
      </c>
      <c r="J23" s="159"/>
      <c r="K23" s="159"/>
      <c r="L23" s="159"/>
      <c r="M23" s="160" t="str">
        <f aca="false">IF(Eingabe!D127&amp;""&amp;Eingabe!E127="","",Eingabe!D127&amp;" 
"&amp;Eingabe!E127)</f>
        <v/>
      </c>
      <c r="N23" s="160"/>
      <c r="O23" s="160"/>
      <c r="P23" s="160"/>
      <c r="Q23" s="160"/>
      <c r="R23" s="160"/>
      <c r="S23" s="160"/>
      <c r="T23" s="160"/>
      <c r="U23" s="160"/>
      <c r="V23" s="160"/>
      <c r="W23" s="160"/>
      <c r="X23" s="160"/>
      <c r="Y23" s="160"/>
      <c r="Z23" s="160"/>
      <c r="AA23" s="160"/>
      <c r="AB23" s="160"/>
      <c r="AC23" s="160"/>
      <c r="AD23" s="160"/>
      <c r="AE23" s="160"/>
      <c r="AF23" s="160"/>
      <c r="AG23" s="159" t="str">
        <f aca="false">IF(Eingabe!F127&amp;""&amp;Eingabe!G127="","",Eingabe!F127&amp;" 
"&amp;Eingabe!G127)</f>
        <v/>
      </c>
      <c r="AH23" s="159"/>
      <c r="AI23" s="159"/>
      <c r="AJ23" s="159"/>
      <c r="AK23" s="159"/>
      <c r="AL23" s="159"/>
      <c r="AM23" s="159"/>
      <c r="AN23" s="159"/>
      <c r="AO23" s="159"/>
      <c r="AP23" s="159"/>
      <c r="AQ23" s="159"/>
      <c r="AR23" s="159"/>
      <c r="AS23" s="159"/>
      <c r="AT23" s="159"/>
      <c r="AU23" s="159"/>
      <c r="AV23" s="159"/>
      <c r="AW23" s="159"/>
      <c r="AX23" s="159" t="str">
        <f aca="false">IF(Eingabe!H127="","",Eingabe!H127)</f>
        <v/>
      </c>
      <c r="AY23" s="159"/>
      <c r="AZ23" s="159"/>
      <c r="BA23" s="159"/>
      <c r="BB23" s="161" t="str">
        <f aca="false">IF(Eingabe!K127="","",Eingabe!K127)</f>
        <v/>
      </c>
      <c r="BC23" s="161"/>
      <c r="BD23" s="161"/>
      <c r="BE23" s="161"/>
      <c r="BF23" s="161"/>
      <c r="BG23" s="161"/>
      <c r="BH23" s="161"/>
      <c r="BI23" s="161"/>
      <c r="BJ23" s="161"/>
      <c r="BK23" s="161"/>
      <c r="BL23" s="161"/>
      <c r="BM23" s="161"/>
      <c r="BN23" s="161"/>
      <c r="BO23" s="155"/>
      <c r="BP23" s="155"/>
      <c r="BQ23" s="155"/>
      <c r="BR23" s="155"/>
      <c r="BS23" s="155"/>
      <c r="BT23" s="155"/>
      <c r="BU23" s="155"/>
      <c r="BV23" s="155"/>
      <c r="BW23" s="155"/>
      <c r="BX23" s="155"/>
      <c r="BY23" s="155"/>
      <c r="BZ23" s="155"/>
      <c r="CA23" s="155"/>
      <c r="CB23" s="155"/>
      <c r="CC23" s="155"/>
      <c r="CD23" s="155"/>
      <c r="CE23" s="155"/>
      <c r="CF23" s="155"/>
      <c r="CG23" s="155"/>
      <c r="CH23" s="155"/>
      <c r="CI23" s="155"/>
      <c r="CJ23" s="155"/>
      <c r="CK23" s="155"/>
      <c r="CL23" s="155"/>
      <c r="CM23" s="155"/>
      <c r="CN23" s="155"/>
      <c r="CO23" s="155"/>
      <c r="CP23" s="155"/>
      <c r="CQ23" s="155"/>
      <c r="CR23" s="155"/>
      <c r="CS23" s="155"/>
      <c r="CT23" s="155"/>
      <c r="CU23" s="155"/>
      <c r="CV23" s="155"/>
      <c r="CW23" s="155"/>
      <c r="CX23" s="155"/>
      <c r="CY23" s="155"/>
      <c r="CZ23" s="155"/>
      <c r="DA23" s="155"/>
      <c r="DB23" s="155"/>
      <c r="DC23" s="155"/>
      <c r="DD23" s="155"/>
      <c r="DE23" s="155"/>
      <c r="DF23" s="155"/>
      <c r="DG23" s="155"/>
      <c r="DH23" s="155"/>
      <c r="DI23" s="155"/>
      <c r="DJ23" s="155"/>
      <c r="DK23" s="155"/>
      <c r="DL23" s="155"/>
      <c r="DM23" s="155"/>
      <c r="DN23" s="155"/>
      <c r="DO23" s="155"/>
      <c r="DP23" s="155"/>
      <c r="DQ23" s="155"/>
      <c r="DR23" s="155"/>
      <c r="DS23" s="155"/>
      <c r="DT23" s="155"/>
      <c r="DU23" s="155"/>
      <c r="DV23" s="155"/>
      <c r="DW23" s="155"/>
      <c r="DX23" s="155"/>
      <c r="DY23" s="155"/>
      <c r="DZ23" s="155"/>
      <c r="EA23" s="155"/>
      <c r="EB23" s="155"/>
      <c r="EC23" s="155"/>
      <c r="ED23" s="155"/>
      <c r="EE23" s="155"/>
      <c r="EF23" s="155"/>
      <c r="EG23" s="155"/>
      <c r="EH23" s="155"/>
      <c r="EI23" s="155"/>
      <c r="EJ23" s="155"/>
      <c r="EK23" s="155"/>
      <c r="EL23" s="155"/>
      <c r="EM23" s="155"/>
      <c r="EN23" s="155"/>
      <c r="EO23" s="155"/>
      <c r="EP23" s="155"/>
      <c r="EQ23" s="155"/>
      <c r="ER23" s="155"/>
      <c r="ES23" s="155"/>
      <c r="ET23" s="155"/>
      <c r="EU23" s="155"/>
      <c r="EV23" s="155"/>
      <c r="EW23" s="155"/>
      <c r="EX23" s="155"/>
      <c r="EY23" s="155"/>
      <c r="EZ23" s="155"/>
      <c r="FA23" s="155"/>
      <c r="FB23" s="155"/>
      <c r="FC23" s="155"/>
      <c r="FD23" s="155"/>
      <c r="FE23" s="155"/>
      <c r="FF23" s="155"/>
      <c r="FG23" s="155"/>
      <c r="FH23" s="155"/>
      <c r="FI23" s="155"/>
      <c r="FJ23" s="155"/>
      <c r="FK23" s="155"/>
      <c r="FL23" s="155"/>
      <c r="FM23" s="155"/>
      <c r="FN23" s="155"/>
      <c r="FO23" s="155"/>
      <c r="FP23" s="155"/>
      <c r="FQ23" s="155"/>
      <c r="FR23" s="155"/>
      <c r="FS23" s="155"/>
      <c r="FT23" s="155"/>
      <c r="FU23" s="155"/>
      <c r="FV23" s="155"/>
      <c r="FW23" s="155"/>
      <c r="FX23" s="155"/>
      <c r="FY23" s="155"/>
      <c r="FZ23" s="155"/>
      <c r="GA23" s="155"/>
      <c r="GB23" s="155"/>
      <c r="GC23" s="155"/>
      <c r="GD23" s="155"/>
      <c r="GE23" s="155"/>
      <c r="GF23" s="155"/>
      <c r="GG23" s="155"/>
      <c r="GH23" s="155"/>
      <c r="GI23" s="155"/>
      <c r="GJ23" s="155"/>
      <c r="GK23" s="155"/>
      <c r="GL23" s="155"/>
      <c r="GM23" s="155"/>
      <c r="GN23" s="155"/>
      <c r="GO23" s="155"/>
      <c r="GP23" s="155"/>
      <c r="GQ23" s="155"/>
      <c r="GR23" s="155"/>
      <c r="GS23" s="155"/>
      <c r="GT23" s="155"/>
      <c r="GU23" s="155"/>
      <c r="GV23" s="155"/>
      <c r="GW23" s="155"/>
      <c r="GX23" s="155"/>
      <c r="GY23" s="155"/>
      <c r="GZ23" s="155"/>
      <c r="HA23" s="155"/>
      <c r="HB23" s="155"/>
      <c r="HC23" s="155"/>
      <c r="HD23" s="155"/>
      <c r="HE23" s="155"/>
      <c r="HF23" s="155"/>
      <c r="HG23" s="155"/>
      <c r="HH23" s="155"/>
      <c r="HI23" s="155"/>
      <c r="HJ23" s="155"/>
      <c r="HK23" s="155"/>
      <c r="HL23" s="155"/>
      <c r="HM23" s="155"/>
      <c r="HN23" s="155"/>
      <c r="HO23" s="155"/>
      <c r="HP23" s="155"/>
      <c r="HQ23" s="155"/>
      <c r="HR23" s="155"/>
      <c r="HS23" s="155"/>
      <c r="HT23" s="155"/>
      <c r="HU23" s="155"/>
      <c r="HV23" s="155"/>
      <c r="HW23" s="155"/>
      <c r="HX23" s="155"/>
      <c r="HY23" s="155"/>
      <c r="HZ23" s="155"/>
      <c r="IA23" s="155"/>
      <c r="IB23" s="155"/>
      <c r="IC23" s="155"/>
      <c r="ID23" s="155"/>
      <c r="IE23" s="155"/>
      <c r="IF23" s="155"/>
      <c r="IG23" s="155"/>
      <c r="IH23" s="155"/>
      <c r="II23" s="155"/>
      <c r="IJ23" s="155"/>
      <c r="IK23" s="155"/>
      <c r="IL23" s="155"/>
      <c r="IM23" s="155"/>
      <c r="IN23" s="155"/>
      <c r="IO23" s="155"/>
      <c r="IP23" s="155"/>
      <c r="IQ23" s="155"/>
      <c r="IR23" s="155"/>
      <c r="IS23" s="155"/>
      <c r="IT23" s="155"/>
      <c r="IU23" s="155"/>
      <c r="IV23" s="155"/>
    </row>
    <row r="24" s="156" customFormat="true" ht="25.5" hidden="false" customHeight="true" outlineLevel="0" collapsed="false">
      <c r="A24" s="157" t="str">
        <f aca="false">IF(Eingabe!A128="","",Eingabe!A128)</f>
        <v/>
      </c>
      <c r="B24" s="157"/>
      <c r="C24" s="157"/>
      <c r="D24" s="157"/>
      <c r="E24" s="158" t="str">
        <f aca="false">IF(Eingabe!B128="","",Eingabe!B128)</f>
        <v/>
      </c>
      <c r="F24" s="158"/>
      <c r="G24" s="158"/>
      <c r="H24" s="158"/>
      <c r="I24" s="159" t="str">
        <f aca="false">IF(Eingabe!C128="","",Eingabe!C128)</f>
        <v/>
      </c>
      <c r="J24" s="159"/>
      <c r="K24" s="159"/>
      <c r="L24" s="159"/>
      <c r="M24" s="160" t="str">
        <f aca="false">IF(Eingabe!D128&amp;""&amp;Eingabe!E128="","",Eingabe!D128&amp;" 
"&amp;Eingabe!E128)</f>
        <v/>
      </c>
      <c r="N24" s="160"/>
      <c r="O24" s="160"/>
      <c r="P24" s="160"/>
      <c r="Q24" s="160"/>
      <c r="R24" s="160"/>
      <c r="S24" s="160"/>
      <c r="T24" s="160"/>
      <c r="U24" s="160"/>
      <c r="V24" s="160"/>
      <c r="W24" s="160"/>
      <c r="X24" s="160"/>
      <c r="Y24" s="160"/>
      <c r="Z24" s="160"/>
      <c r="AA24" s="160"/>
      <c r="AB24" s="160"/>
      <c r="AC24" s="160"/>
      <c r="AD24" s="160"/>
      <c r="AE24" s="160"/>
      <c r="AF24" s="160"/>
      <c r="AG24" s="159" t="str">
        <f aca="false">IF(Eingabe!F128&amp;""&amp;Eingabe!G128="","",Eingabe!F128&amp;" 
"&amp;Eingabe!G128)</f>
        <v/>
      </c>
      <c r="AH24" s="159"/>
      <c r="AI24" s="159"/>
      <c r="AJ24" s="159"/>
      <c r="AK24" s="159"/>
      <c r="AL24" s="159"/>
      <c r="AM24" s="159"/>
      <c r="AN24" s="159"/>
      <c r="AO24" s="159"/>
      <c r="AP24" s="159"/>
      <c r="AQ24" s="159"/>
      <c r="AR24" s="159"/>
      <c r="AS24" s="159"/>
      <c r="AT24" s="159"/>
      <c r="AU24" s="159"/>
      <c r="AV24" s="159"/>
      <c r="AW24" s="159"/>
      <c r="AX24" s="159" t="str">
        <f aca="false">IF(Eingabe!H128="","",Eingabe!H128)</f>
        <v/>
      </c>
      <c r="AY24" s="159"/>
      <c r="AZ24" s="159"/>
      <c r="BA24" s="159"/>
      <c r="BB24" s="161" t="str">
        <f aca="false">IF(Eingabe!K128="","",Eingabe!K128)</f>
        <v/>
      </c>
      <c r="BC24" s="161"/>
      <c r="BD24" s="161"/>
      <c r="BE24" s="161"/>
      <c r="BF24" s="161"/>
      <c r="BG24" s="161"/>
      <c r="BH24" s="161"/>
      <c r="BI24" s="161"/>
      <c r="BJ24" s="161"/>
      <c r="BK24" s="161"/>
      <c r="BL24" s="161"/>
      <c r="BM24" s="161"/>
      <c r="BN24" s="161"/>
      <c r="BO24" s="155"/>
      <c r="BP24" s="155"/>
      <c r="BQ24" s="155"/>
      <c r="BR24" s="155"/>
      <c r="BS24" s="155"/>
      <c r="BT24" s="155"/>
      <c r="BU24" s="155"/>
      <c r="BV24" s="155"/>
      <c r="BW24" s="155"/>
      <c r="BX24" s="155"/>
      <c r="BY24" s="155"/>
      <c r="BZ24" s="155"/>
      <c r="CA24" s="155"/>
      <c r="CB24" s="155"/>
      <c r="CC24" s="155"/>
      <c r="CD24" s="155"/>
      <c r="CE24" s="155"/>
      <c r="CF24" s="155"/>
      <c r="CG24" s="155"/>
      <c r="CH24" s="155"/>
      <c r="CI24" s="155"/>
      <c r="CJ24" s="155"/>
      <c r="CK24" s="155"/>
      <c r="CL24" s="155"/>
      <c r="CM24" s="155"/>
      <c r="CN24" s="155"/>
      <c r="CO24" s="155"/>
      <c r="CP24" s="155"/>
      <c r="CQ24" s="155"/>
      <c r="CR24" s="155"/>
      <c r="CS24" s="155"/>
      <c r="CT24" s="155"/>
      <c r="CU24" s="155"/>
      <c r="CV24" s="155"/>
      <c r="CW24" s="155"/>
      <c r="CX24" s="155"/>
      <c r="CY24" s="155"/>
      <c r="CZ24" s="155"/>
      <c r="DA24" s="155"/>
      <c r="DB24" s="155"/>
      <c r="DC24" s="155"/>
      <c r="DD24" s="155"/>
      <c r="DE24" s="155"/>
      <c r="DF24" s="155"/>
      <c r="DG24" s="155"/>
      <c r="DH24" s="155"/>
      <c r="DI24" s="155"/>
      <c r="DJ24" s="155"/>
      <c r="DK24" s="155"/>
      <c r="DL24" s="155"/>
      <c r="DM24" s="155"/>
      <c r="DN24" s="155"/>
      <c r="DO24" s="155"/>
      <c r="DP24" s="155"/>
      <c r="DQ24" s="155"/>
      <c r="DR24" s="155"/>
      <c r="DS24" s="155"/>
      <c r="DT24" s="155"/>
      <c r="DU24" s="155"/>
      <c r="DV24" s="155"/>
      <c r="DW24" s="155"/>
      <c r="DX24" s="155"/>
      <c r="DY24" s="155"/>
      <c r="DZ24" s="155"/>
      <c r="EA24" s="155"/>
      <c r="EB24" s="155"/>
      <c r="EC24" s="155"/>
      <c r="ED24" s="155"/>
      <c r="EE24" s="155"/>
      <c r="EF24" s="155"/>
      <c r="EG24" s="155"/>
      <c r="EH24" s="155"/>
      <c r="EI24" s="155"/>
      <c r="EJ24" s="155"/>
      <c r="EK24" s="155"/>
      <c r="EL24" s="155"/>
      <c r="EM24" s="155"/>
      <c r="EN24" s="155"/>
      <c r="EO24" s="155"/>
      <c r="EP24" s="155"/>
      <c r="EQ24" s="155"/>
      <c r="ER24" s="155"/>
      <c r="ES24" s="155"/>
      <c r="ET24" s="155"/>
      <c r="EU24" s="155"/>
      <c r="EV24" s="155"/>
      <c r="EW24" s="155"/>
      <c r="EX24" s="155"/>
      <c r="EY24" s="155"/>
      <c r="EZ24" s="155"/>
      <c r="FA24" s="155"/>
      <c r="FB24" s="155"/>
      <c r="FC24" s="155"/>
      <c r="FD24" s="155"/>
      <c r="FE24" s="155"/>
      <c r="FF24" s="155"/>
      <c r="FG24" s="155"/>
      <c r="FH24" s="155"/>
      <c r="FI24" s="155"/>
      <c r="FJ24" s="155"/>
      <c r="FK24" s="155"/>
      <c r="FL24" s="155"/>
      <c r="FM24" s="155"/>
      <c r="FN24" s="155"/>
      <c r="FO24" s="155"/>
      <c r="FP24" s="155"/>
      <c r="FQ24" s="155"/>
      <c r="FR24" s="155"/>
      <c r="FS24" s="155"/>
      <c r="FT24" s="155"/>
      <c r="FU24" s="155"/>
      <c r="FV24" s="155"/>
      <c r="FW24" s="155"/>
      <c r="FX24" s="155"/>
      <c r="FY24" s="155"/>
      <c r="FZ24" s="155"/>
      <c r="GA24" s="155"/>
      <c r="GB24" s="155"/>
      <c r="GC24" s="155"/>
      <c r="GD24" s="155"/>
      <c r="GE24" s="155"/>
      <c r="GF24" s="155"/>
      <c r="GG24" s="155"/>
      <c r="GH24" s="155"/>
      <c r="GI24" s="155"/>
      <c r="GJ24" s="155"/>
      <c r="GK24" s="155"/>
      <c r="GL24" s="155"/>
      <c r="GM24" s="155"/>
      <c r="GN24" s="155"/>
      <c r="GO24" s="155"/>
      <c r="GP24" s="155"/>
      <c r="GQ24" s="155"/>
      <c r="GR24" s="155"/>
      <c r="GS24" s="155"/>
      <c r="GT24" s="155"/>
      <c r="GU24" s="155"/>
      <c r="GV24" s="155"/>
      <c r="GW24" s="155"/>
      <c r="GX24" s="155"/>
      <c r="GY24" s="155"/>
      <c r="GZ24" s="155"/>
      <c r="HA24" s="155"/>
      <c r="HB24" s="155"/>
      <c r="HC24" s="155"/>
      <c r="HD24" s="155"/>
      <c r="HE24" s="155"/>
      <c r="HF24" s="155"/>
      <c r="HG24" s="155"/>
      <c r="HH24" s="155"/>
      <c r="HI24" s="155"/>
      <c r="HJ24" s="155"/>
      <c r="HK24" s="155"/>
      <c r="HL24" s="155"/>
      <c r="HM24" s="155"/>
      <c r="HN24" s="155"/>
      <c r="HO24" s="155"/>
      <c r="HP24" s="155"/>
      <c r="HQ24" s="155"/>
      <c r="HR24" s="155"/>
      <c r="HS24" s="155"/>
      <c r="HT24" s="155"/>
      <c r="HU24" s="155"/>
      <c r="HV24" s="155"/>
      <c r="HW24" s="155"/>
      <c r="HX24" s="155"/>
      <c r="HY24" s="155"/>
      <c r="HZ24" s="155"/>
      <c r="IA24" s="155"/>
      <c r="IB24" s="155"/>
      <c r="IC24" s="155"/>
      <c r="ID24" s="155"/>
      <c r="IE24" s="155"/>
      <c r="IF24" s="155"/>
      <c r="IG24" s="155"/>
      <c r="IH24" s="155"/>
      <c r="II24" s="155"/>
      <c r="IJ24" s="155"/>
      <c r="IK24" s="155"/>
      <c r="IL24" s="155"/>
      <c r="IM24" s="155"/>
      <c r="IN24" s="155"/>
      <c r="IO24" s="155"/>
      <c r="IP24" s="155"/>
      <c r="IQ24" s="155"/>
      <c r="IR24" s="155"/>
      <c r="IS24" s="155"/>
      <c r="IT24" s="155"/>
      <c r="IU24" s="155"/>
      <c r="IV24" s="155"/>
    </row>
    <row r="25" s="156" customFormat="true" ht="25.5" hidden="false" customHeight="true" outlineLevel="0" collapsed="false">
      <c r="A25" s="157" t="str">
        <f aca="false">IF(Eingabe!A129="","",Eingabe!A129)</f>
        <v/>
      </c>
      <c r="B25" s="157"/>
      <c r="C25" s="157"/>
      <c r="D25" s="157"/>
      <c r="E25" s="158" t="str">
        <f aca="false">IF(Eingabe!B129="","",Eingabe!B129)</f>
        <v/>
      </c>
      <c r="F25" s="158"/>
      <c r="G25" s="158"/>
      <c r="H25" s="158"/>
      <c r="I25" s="159" t="str">
        <f aca="false">IF(Eingabe!C129="","",Eingabe!C129)</f>
        <v/>
      </c>
      <c r="J25" s="159"/>
      <c r="K25" s="159"/>
      <c r="L25" s="159"/>
      <c r="M25" s="160" t="str">
        <f aca="false">IF(Eingabe!D129&amp;""&amp;Eingabe!E129="","",Eingabe!D129&amp;" 
"&amp;Eingabe!E129)</f>
        <v/>
      </c>
      <c r="N25" s="160"/>
      <c r="O25" s="160"/>
      <c r="P25" s="160"/>
      <c r="Q25" s="160"/>
      <c r="R25" s="160"/>
      <c r="S25" s="160"/>
      <c r="T25" s="160"/>
      <c r="U25" s="160"/>
      <c r="V25" s="160"/>
      <c r="W25" s="160"/>
      <c r="X25" s="160"/>
      <c r="Y25" s="160"/>
      <c r="Z25" s="160"/>
      <c r="AA25" s="160"/>
      <c r="AB25" s="160"/>
      <c r="AC25" s="160"/>
      <c r="AD25" s="160"/>
      <c r="AE25" s="160"/>
      <c r="AF25" s="160"/>
      <c r="AG25" s="159" t="str">
        <f aca="false">IF(Eingabe!F129&amp;""&amp;Eingabe!G129="","",Eingabe!F129&amp;" 
"&amp;Eingabe!G129)</f>
        <v/>
      </c>
      <c r="AH25" s="159"/>
      <c r="AI25" s="159"/>
      <c r="AJ25" s="159"/>
      <c r="AK25" s="159"/>
      <c r="AL25" s="159"/>
      <c r="AM25" s="159"/>
      <c r="AN25" s="159"/>
      <c r="AO25" s="159"/>
      <c r="AP25" s="159"/>
      <c r="AQ25" s="159"/>
      <c r="AR25" s="159"/>
      <c r="AS25" s="159"/>
      <c r="AT25" s="159"/>
      <c r="AU25" s="159"/>
      <c r="AV25" s="159"/>
      <c r="AW25" s="159"/>
      <c r="AX25" s="159" t="str">
        <f aca="false">IF(Eingabe!H129="","",Eingabe!H129)</f>
        <v/>
      </c>
      <c r="AY25" s="159"/>
      <c r="AZ25" s="159"/>
      <c r="BA25" s="159"/>
      <c r="BB25" s="161" t="str">
        <f aca="false">IF(Eingabe!K129="","",Eingabe!K129)</f>
        <v/>
      </c>
      <c r="BC25" s="161"/>
      <c r="BD25" s="161"/>
      <c r="BE25" s="161"/>
      <c r="BF25" s="161"/>
      <c r="BG25" s="161"/>
      <c r="BH25" s="161"/>
      <c r="BI25" s="161"/>
      <c r="BJ25" s="161"/>
      <c r="BK25" s="161"/>
      <c r="BL25" s="161"/>
      <c r="BM25" s="161"/>
      <c r="BN25" s="161"/>
      <c r="BO25" s="155"/>
      <c r="BP25" s="155"/>
      <c r="BQ25" s="155"/>
      <c r="BR25" s="155"/>
      <c r="BS25" s="155"/>
      <c r="BT25" s="155"/>
      <c r="BU25" s="155"/>
      <c r="BV25" s="155"/>
      <c r="BW25" s="155"/>
      <c r="BX25" s="155"/>
      <c r="BY25" s="155"/>
      <c r="BZ25" s="155"/>
      <c r="CA25" s="155"/>
      <c r="CB25" s="155"/>
      <c r="CC25" s="155"/>
      <c r="CD25" s="155"/>
      <c r="CE25" s="155"/>
      <c r="CF25" s="155"/>
      <c r="CG25" s="155"/>
      <c r="CH25" s="155"/>
      <c r="CI25" s="155"/>
      <c r="CJ25" s="155"/>
      <c r="CK25" s="155"/>
      <c r="CL25" s="155"/>
      <c r="CM25" s="155"/>
      <c r="CN25" s="155"/>
      <c r="CO25" s="155"/>
      <c r="CP25" s="155"/>
      <c r="CQ25" s="155"/>
      <c r="CR25" s="155"/>
      <c r="CS25" s="155"/>
      <c r="CT25" s="155"/>
      <c r="CU25" s="155"/>
      <c r="CV25" s="155"/>
      <c r="CW25" s="155"/>
      <c r="CX25" s="155"/>
      <c r="CY25" s="155"/>
      <c r="CZ25" s="155"/>
      <c r="DA25" s="155"/>
      <c r="DB25" s="155"/>
      <c r="DC25" s="155"/>
      <c r="DD25" s="155"/>
      <c r="DE25" s="155"/>
      <c r="DF25" s="155"/>
      <c r="DG25" s="155"/>
      <c r="DH25" s="155"/>
      <c r="DI25" s="155"/>
      <c r="DJ25" s="155"/>
      <c r="DK25" s="155"/>
      <c r="DL25" s="155"/>
      <c r="DM25" s="155"/>
      <c r="DN25" s="155"/>
      <c r="DO25" s="155"/>
      <c r="DP25" s="155"/>
      <c r="DQ25" s="155"/>
      <c r="DR25" s="155"/>
      <c r="DS25" s="155"/>
      <c r="DT25" s="155"/>
      <c r="DU25" s="155"/>
      <c r="DV25" s="155"/>
      <c r="DW25" s="155"/>
      <c r="DX25" s="155"/>
      <c r="DY25" s="155"/>
      <c r="DZ25" s="155"/>
      <c r="EA25" s="155"/>
      <c r="EB25" s="155"/>
      <c r="EC25" s="155"/>
      <c r="ED25" s="155"/>
      <c r="EE25" s="155"/>
      <c r="EF25" s="155"/>
      <c r="EG25" s="155"/>
      <c r="EH25" s="155"/>
      <c r="EI25" s="155"/>
      <c r="EJ25" s="155"/>
      <c r="EK25" s="155"/>
      <c r="EL25" s="155"/>
      <c r="EM25" s="155"/>
      <c r="EN25" s="155"/>
      <c r="EO25" s="155"/>
      <c r="EP25" s="155"/>
      <c r="EQ25" s="155"/>
      <c r="ER25" s="155"/>
      <c r="ES25" s="155"/>
      <c r="ET25" s="155"/>
      <c r="EU25" s="155"/>
      <c r="EV25" s="155"/>
      <c r="EW25" s="155"/>
      <c r="EX25" s="155"/>
      <c r="EY25" s="155"/>
      <c r="EZ25" s="155"/>
      <c r="FA25" s="155"/>
      <c r="FB25" s="155"/>
      <c r="FC25" s="155"/>
      <c r="FD25" s="155"/>
      <c r="FE25" s="155"/>
      <c r="FF25" s="155"/>
      <c r="FG25" s="155"/>
      <c r="FH25" s="155"/>
      <c r="FI25" s="155"/>
      <c r="FJ25" s="155"/>
      <c r="FK25" s="155"/>
      <c r="FL25" s="155"/>
      <c r="FM25" s="155"/>
      <c r="FN25" s="155"/>
      <c r="FO25" s="155"/>
      <c r="FP25" s="155"/>
      <c r="FQ25" s="155"/>
      <c r="FR25" s="155"/>
      <c r="FS25" s="155"/>
      <c r="FT25" s="155"/>
      <c r="FU25" s="155"/>
      <c r="FV25" s="155"/>
      <c r="FW25" s="155"/>
      <c r="FX25" s="155"/>
      <c r="FY25" s="155"/>
      <c r="FZ25" s="155"/>
      <c r="GA25" s="155"/>
      <c r="GB25" s="155"/>
      <c r="GC25" s="155"/>
      <c r="GD25" s="155"/>
      <c r="GE25" s="155"/>
      <c r="GF25" s="155"/>
      <c r="GG25" s="155"/>
      <c r="GH25" s="155"/>
      <c r="GI25" s="155"/>
      <c r="GJ25" s="155"/>
      <c r="GK25" s="155"/>
      <c r="GL25" s="155"/>
      <c r="GM25" s="155"/>
      <c r="GN25" s="155"/>
      <c r="GO25" s="155"/>
      <c r="GP25" s="155"/>
      <c r="GQ25" s="155"/>
      <c r="GR25" s="155"/>
      <c r="GS25" s="155"/>
      <c r="GT25" s="155"/>
      <c r="GU25" s="155"/>
      <c r="GV25" s="155"/>
      <c r="GW25" s="155"/>
      <c r="GX25" s="155"/>
      <c r="GY25" s="155"/>
      <c r="GZ25" s="155"/>
      <c r="HA25" s="155"/>
      <c r="HB25" s="155"/>
      <c r="HC25" s="155"/>
      <c r="HD25" s="155"/>
      <c r="HE25" s="155"/>
      <c r="HF25" s="155"/>
      <c r="HG25" s="155"/>
      <c r="HH25" s="155"/>
      <c r="HI25" s="155"/>
      <c r="HJ25" s="155"/>
      <c r="HK25" s="155"/>
      <c r="HL25" s="155"/>
      <c r="HM25" s="155"/>
      <c r="HN25" s="155"/>
      <c r="HO25" s="155"/>
      <c r="HP25" s="155"/>
      <c r="HQ25" s="155"/>
      <c r="HR25" s="155"/>
      <c r="HS25" s="155"/>
      <c r="HT25" s="155"/>
      <c r="HU25" s="155"/>
      <c r="HV25" s="155"/>
      <c r="HW25" s="155"/>
      <c r="HX25" s="155"/>
      <c r="HY25" s="155"/>
      <c r="HZ25" s="155"/>
      <c r="IA25" s="155"/>
      <c r="IB25" s="155"/>
      <c r="IC25" s="155"/>
      <c r="ID25" s="155"/>
      <c r="IE25" s="155"/>
      <c r="IF25" s="155"/>
      <c r="IG25" s="155"/>
      <c r="IH25" s="155"/>
      <c r="II25" s="155"/>
      <c r="IJ25" s="155"/>
      <c r="IK25" s="155"/>
      <c r="IL25" s="155"/>
      <c r="IM25" s="155"/>
      <c r="IN25" s="155"/>
      <c r="IO25" s="155"/>
      <c r="IP25" s="155"/>
      <c r="IQ25" s="155"/>
      <c r="IR25" s="155"/>
      <c r="IS25" s="155"/>
      <c r="IT25" s="155"/>
      <c r="IU25" s="155"/>
      <c r="IV25" s="155"/>
    </row>
    <row r="26" s="156" customFormat="true" ht="25.5" hidden="false" customHeight="true" outlineLevel="0" collapsed="false">
      <c r="A26" s="157" t="str">
        <f aca="false">IF(Eingabe!A130="","",Eingabe!A130)</f>
        <v/>
      </c>
      <c r="B26" s="157"/>
      <c r="C26" s="157"/>
      <c r="D26" s="157"/>
      <c r="E26" s="158" t="str">
        <f aca="false">IF(Eingabe!B130="","",Eingabe!B130)</f>
        <v/>
      </c>
      <c r="F26" s="158"/>
      <c r="G26" s="158"/>
      <c r="H26" s="158"/>
      <c r="I26" s="159" t="str">
        <f aca="false">IF(Eingabe!C130="","",Eingabe!C130)</f>
        <v/>
      </c>
      <c r="J26" s="159"/>
      <c r="K26" s="159"/>
      <c r="L26" s="159"/>
      <c r="M26" s="160" t="str">
        <f aca="false">IF(Eingabe!D130&amp;""&amp;Eingabe!E130="","",Eingabe!D130&amp;" 
"&amp;Eingabe!E130)</f>
        <v/>
      </c>
      <c r="N26" s="160"/>
      <c r="O26" s="160"/>
      <c r="P26" s="160"/>
      <c r="Q26" s="160"/>
      <c r="R26" s="160"/>
      <c r="S26" s="160"/>
      <c r="T26" s="160"/>
      <c r="U26" s="160"/>
      <c r="V26" s="160"/>
      <c r="W26" s="160"/>
      <c r="X26" s="160"/>
      <c r="Y26" s="160"/>
      <c r="Z26" s="160"/>
      <c r="AA26" s="160"/>
      <c r="AB26" s="160"/>
      <c r="AC26" s="160"/>
      <c r="AD26" s="160"/>
      <c r="AE26" s="160"/>
      <c r="AF26" s="160"/>
      <c r="AG26" s="159" t="str">
        <f aca="false">IF(Eingabe!F130&amp;""&amp;Eingabe!G130="","",Eingabe!F130&amp;" 
"&amp;Eingabe!G130)</f>
        <v/>
      </c>
      <c r="AH26" s="159"/>
      <c r="AI26" s="159"/>
      <c r="AJ26" s="159"/>
      <c r="AK26" s="159"/>
      <c r="AL26" s="159"/>
      <c r="AM26" s="159"/>
      <c r="AN26" s="159"/>
      <c r="AO26" s="159"/>
      <c r="AP26" s="159"/>
      <c r="AQ26" s="159"/>
      <c r="AR26" s="159"/>
      <c r="AS26" s="159"/>
      <c r="AT26" s="159"/>
      <c r="AU26" s="159"/>
      <c r="AV26" s="159"/>
      <c r="AW26" s="159"/>
      <c r="AX26" s="159" t="str">
        <f aca="false">IF(Eingabe!H130="","",Eingabe!H130)</f>
        <v/>
      </c>
      <c r="AY26" s="159"/>
      <c r="AZ26" s="159"/>
      <c r="BA26" s="159"/>
      <c r="BB26" s="161" t="str">
        <f aca="false">IF(Eingabe!K130="","",Eingabe!K130)</f>
        <v/>
      </c>
      <c r="BC26" s="161"/>
      <c r="BD26" s="161"/>
      <c r="BE26" s="161"/>
      <c r="BF26" s="161"/>
      <c r="BG26" s="161"/>
      <c r="BH26" s="161"/>
      <c r="BI26" s="161"/>
      <c r="BJ26" s="161"/>
      <c r="BK26" s="161"/>
      <c r="BL26" s="161"/>
      <c r="BM26" s="161"/>
      <c r="BN26" s="161"/>
      <c r="BO26" s="155"/>
      <c r="BP26" s="155"/>
      <c r="BQ26" s="155"/>
      <c r="BR26" s="155"/>
      <c r="BS26" s="155"/>
      <c r="BT26" s="155"/>
      <c r="BU26" s="155"/>
      <c r="BV26" s="155"/>
      <c r="BW26" s="155"/>
      <c r="BX26" s="155"/>
      <c r="BY26" s="155"/>
      <c r="BZ26" s="155"/>
      <c r="CA26" s="155"/>
      <c r="CB26" s="155"/>
      <c r="CC26" s="155"/>
      <c r="CD26" s="155"/>
      <c r="CE26" s="155"/>
      <c r="CF26" s="155"/>
      <c r="CG26" s="155"/>
      <c r="CH26" s="155"/>
      <c r="CI26" s="155"/>
      <c r="CJ26" s="155"/>
      <c r="CK26" s="155"/>
      <c r="CL26" s="155"/>
      <c r="CM26" s="155"/>
      <c r="CN26" s="155"/>
      <c r="CO26" s="155"/>
      <c r="CP26" s="155"/>
      <c r="CQ26" s="155"/>
      <c r="CR26" s="155"/>
      <c r="CS26" s="155"/>
      <c r="CT26" s="155"/>
      <c r="CU26" s="155"/>
      <c r="CV26" s="155"/>
      <c r="CW26" s="155"/>
      <c r="CX26" s="155"/>
      <c r="CY26" s="155"/>
      <c r="CZ26" s="155"/>
      <c r="DA26" s="155"/>
      <c r="DB26" s="155"/>
      <c r="DC26" s="155"/>
      <c r="DD26" s="155"/>
      <c r="DE26" s="155"/>
      <c r="DF26" s="155"/>
      <c r="DG26" s="155"/>
      <c r="DH26" s="155"/>
      <c r="DI26" s="155"/>
      <c r="DJ26" s="155"/>
      <c r="DK26" s="155"/>
      <c r="DL26" s="155"/>
      <c r="DM26" s="155"/>
      <c r="DN26" s="155"/>
      <c r="DO26" s="155"/>
      <c r="DP26" s="155"/>
      <c r="DQ26" s="155"/>
      <c r="DR26" s="155"/>
      <c r="DS26" s="155"/>
      <c r="DT26" s="155"/>
      <c r="DU26" s="155"/>
      <c r="DV26" s="155"/>
      <c r="DW26" s="155"/>
      <c r="DX26" s="155"/>
      <c r="DY26" s="155"/>
      <c r="DZ26" s="155"/>
      <c r="EA26" s="155"/>
      <c r="EB26" s="155"/>
      <c r="EC26" s="155"/>
      <c r="ED26" s="155"/>
      <c r="EE26" s="155"/>
      <c r="EF26" s="155"/>
      <c r="EG26" s="155"/>
      <c r="EH26" s="155"/>
      <c r="EI26" s="155"/>
      <c r="EJ26" s="155"/>
      <c r="EK26" s="155"/>
      <c r="EL26" s="155"/>
      <c r="EM26" s="155"/>
      <c r="EN26" s="155"/>
      <c r="EO26" s="155"/>
      <c r="EP26" s="155"/>
      <c r="EQ26" s="155"/>
      <c r="ER26" s="155"/>
      <c r="ES26" s="155"/>
      <c r="ET26" s="155"/>
      <c r="EU26" s="155"/>
      <c r="EV26" s="155"/>
      <c r="EW26" s="155"/>
      <c r="EX26" s="155"/>
      <c r="EY26" s="155"/>
      <c r="EZ26" s="155"/>
      <c r="FA26" s="155"/>
      <c r="FB26" s="155"/>
      <c r="FC26" s="155"/>
      <c r="FD26" s="155"/>
      <c r="FE26" s="155"/>
      <c r="FF26" s="155"/>
      <c r="FG26" s="155"/>
      <c r="FH26" s="155"/>
      <c r="FI26" s="155"/>
      <c r="FJ26" s="155"/>
      <c r="FK26" s="155"/>
      <c r="FL26" s="155"/>
      <c r="FM26" s="155"/>
      <c r="FN26" s="155"/>
      <c r="FO26" s="155"/>
      <c r="FP26" s="155"/>
      <c r="FQ26" s="155"/>
      <c r="FR26" s="155"/>
      <c r="FS26" s="155"/>
      <c r="FT26" s="155"/>
      <c r="FU26" s="155"/>
      <c r="FV26" s="155"/>
      <c r="FW26" s="155"/>
      <c r="FX26" s="155"/>
      <c r="FY26" s="155"/>
      <c r="FZ26" s="155"/>
      <c r="GA26" s="155"/>
      <c r="GB26" s="155"/>
      <c r="GC26" s="155"/>
      <c r="GD26" s="155"/>
      <c r="GE26" s="155"/>
      <c r="GF26" s="155"/>
      <c r="GG26" s="155"/>
      <c r="GH26" s="155"/>
      <c r="GI26" s="155"/>
      <c r="GJ26" s="155"/>
      <c r="GK26" s="155"/>
      <c r="GL26" s="155"/>
      <c r="GM26" s="155"/>
      <c r="GN26" s="155"/>
      <c r="GO26" s="155"/>
      <c r="GP26" s="155"/>
      <c r="GQ26" s="155"/>
      <c r="GR26" s="155"/>
      <c r="GS26" s="155"/>
      <c r="GT26" s="155"/>
      <c r="GU26" s="155"/>
      <c r="GV26" s="155"/>
      <c r="GW26" s="155"/>
      <c r="GX26" s="155"/>
      <c r="GY26" s="155"/>
      <c r="GZ26" s="155"/>
      <c r="HA26" s="155"/>
      <c r="HB26" s="155"/>
      <c r="HC26" s="155"/>
      <c r="HD26" s="155"/>
      <c r="HE26" s="155"/>
      <c r="HF26" s="155"/>
      <c r="HG26" s="155"/>
      <c r="HH26" s="155"/>
      <c r="HI26" s="155"/>
      <c r="HJ26" s="155"/>
      <c r="HK26" s="155"/>
      <c r="HL26" s="155"/>
      <c r="HM26" s="155"/>
      <c r="HN26" s="155"/>
      <c r="HO26" s="155"/>
      <c r="HP26" s="155"/>
      <c r="HQ26" s="155"/>
      <c r="HR26" s="155"/>
      <c r="HS26" s="155"/>
      <c r="HT26" s="155"/>
      <c r="HU26" s="155"/>
      <c r="HV26" s="155"/>
      <c r="HW26" s="155"/>
      <c r="HX26" s="155"/>
      <c r="HY26" s="155"/>
      <c r="HZ26" s="155"/>
      <c r="IA26" s="155"/>
      <c r="IB26" s="155"/>
      <c r="IC26" s="155"/>
      <c r="ID26" s="155"/>
      <c r="IE26" s="155"/>
      <c r="IF26" s="155"/>
      <c r="IG26" s="155"/>
      <c r="IH26" s="155"/>
      <c r="II26" s="155"/>
      <c r="IJ26" s="155"/>
      <c r="IK26" s="155"/>
      <c r="IL26" s="155"/>
      <c r="IM26" s="155"/>
      <c r="IN26" s="155"/>
      <c r="IO26" s="155"/>
      <c r="IP26" s="155"/>
      <c r="IQ26" s="155"/>
      <c r="IR26" s="155"/>
      <c r="IS26" s="155"/>
      <c r="IT26" s="155"/>
      <c r="IU26" s="155"/>
      <c r="IV26" s="155"/>
    </row>
    <row r="27" s="156" customFormat="true" ht="25.5" hidden="false" customHeight="true" outlineLevel="0" collapsed="false">
      <c r="A27" s="157" t="str">
        <f aca="false">IF(Eingabe!A131="","",Eingabe!A131)</f>
        <v/>
      </c>
      <c r="B27" s="157"/>
      <c r="C27" s="157"/>
      <c r="D27" s="157"/>
      <c r="E27" s="158" t="str">
        <f aca="false">IF(Eingabe!B131="","",Eingabe!B131)</f>
        <v/>
      </c>
      <c r="F27" s="158"/>
      <c r="G27" s="158"/>
      <c r="H27" s="158"/>
      <c r="I27" s="159" t="str">
        <f aca="false">IF(Eingabe!C131="","",Eingabe!C131)</f>
        <v/>
      </c>
      <c r="J27" s="159"/>
      <c r="K27" s="159"/>
      <c r="L27" s="159"/>
      <c r="M27" s="160" t="str">
        <f aca="false">IF(Eingabe!D131&amp;""&amp;Eingabe!E131="","",Eingabe!D131&amp;" 
"&amp;Eingabe!E131)</f>
        <v/>
      </c>
      <c r="N27" s="160"/>
      <c r="O27" s="160"/>
      <c r="P27" s="160"/>
      <c r="Q27" s="160"/>
      <c r="R27" s="160"/>
      <c r="S27" s="160"/>
      <c r="T27" s="160"/>
      <c r="U27" s="160"/>
      <c r="V27" s="160"/>
      <c r="W27" s="160"/>
      <c r="X27" s="160"/>
      <c r="Y27" s="160"/>
      <c r="Z27" s="160"/>
      <c r="AA27" s="160"/>
      <c r="AB27" s="160"/>
      <c r="AC27" s="160"/>
      <c r="AD27" s="160"/>
      <c r="AE27" s="160"/>
      <c r="AF27" s="160"/>
      <c r="AG27" s="159" t="str">
        <f aca="false">IF(Eingabe!F131&amp;""&amp;Eingabe!G131="","",Eingabe!F131&amp;" 
"&amp;Eingabe!G131)</f>
        <v/>
      </c>
      <c r="AH27" s="159"/>
      <c r="AI27" s="159"/>
      <c r="AJ27" s="159"/>
      <c r="AK27" s="159"/>
      <c r="AL27" s="159"/>
      <c r="AM27" s="159"/>
      <c r="AN27" s="159"/>
      <c r="AO27" s="159"/>
      <c r="AP27" s="159"/>
      <c r="AQ27" s="159"/>
      <c r="AR27" s="159"/>
      <c r="AS27" s="159"/>
      <c r="AT27" s="159"/>
      <c r="AU27" s="159"/>
      <c r="AV27" s="159"/>
      <c r="AW27" s="159"/>
      <c r="AX27" s="159" t="str">
        <f aca="false">IF(Eingabe!H131="","",Eingabe!H131)</f>
        <v/>
      </c>
      <c r="AY27" s="159"/>
      <c r="AZ27" s="159"/>
      <c r="BA27" s="159"/>
      <c r="BB27" s="161" t="str">
        <f aca="false">IF(Eingabe!K131="","",Eingabe!K131)</f>
        <v/>
      </c>
      <c r="BC27" s="161"/>
      <c r="BD27" s="161"/>
      <c r="BE27" s="161"/>
      <c r="BF27" s="161"/>
      <c r="BG27" s="161"/>
      <c r="BH27" s="161"/>
      <c r="BI27" s="161"/>
      <c r="BJ27" s="161"/>
      <c r="BK27" s="161"/>
      <c r="BL27" s="161"/>
      <c r="BM27" s="161"/>
      <c r="BN27" s="161"/>
      <c r="BO27" s="155"/>
      <c r="BP27" s="155"/>
      <c r="BQ27" s="155"/>
      <c r="BR27" s="155"/>
      <c r="BS27" s="155"/>
      <c r="BT27" s="155"/>
      <c r="BU27" s="155"/>
      <c r="BV27" s="155"/>
      <c r="BW27" s="155"/>
      <c r="BX27" s="155"/>
      <c r="BY27" s="155"/>
      <c r="BZ27" s="155"/>
      <c r="CA27" s="155"/>
      <c r="CB27" s="155"/>
      <c r="CC27" s="155"/>
      <c r="CD27" s="155"/>
      <c r="CE27" s="155"/>
      <c r="CF27" s="155"/>
      <c r="CG27" s="155"/>
      <c r="CH27" s="155"/>
      <c r="CI27" s="155"/>
      <c r="CJ27" s="155"/>
      <c r="CK27" s="155"/>
      <c r="CL27" s="155"/>
      <c r="CM27" s="155"/>
      <c r="CN27" s="155"/>
      <c r="CO27" s="155"/>
      <c r="CP27" s="155"/>
      <c r="CQ27" s="155"/>
      <c r="CR27" s="155"/>
      <c r="CS27" s="155"/>
      <c r="CT27" s="155"/>
      <c r="CU27" s="155"/>
      <c r="CV27" s="155"/>
      <c r="CW27" s="155"/>
      <c r="CX27" s="155"/>
      <c r="CY27" s="155"/>
      <c r="CZ27" s="155"/>
      <c r="DA27" s="155"/>
      <c r="DB27" s="155"/>
      <c r="DC27" s="155"/>
      <c r="DD27" s="155"/>
      <c r="DE27" s="155"/>
      <c r="DF27" s="155"/>
      <c r="DG27" s="155"/>
      <c r="DH27" s="155"/>
      <c r="DI27" s="155"/>
      <c r="DJ27" s="155"/>
      <c r="DK27" s="155"/>
      <c r="DL27" s="155"/>
      <c r="DM27" s="155"/>
      <c r="DN27" s="155"/>
      <c r="DO27" s="155"/>
      <c r="DP27" s="155"/>
      <c r="DQ27" s="155"/>
      <c r="DR27" s="155"/>
      <c r="DS27" s="155"/>
      <c r="DT27" s="155"/>
      <c r="DU27" s="155"/>
      <c r="DV27" s="155"/>
      <c r="DW27" s="155"/>
      <c r="DX27" s="155"/>
      <c r="DY27" s="155"/>
      <c r="DZ27" s="155"/>
      <c r="EA27" s="155"/>
      <c r="EB27" s="155"/>
      <c r="EC27" s="155"/>
      <c r="ED27" s="155"/>
      <c r="EE27" s="155"/>
      <c r="EF27" s="155"/>
      <c r="EG27" s="155"/>
      <c r="EH27" s="155"/>
      <c r="EI27" s="155"/>
      <c r="EJ27" s="155"/>
      <c r="EK27" s="155"/>
      <c r="EL27" s="155"/>
      <c r="EM27" s="155"/>
      <c r="EN27" s="155"/>
      <c r="EO27" s="155"/>
      <c r="EP27" s="155"/>
      <c r="EQ27" s="155"/>
      <c r="ER27" s="155"/>
      <c r="ES27" s="155"/>
      <c r="ET27" s="155"/>
      <c r="EU27" s="155"/>
      <c r="EV27" s="155"/>
      <c r="EW27" s="155"/>
      <c r="EX27" s="155"/>
      <c r="EY27" s="155"/>
      <c r="EZ27" s="155"/>
      <c r="FA27" s="155"/>
      <c r="FB27" s="155"/>
      <c r="FC27" s="155"/>
      <c r="FD27" s="155"/>
      <c r="FE27" s="155"/>
      <c r="FF27" s="155"/>
      <c r="FG27" s="155"/>
      <c r="FH27" s="155"/>
      <c r="FI27" s="155"/>
      <c r="FJ27" s="155"/>
      <c r="FK27" s="155"/>
      <c r="FL27" s="155"/>
      <c r="FM27" s="155"/>
      <c r="FN27" s="155"/>
      <c r="FO27" s="155"/>
      <c r="FP27" s="155"/>
      <c r="FQ27" s="155"/>
      <c r="FR27" s="155"/>
      <c r="FS27" s="155"/>
      <c r="FT27" s="155"/>
      <c r="FU27" s="155"/>
      <c r="FV27" s="155"/>
      <c r="FW27" s="155"/>
      <c r="FX27" s="155"/>
      <c r="FY27" s="155"/>
      <c r="FZ27" s="155"/>
      <c r="GA27" s="155"/>
      <c r="GB27" s="155"/>
      <c r="GC27" s="155"/>
      <c r="GD27" s="155"/>
      <c r="GE27" s="155"/>
      <c r="GF27" s="155"/>
      <c r="GG27" s="155"/>
      <c r="GH27" s="155"/>
      <c r="GI27" s="155"/>
      <c r="GJ27" s="155"/>
      <c r="GK27" s="155"/>
      <c r="GL27" s="155"/>
      <c r="GM27" s="155"/>
      <c r="GN27" s="155"/>
      <c r="GO27" s="155"/>
      <c r="GP27" s="155"/>
      <c r="GQ27" s="155"/>
      <c r="GR27" s="155"/>
      <c r="GS27" s="155"/>
      <c r="GT27" s="155"/>
      <c r="GU27" s="155"/>
      <c r="GV27" s="155"/>
      <c r="GW27" s="155"/>
      <c r="GX27" s="155"/>
      <c r="GY27" s="155"/>
      <c r="GZ27" s="155"/>
      <c r="HA27" s="155"/>
      <c r="HB27" s="155"/>
      <c r="HC27" s="155"/>
      <c r="HD27" s="155"/>
      <c r="HE27" s="155"/>
      <c r="HF27" s="155"/>
      <c r="HG27" s="155"/>
      <c r="HH27" s="155"/>
      <c r="HI27" s="155"/>
      <c r="HJ27" s="155"/>
      <c r="HK27" s="155"/>
      <c r="HL27" s="155"/>
      <c r="HM27" s="155"/>
      <c r="HN27" s="155"/>
      <c r="HO27" s="155"/>
      <c r="HP27" s="155"/>
      <c r="HQ27" s="155"/>
      <c r="HR27" s="155"/>
      <c r="HS27" s="155"/>
      <c r="HT27" s="155"/>
      <c r="HU27" s="155"/>
      <c r="HV27" s="155"/>
      <c r="HW27" s="155"/>
      <c r="HX27" s="155"/>
      <c r="HY27" s="155"/>
      <c r="HZ27" s="155"/>
      <c r="IA27" s="155"/>
      <c r="IB27" s="155"/>
      <c r="IC27" s="155"/>
      <c r="ID27" s="155"/>
      <c r="IE27" s="155"/>
      <c r="IF27" s="155"/>
      <c r="IG27" s="155"/>
      <c r="IH27" s="155"/>
      <c r="II27" s="155"/>
      <c r="IJ27" s="155"/>
      <c r="IK27" s="155"/>
      <c r="IL27" s="155"/>
      <c r="IM27" s="155"/>
      <c r="IN27" s="155"/>
      <c r="IO27" s="155"/>
      <c r="IP27" s="155"/>
      <c r="IQ27" s="155"/>
      <c r="IR27" s="155"/>
      <c r="IS27" s="155"/>
      <c r="IT27" s="155"/>
      <c r="IU27" s="155"/>
      <c r="IV27" s="155"/>
    </row>
    <row r="28" customFormat="false" ht="25.5" hidden="false" customHeight="true" outlineLevel="0" collapsed="false">
      <c r="A28" s="162" t="str">
        <f aca="false">IF(Eingabe!A132="","",Eingabe!A132)</f>
        <v/>
      </c>
      <c r="B28" s="162"/>
      <c r="C28" s="162"/>
      <c r="D28" s="162"/>
      <c r="E28" s="163" t="str">
        <f aca="false">IF(Eingabe!B132="","",Eingabe!B132)</f>
        <v/>
      </c>
      <c r="F28" s="163"/>
      <c r="G28" s="163"/>
      <c r="H28" s="163"/>
      <c r="I28" s="164" t="str">
        <f aca="false">IF(Eingabe!C132="","",Eingabe!C132)</f>
        <v/>
      </c>
      <c r="J28" s="164"/>
      <c r="K28" s="164"/>
      <c r="L28" s="164"/>
      <c r="M28" s="160" t="str">
        <f aca="false">IF(Eingabe!D132&amp;""&amp;Eingabe!E132="","",Eingabe!D132&amp;" 
"&amp;Eingabe!E132)</f>
        <v/>
      </c>
      <c r="N28" s="160"/>
      <c r="O28" s="160"/>
      <c r="P28" s="160"/>
      <c r="Q28" s="160"/>
      <c r="R28" s="160"/>
      <c r="S28" s="160"/>
      <c r="T28" s="160"/>
      <c r="U28" s="160"/>
      <c r="V28" s="160"/>
      <c r="W28" s="160"/>
      <c r="X28" s="160"/>
      <c r="Y28" s="160"/>
      <c r="Z28" s="160"/>
      <c r="AA28" s="160"/>
      <c r="AB28" s="160"/>
      <c r="AC28" s="160"/>
      <c r="AD28" s="160"/>
      <c r="AE28" s="160"/>
      <c r="AF28" s="160"/>
      <c r="AG28" s="159" t="str">
        <f aca="false">IF(Eingabe!F132&amp;""&amp;Eingabe!G132="","",Eingabe!F132&amp;" 
"&amp;Eingabe!G132)</f>
        <v/>
      </c>
      <c r="AH28" s="159"/>
      <c r="AI28" s="159"/>
      <c r="AJ28" s="159"/>
      <c r="AK28" s="159"/>
      <c r="AL28" s="159"/>
      <c r="AM28" s="159"/>
      <c r="AN28" s="159"/>
      <c r="AO28" s="159"/>
      <c r="AP28" s="159"/>
      <c r="AQ28" s="159"/>
      <c r="AR28" s="159"/>
      <c r="AS28" s="159"/>
      <c r="AT28" s="159"/>
      <c r="AU28" s="159"/>
      <c r="AV28" s="159"/>
      <c r="AW28" s="159"/>
      <c r="AX28" s="164" t="str">
        <f aca="false">IF(Eingabe!H132="","",Eingabe!H132)</f>
        <v/>
      </c>
      <c r="AY28" s="164"/>
      <c r="AZ28" s="164"/>
      <c r="BA28" s="164"/>
      <c r="BB28" s="165" t="str">
        <f aca="false">IF(Eingabe!K132="","",Eingabe!K132)</f>
        <v/>
      </c>
      <c r="BC28" s="165"/>
      <c r="BD28" s="165"/>
      <c r="BE28" s="165"/>
      <c r="BF28" s="165"/>
      <c r="BG28" s="165"/>
      <c r="BH28" s="165"/>
      <c r="BI28" s="165"/>
      <c r="BJ28" s="165"/>
      <c r="BK28" s="165"/>
      <c r="BL28" s="165"/>
      <c r="BM28" s="165"/>
      <c r="BN28" s="165"/>
      <c r="BO28" s="155"/>
      <c r="BP28" s="155"/>
      <c r="BQ28" s="155"/>
      <c r="BR28" s="155"/>
      <c r="BS28" s="155"/>
      <c r="BT28" s="155"/>
      <c r="BU28" s="155"/>
      <c r="BV28" s="155"/>
      <c r="BW28" s="155"/>
      <c r="BX28" s="155"/>
      <c r="BY28" s="155"/>
      <c r="BZ28" s="155"/>
      <c r="CA28" s="155"/>
      <c r="CB28" s="155"/>
      <c r="CC28" s="155"/>
      <c r="CD28" s="155"/>
      <c r="CE28" s="155"/>
      <c r="CF28" s="155"/>
      <c r="CG28" s="155"/>
      <c r="CH28" s="155"/>
      <c r="CI28" s="155"/>
      <c r="CJ28" s="155"/>
      <c r="CK28" s="155"/>
      <c r="CL28" s="155"/>
      <c r="CM28" s="155"/>
      <c r="CN28" s="155"/>
      <c r="CO28" s="155"/>
      <c r="CP28" s="155"/>
      <c r="CQ28" s="155"/>
      <c r="CR28" s="155"/>
      <c r="CS28" s="155"/>
      <c r="CT28" s="155"/>
      <c r="CU28" s="155"/>
      <c r="CV28" s="155"/>
      <c r="CW28" s="155"/>
      <c r="CX28" s="155"/>
      <c r="CY28" s="155"/>
      <c r="CZ28" s="155"/>
      <c r="DA28" s="155"/>
      <c r="DB28" s="155"/>
      <c r="DC28" s="155"/>
      <c r="DD28" s="155"/>
      <c r="DE28" s="155"/>
      <c r="DF28" s="155"/>
      <c r="DG28" s="155"/>
      <c r="DH28" s="155"/>
      <c r="DI28" s="155"/>
      <c r="DJ28" s="155"/>
      <c r="DK28" s="155"/>
      <c r="DL28" s="155"/>
      <c r="DM28" s="155"/>
      <c r="DN28" s="155"/>
      <c r="DO28" s="155"/>
      <c r="DP28" s="155"/>
      <c r="DQ28" s="155"/>
      <c r="DR28" s="155"/>
      <c r="DS28" s="155"/>
      <c r="DT28" s="155"/>
      <c r="DU28" s="155"/>
      <c r="DV28" s="155"/>
      <c r="DW28" s="155"/>
      <c r="DX28" s="155"/>
      <c r="DY28" s="155"/>
      <c r="DZ28" s="155"/>
      <c r="EA28" s="155"/>
      <c r="EB28" s="155"/>
      <c r="EC28" s="155"/>
      <c r="ED28" s="155"/>
      <c r="EE28" s="155"/>
      <c r="EF28" s="155"/>
      <c r="EG28" s="155"/>
      <c r="EH28" s="155"/>
      <c r="EI28" s="155"/>
      <c r="EJ28" s="155"/>
      <c r="EK28" s="155"/>
      <c r="EL28" s="155"/>
      <c r="EM28" s="155"/>
      <c r="EN28" s="155"/>
      <c r="EO28" s="155"/>
      <c r="EP28" s="155"/>
      <c r="EQ28" s="155"/>
      <c r="ER28" s="155"/>
      <c r="ES28" s="155"/>
      <c r="ET28" s="155"/>
      <c r="EU28" s="155"/>
      <c r="EV28" s="155"/>
      <c r="EW28" s="155"/>
      <c r="EX28" s="155"/>
      <c r="EY28" s="155"/>
      <c r="EZ28" s="155"/>
      <c r="FA28" s="155"/>
      <c r="FB28" s="155"/>
      <c r="FC28" s="155"/>
      <c r="FD28" s="155"/>
      <c r="FE28" s="155"/>
      <c r="FF28" s="155"/>
      <c r="FG28" s="155"/>
      <c r="FH28" s="155"/>
      <c r="FI28" s="155"/>
      <c r="FJ28" s="155"/>
      <c r="FK28" s="155"/>
      <c r="FL28" s="155"/>
      <c r="FM28" s="155"/>
      <c r="FN28" s="155"/>
      <c r="FO28" s="155"/>
      <c r="FP28" s="155"/>
      <c r="FQ28" s="155"/>
      <c r="FR28" s="155"/>
      <c r="FS28" s="155"/>
      <c r="FT28" s="155"/>
      <c r="FU28" s="155"/>
      <c r="FV28" s="155"/>
      <c r="FW28" s="155"/>
      <c r="FX28" s="155"/>
      <c r="FY28" s="155"/>
      <c r="FZ28" s="155"/>
      <c r="GA28" s="155"/>
      <c r="GB28" s="155"/>
      <c r="GC28" s="155"/>
      <c r="GD28" s="155"/>
      <c r="GE28" s="155"/>
      <c r="GF28" s="155"/>
      <c r="GG28" s="155"/>
      <c r="GH28" s="155"/>
      <c r="GI28" s="155"/>
      <c r="GJ28" s="155"/>
      <c r="GK28" s="155"/>
      <c r="GL28" s="155"/>
      <c r="GM28" s="155"/>
      <c r="GN28" s="155"/>
      <c r="GO28" s="155"/>
      <c r="GP28" s="155"/>
      <c r="GQ28" s="155"/>
      <c r="GR28" s="155"/>
      <c r="GS28" s="155"/>
      <c r="GT28" s="155"/>
      <c r="GU28" s="155"/>
      <c r="GV28" s="155"/>
      <c r="GW28" s="155"/>
      <c r="GX28" s="155"/>
      <c r="GY28" s="155"/>
      <c r="GZ28" s="155"/>
      <c r="HA28" s="155"/>
      <c r="HB28" s="155"/>
      <c r="HC28" s="155"/>
      <c r="HD28" s="155"/>
      <c r="HE28" s="155"/>
      <c r="HF28" s="155"/>
      <c r="HG28" s="155"/>
      <c r="HH28" s="155"/>
      <c r="HI28" s="155"/>
      <c r="HJ28" s="155"/>
      <c r="HK28" s="155"/>
      <c r="HL28" s="155"/>
      <c r="HM28" s="155"/>
      <c r="HN28" s="155"/>
      <c r="HO28" s="155"/>
      <c r="HP28" s="155"/>
      <c r="HQ28" s="155"/>
      <c r="HR28" s="155"/>
      <c r="HS28" s="155"/>
      <c r="HT28" s="155"/>
      <c r="HU28" s="155"/>
      <c r="HV28" s="155"/>
      <c r="HW28" s="155"/>
      <c r="HX28" s="155"/>
      <c r="HY28" s="155"/>
      <c r="HZ28" s="155"/>
      <c r="IA28" s="155"/>
      <c r="IB28" s="155"/>
      <c r="IC28" s="155"/>
      <c r="ID28" s="155"/>
      <c r="IE28" s="155"/>
      <c r="IF28" s="155"/>
      <c r="IG28" s="155"/>
      <c r="IH28" s="155"/>
      <c r="II28" s="155"/>
      <c r="IJ28" s="155"/>
      <c r="IK28" s="155"/>
      <c r="IL28" s="155"/>
      <c r="IM28" s="155"/>
      <c r="IN28" s="155"/>
      <c r="IO28" s="155"/>
      <c r="IP28" s="155"/>
      <c r="IQ28" s="155"/>
      <c r="IR28" s="155"/>
      <c r="IS28" s="155"/>
      <c r="IT28" s="155"/>
      <c r="IU28" s="155"/>
      <c r="IV28" s="155"/>
    </row>
    <row r="29" customFormat="false" ht="10.5" hidden="false" customHeight="true" outlineLevel="0" collapsed="false">
      <c r="A29" s="166" t="s">
        <v>84</v>
      </c>
      <c r="B29" s="166"/>
      <c r="C29" s="166"/>
      <c r="D29" s="166"/>
      <c r="E29" s="166"/>
      <c r="F29" s="166"/>
      <c r="G29" s="166"/>
      <c r="H29" s="166"/>
      <c r="I29" s="166"/>
      <c r="J29" s="166"/>
      <c r="K29" s="166"/>
      <c r="L29" s="166"/>
      <c r="M29" s="166"/>
      <c r="N29" s="166"/>
      <c r="O29" s="166"/>
      <c r="P29" s="166"/>
      <c r="Q29" s="166"/>
      <c r="R29" s="166"/>
      <c r="S29" s="166"/>
      <c r="T29" s="166"/>
      <c r="U29" s="166"/>
      <c r="V29" s="166"/>
      <c r="W29" s="166" t="s">
        <v>85</v>
      </c>
      <c r="X29" s="166"/>
      <c r="Y29" s="166"/>
      <c r="Z29" s="166"/>
      <c r="AA29" s="166"/>
      <c r="AB29" s="166"/>
      <c r="AC29" s="166"/>
      <c r="AD29" s="166"/>
      <c r="AE29" s="166"/>
      <c r="AF29" s="166"/>
      <c r="AG29" s="166"/>
      <c r="AH29" s="166"/>
      <c r="AI29" s="166"/>
      <c r="AJ29" s="166"/>
      <c r="AK29" s="166"/>
      <c r="AL29" s="166"/>
      <c r="AM29" s="166"/>
      <c r="AN29" s="166"/>
      <c r="AO29" s="166"/>
      <c r="AP29" s="166"/>
      <c r="AQ29" s="166"/>
      <c r="AR29" s="166"/>
      <c r="AS29" s="166" t="s">
        <v>86</v>
      </c>
      <c r="AT29" s="166"/>
      <c r="AU29" s="166"/>
      <c r="AV29" s="166"/>
      <c r="AW29" s="166"/>
      <c r="AX29" s="166"/>
      <c r="AY29" s="166"/>
      <c r="AZ29" s="166"/>
      <c r="BA29" s="166"/>
      <c r="BB29" s="166" t="s">
        <v>87</v>
      </c>
      <c r="BC29" s="166"/>
      <c r="BD29" s="166"/>
      <c r="BE29" s="166"/>
      <c r="BF29" s="166"/>
      <c r="BG29" s="166"/>
      <c r="BH29" s="166"/>
      <c r="BI29" s="166"/>
      <c r="BJ29" s="166"/>
      <c r="BK29" s="166"/>
      <c r="BL29" s="166"/>
      <c r="BM29" s="166"/>
      <c r="BN29" s="166"/>
    </row>
    <row r="30" customFormat="false" ht="10.5" hidden="false" customHeight="true" outlineLevel="0" collapsed="false">
      <c r="A30" s="167" t="str">
        <f aca="false">IF(Eingabe!O2="","",Eingabe!O2)</f>
        <v/>
      </c>
      <c r="B30" s="167"/>
      <c r="C30" s="167"/>
      <c r="D30" s="167"/>
      <c r="E30" s="167"/>
      <c r="F30" s="167"/>
      <c r="G30" s="167"/>
      <c r="H30" s="167"/>
      <c r="I30" s="167"/>
      <c r="J30" s="167"/>
      <c r="K30" s="167"/>
      <c r="L30" s="167"/>
      <c r="M30" s="167"/>
      <c r="N30" s="167"/>
      <c r="O30" s="167"/>
      <c r="P30" s="167"/>
      <c r="Q30" s="167"/>
      <c r="R30" s="167"/>
      <c r="S30" s="167"/>
      <c r="T30" s="167"/>
      <c r="U30" s="167"/>
      <c r="V30" s="167"/>
      <c r="W30" s="168" t="str">
        <f aca="false">IF(Eingabe!E3="","",Eingabe!E3)</f>
        <v>Simon Grundner</v>
      </c>
      <c r="X30" s="168"/>
      <c r="Y30" s="168"/>
      <c r="Z30" s="168"/>
      <c r="AA30" s="168"/>
      <c r="AB30" s="168"/>
      <c r="AC30" s="168"/>
      <c r="AD30" s="168"/>
      <c r="AE30" s="168"/>
      <c r="AF30" s="168"/>
      <c r="AG30" s="168"/>
      <c r="AH30" s="168"/>
      <c r="AI30" s="168"/>
      <c r="AJ30" s="168"/>
      <c r="AK30" s="168"/>
      <c r="AL30" s="168"/>
      <c r="AM30" s="168"/>
      <c r="AN30" s="168"/>
      <c r="AO30" s="168"/>
      <c r="AP30" s="168"/>
      <c r="AQ30" s="168"/>
      <c r="AR30" s="168"/>
      <c r="AS30" s="169" t="str">
        <f aca="false">IF(Eingabe!I1="","",Eingabe!I1)</f>
        <v/>
      </c>
      <c r="AT30" s="169"/>
      <c r="AU30" s="169"/>
      <c r="AV30" s="169"/>
      <c r="AW30" s="169"/>
      <c r="AX30" s="169"/>
      <c r="AY30" s="169"/>
      <c r="AZ30" s="169"/>
      <c r="BA30" s="169"/>
      <c r="BB30" s="170" t="str">
        <f aca="false">IF(Eingabe!I2="","",Eingabe!I2)</f>
        <v>FR4</v>
      </c>
      <c r="BC30" s="170"/>
      <c r="BD30" s="170"/>
      <c r="BE30" s="170"/>
      <c r="BF30" s="170"/>
      <c r="BG30" s="170"/>
      <c r="BH30" s="170"/>
      <c r="BI30" s="170"/>
      <c r="BJ30" s="170"/>
      <c r="BK30" s="170"/>
      <c r="BL30" s="170"/>
      <c r="BM30" s="170"/>
      <c r="BN30" s="170"/>
    </row>
    <row r="31" customFormat="false" ht="10.5" hidden="false" customHeight="true" outlineLevel="0" collapsed="false">
      <c r="A31" s="167"/>
      <c r="B31" s="167"/>
      <c r="C31" s="167"/>
      <c r="D31" s="167"/>
      <c r="E31" s="167"/>
      <c r="F31" s="167"/>
      <c r="G31" s="167"/>
      <c r="H31" s="167"/>
      <c r="I31" s="167"/>
      <c r="J31" s="167"/>
      <c r="K31" s="167"/>
      <c r="L31" s="167"/>
      <c r="M31" s="167"/>
      <c r="N31" s="167"/>
      <c r="O31" s="167"/>
      <c r="P31" s="167"/>
      <c r="Q31" s="167"/>
      <c r="R31" s="167"/>
      <c r="S31" s="167"/>
      <c r="T31" s="167"/>
      <c r="U31" s="167"/>
      <c r="V31" s="167"/>
      <c r="W31" s="168"/>
      <c r="X31" s="168"/>
      <c r="Y31" s="168"/>
      <c r="Z31" s="168"/>
      <c r="AA31" s="168"/>
      <c r="AB31" s="168"/>
      <c r="AC31" s="168"/>
      <c r="AD31" s="168"/>
      <c r="AE31" s="168"/>
      <c r="AF31" s="168"/>
      <c r="AG31" s="168"/>
      <c r="AH31" s="168"/>
      <c r="AI31" s="168"/>
      <c r="AJ31" s="168"/>
      <c r="AK31" s="168"/>
      <c r="AL31" s="168"/>
      <c r="AM31" s="168"/>
      <c r="AN31" s="168"/>
      <c r="AO31" s="168"/>
      <c r="AP31" s="168"/>
      <c r="AQ31" s="168"/>
      <c r="AR31" s="168"/>
      <c r="AS31" s="169"/>
      <c r="AT31" s="169"/>
      <c r="AU31" s="169"/>
      <c r="AV31" s="169"/>
      <c r="AW31" s="169"/>
      <c r="AX31" s="169"/>
      <c r="AY31" s="169"/>
      <c r="AZ31" s="169"/>
      <c r="BA31" s="169"/>
      <c r="BB31" s="170"/>
      <c r="BC31" s="170"/>
      <c r="BD31" s="170"/>
      <c r="BE31" s="170"/>
      <c r="BF31" s="170"/>
      <c r="BG31" s="170"/>
      <c r="BH31" s="170"/>
      <c r="BI31" s="170"/>
      <c r="BJ31" s="170"/>
      <c r="BK31" s="170"/>
      <c r="BL31" s="170"/>
      <c r="BM31" s="170"/>
      <c r="BN31" s="170"/>
    </row>
    <row r="32" customFormat="false" ht="10.5" hidden="false" customHeight="true" outlineLevel="0" collapsed="false">
      <c r="A32" s="171"/>
      <c r="B32" s="171"/>
      <c r="C32" s="171"/>
      <c r="D32" s="171"/>
      <c r="E32" s="171"/>
      <c r="F32" s="171"/>
      <c r="G32" s="171"/>
      <c r="H32" s="171"/>
      <c r="I32" s="171"/>
      <c r="J32" s="171"/>
      <c r="K32" s="171"/>
      <c r="L32" s="171"/>
      <c r="M32" s="171"/>
      <c r="N32" s="171"/>
      <c r="O32" s="171"/>
      <c r="P32" s="171"/>
      <c r="Q32" s="171"/>
      <c r="R32" s="171"/>
      <c r="S32" s="171"/>
      <c r="T32" s="171"/>
      <c r="U32" s="171"/>
      <c r="V32" s="171"/>
      <c r="W32" s="166" t="s">
        <v>88</v>
      </c>
      <c r="X32" s="166"/>
      <c r="Y32" s="166"/>
      <c r="Z32" s="166"/>
      <c r="AA32" s="166"/>
      <c r="AB32" s="166"/>
      <c r="AC32" s="166"/>
      <c r="AD32" s="166"/>
      <c r="AE32" s="166"/>
      <c r="AF32" s="166"/>
      <c r="AG32" s="166" t="s">
        <v>89</v>
      </c>
      <c r="AH32" s="166"/>
      <c r="AI32" s="166"/>
      <c r="AJ32" s="166"/>
      <c r="AK32" s="166" t="s">
        <v>90</v>
      </c>
      <c r="AL32" s="166"/>
      <c r="AM32" s="166"/>
      <c r="AN32" s="166"/>
      <c r="AO32" s="166" t="s">
        <v>91</v>
      </c>
      <c r="AP32" s="166"/>
      <c r="AQ32" s="166"/>
      <c r="AR32" s="166"/>
      <c r="AS32" s="172" t="s">
        <v>92</v>
      </c>
      <c r="AT32" s="172"/>
      <c r="AU32" s="172"/>
      <c r="AV32" s="172"/>
      <c r="AW32" s="172"/>
      <c r="AX32" s="172"/>
      <c r="AY32" s="172"/>
      <c r="AZ32" s="172"/>
      <c r="BA32" s="172"/>
      <c r="BB32" s="172"/>
      <c r="BC32" s="172"/>
      <c r="BD32" s="172"/>
      <c r="BE32" s="172"/>
      <c r="BF32" s="172"/>
      <c r="BG32" s="172"/>
      <c r="BH32" s="172"/>
      <c r="BI32" s="166" t="s">
        <v>93</v>
      </c>
      <c r="BJ32" s="166"/>
      <c r="BK32" s="166"/>
      <c r="BL32" s="166"/>
      <c r="BM32" s="166"/>
      <c r="BN32" s="166"/>
    </row>
    <row r="33" customFormat="false" ht="10.5" hidden="false" customHeight="true" outlineLevel="0" collapsed="false">
      <c r="A33" s="171"/>
      <c r="B33" s="171"/>
      <c r="C33" s="171"/>
      <c r="D33" s="171"/>
      <c r="E33" s="171"/>
      <c r="F33" s="171"/>
      <c r="G33" s="171"/>
      <c r="H33" s="171"/>
      <c r="I33" s="171"/>
      <c r="J33" s="171"/>
      <c r="K33" s="171"/>
      <c r="L33" s="171"/>
      <c r="M33" s="171"/>
      <c r="N33" s="171"/>
      <c r="O33" s="171"/>
      <c r="P33" s="171"/>
      <c r="Q33" s="171"/>
      <c r="R33" s="171"/>
      <c r="S33" s="171"/>
      <c r="T33" s="171"/>
      <c r="U33" s="171"/>
      <c r="V33" s="171"/>
      <c r="W33" s="167" t="str">
        <f aca="false">IF(CONCATENATE(Eingabe!E1," ", Eingabe!E2)="","",CONCATENATE(Eingabe!E1," ", Eingabe!E2))</f>
        <v> </v>
      </c>
      <c r="X33" s="167"/>
      <c r="Y33" s="167"/>
      <c r="Z33" s="167"/>
      <c r="AA33" s="167"/>
      <c r="AB33" s="167"/>
      <c r="AC33" s="167"/>
      <c r="AD33" s="167"/>
      <c r="AE33" s="167"/>
      <c r="AF33" s="167"/>
      <c r="AG33" s="167" t="str">
        <f aca="false">IF(Eingabe!E4="","",Eingabe!E4)</f>
        <v>GruS</v>
      </c>
      <c r="AH33" s="167"/>
      <c r="AI33" s="167"/>
      <c r="AJ33" s="167"/>
      <c r="AK33" s="173" t="str">
        <f aca="false">IF(Eingabe!I3="","",Eingabe!I3)</f>
        <v/>
      </c>
      <c r="AL33" s="173"/>
      <c r="AM33" s="173"/>
      <c r="AN33" s="173"/>
      <c r="AO33" s="173" t="str">
        <f aca="false">IF(Eingabe!I4="","",Eingabe!I4)</f>
        <v/>
      </c>
      <c r="AP33" s="173"/>
      <c r="AQ33" s="173"/>
      <c r="AR33" s="173"/>
      <c r="AS33" s="174" t="str">
        <f aca="false">IF(Eingabe!L1="","",Eingabe!L1)</f>
        <v>Stückliste</v>
      </c>
      <c r="AT33" s="174"/>
      <c r="AU33" s="174"/>
      <c r="AV33" s="174"/>
      <c r="AW33" s="174"/>
      <c r="AX33" s="174"/>
      <c r="AY33" s="174"/>
      <c r="AZ33" s="174"/>
      <c r="BA33" s="174"/>
      <c r="BB33" s="174"/>
      <c r="BC33" s="174"/>
      <c r="BD33" s="174"/>
      <c r="BE33" s="174"/>
      <c r="BF33" s="174"/>
      <c r="BG33" s="174"/>
      <c r="BH33" s="174"/>
      <c r="BI33" s="167" t="str">
        <f aca="false">IF(Eingabe!I5="","",Eingabe!I5)</f>
        <v/>
      </c>
      <c r="BJ33" s="167"/>
      <c r="BK33" s="167"/>
      <c r="BL33" s="167"/>
      <c r="BM33" s="167"/>
      <c r="BN33" s="167"/>
    </row>
    <row r="34" customFormat="false" ht="10.5" hidden="false" customHeight="true" outlineLevel="0" collapsed="false">
      <c r="A34" s="171"/>
      <c r="B34" s="171"/>
      <c r="C34" s="171"/>
      <c r="D34" s="171"/>
      <c r="E34" s="171"/>
      <c r="F34" s="171"/>
      <c r="G34" s="171"/>
      <c r="H34" s="171"/>
      <c r="I34" s="171"/>
      <c r="J34" s="171"/>
      <c r="K34" s="171"/>
      <c r="L34" s="171"/>
      <c r="M34" s="171"/>
      <c r="N34" s="171"/>
      <c r="O34" s="171"/>
      <c r="P34" s="171"/>
      <c r="Q34" s="171"/>
      <c r="R34" s="171"/>
      <c r="S34" s="171"/>
      <c r="T34" s="171"/>
      <c r="U34" s="171"/>
      <c r="V34" s="171"/>
      <c r="W34" s="167"/>
      <c r="X34" s="167"/>
      <c r="Y34" s="167"/>
      <c r="Z34" s="167"/>
      <c r="AA34" s="167"/>
      <c r="AB34" s="167"/>
      <c r="AC34" s="167"/>
      <c r="AD34" s="167"/>
      <c r="AE34" s="167"/>
      <c r="AF34" s="167"/>
      <c r="AG34" s="167"/>
      <c r="AH34" s="167"/>
      <c r="AI34" s="167"/>
      <c r="AJ34" s="167"/>
      <c r="AK34" s="173"/>
      <c r="AL34" s="173"/>
      <c r="AM34" s="173"/>
      <c r="AN34" s="173"/>
      <c r="AO34" s="173"/>
      <c r="AP34" s="173"/>
      <c r="AQ34" s="173"/>
      <c r="AR34" s="173"/>
      <c r="AS34" s="174"/>
      <c r="AT34" s="174"/>
      <c r="AU34" s="174"/>
      <c r="AV34" s="174"/>
      <c r="AW34" s="174"/>
      <c r="AX34" s="174"/>
      <c r="AY34" s="174"/>
      <c r="AZ34" s="174"/>
      <c r="BA34" s="174"/>
      <c r="BB34" s="174"/>
      <c r="BC34" s="174"/>
      <c r="BD34" s="174"/>
      <c r="BE34" s="174"/>
      <c r="BF34" s="174"/>
      <c r="BG34" s="174"/>
      <c r="BH34" s="174"/>
      <c r="BI34" s="167"/>
      <c r="BJ34" s="167"/>
      <c r="BK34" s="167"/>
      <c r="BL34" s="167"/>
      <c r="BM34" s="167"/>
      <c r="BN34" s="167"/>
    </row>
    <row r="35" customFormat="false" ht="10.5" hidden="false" customHeight="true" outlineLevel="0" collapsed="false">
      <c r="A35" s="171"/>
      <c r="B35" s="171"/>
      <c r="C35" s="171"/>
      <c r="D35" s="171"/>
      <c r="E35" s="171"/>
      <c r="F35" s="171"/>
      <c r="G35" s="171"/>
      <c r="H35" s="171"/>
      <c r="I35" s="171"/>
      <c r="J35" s="171"/>
      <c r="K35" s="171"/>
      <c r="L35" s="171"/>
      <c r="M35" s="171"/>
      <c r="N35" s="171"/>
      <c r="O35" s="171"/>
      <c r="P35" s="171"/>
      <c r="Q35" s="171"/>
      <c r="R35" s="171"/>
      <c r="S35" s="171"/>
      <c r="T35" s="171"/>
      <c r="U35" s="171"/>
      <c r="V35" s="171"/>
      <c r="W35" s="166" t="s">
        <v>94</v>
      </c>
      <c r="X35" s="166"/>
      <c r="Y35" s="166"/>
      <c r="Z35" s="166"/>
      <c r="AA35" s="166"/>
      <c r="AB35" s="166"/>
      <c r="AC35" s="166"/>
      <c r="AD35" s="166"/>
      <c r="AE35" s="166"/>
      <c r="AF35" s="166"/>
      <c r="AG35" s="166"/>
      <c r="AH35" s="166"/>
      <c r="AI35" s="166"/>
      <c r="AJ35" s="166"/>
      <c r="AK35" s="166"/>
      <c r="AL35" s="166"/>
      <c r="AM35" s="166"/>
      <c r="AN35" s="166"/>
      <c r="AO35" s="166"/>
      <c r="AP35" s="166"/>
      <c r="AQ35" s="166"/>
      <c r="AR35" s="166"/>
      <c r="AS35" s="166" t="s">
        <v>95</v>
      </c>
      <c r="AT35" s="166"/>
      <c r="AU35" s="166"/>
      <c r="AV35" s="166"/>
      <c r="AW35" s="166"/>
      <c r="AX35" s="166"/>
      <c r="AY35" s="166"/>
      <c r="AZ35" s="166" t="s">
        <v>96</v>
      </c>
      <c r="BA35" s="166"/>
      <c r="BB35" s="166"/>
      <c r="BC35" s="166"/>
      <c r="BD35" s="166"/>
      <c r="BE35" s="166" t="s">
        <v>97</v>
      </c>
      <c r="BF35" s="166"/>
      <c r="BG35" s="166"/>
      <c r="BH35" s="166"/>
      <c r="BI35" s="166"/>
      <c r="BJ35" s="166"/>
      <c r="BK35" s="166"/>
      <c r="BL35" s="166"/>
      <c r="BM35" s="166"/>
      <c r="BN35" s="166"/>
    </row>
    <row r="36" customFormat="false" ht="10.5" hidden="false" customHeight="true" outlineLevel="0" collapsed="false">
      <c r="A36" s="171"/>
      <c r="B36" s="171"/>
      <c r="C36" s="171"/>
      <c r="D36" s="171"/>
      <c r="E36" s="171"/>
      <c r="F36" s="171"/>
      <c r="G36" s="171"/>
      <c r="H36" s="171"/>
      <c r="I36" s="171"/>
      <c r="J36" s="171"/>
      <c r="K36" s="171"/>
      <c r="L36" s="171"/>
      <c r="M36" s="171"/>
      <c r="N36" s="171"/>
      <c r="O36" s="171"/>
      <c r="P36" s="171"/>
      <c r="Q36" s="171"/>
      <c r="R36" s="171"/>
      <c r="S36" s="171"/>
      <c r="T36" s="171"/>
      <c r="U36" s="171"/>
      <c r="V36" s="171"/>
      <c r="W36" s="175" t="str">
        <f aca="false">IF(Eingabe!E5="","",Eingabe!E5)</f>
        <v>TOTEM - Bluetooth</v>
      </c>
      <c r="X36" s="175"/>
      <c r="Y36" s="175"/>
      <c r="Z36" s="175"/>
      <c r="AA36" s="175"/>
      <c r="AB36" s="175"/>
      <c r="AC36" s="175"/>
      <c r="AD36" s="175"/>
      <c r="AE36" s="175"/>
      <c r="AF36" s="175"/>
      <c r="AG36" s="175"/>
      <c r="AH36" s="175"/>
      <c r="AI36" s="175"/>
      <c r="AJ36" s="175"/>
      <c r="AK36" s="175"/>
      <c r="AL36" s="175"/>
      <c r="AM36" s="175"/>
      <c r="AN36" s="175"/>
      <c r="AO36" s="175"/>
      <c r="AP36" s="175"/>
      <c r="AQ36" s="175"/>
      <c r="AR36" s="175"/>
      <c r="AS36" s="170" t="str">
        <f aca="false">IF(Eingabe!L3="","",Eingabe!L3)</f>
        <v>1.0</v>
      </c>
      <c r="AT36" s="170"/>
      <c r="AU36" s="170"/>
      <c r="AV36" s="170"/>
      <c r="AW36" s="170"/>
      <c r="AX36" s="170"/>
      <c r="AY36" s="170"/>
      <c r="AZ36" s="170" t="str">
        <f aca="false">IF(Eingabe!L4="","",Eingabe!L4)</f>
        <v>1</v>
      </c>
      <c r="BA36" s="170"/>
      <c r="BB36" s="170"/>
      <c r="BC36" s="170"/>
      <c r="BD36" s="170"/>
      <c r="BE36" s="174" t="str">
        <f aca="false">IF(Eingabe!L5="","",Eingabe!L5)</f>
        <v>Fertigung</v>
      </c>
      <c r="BF36" s="174"/>
      <c r="BG36" s="174"/>
      <c r="BH36" s="174"/>
      <c r="BI36" s="174"/>
      <c r="BJ36" s="174"/>
      <c r="BK36" s="174"/>
      <c r="BL36" s="174"/>
      <c r="BM36" s="174"/>
      <c r="BN36" s="174"/>
    </row>
    <row r="37" customFormat="false" ht="10.5" hidden="false" customHeight="true" outlineLevel="0" collapsed="false">
      <c r="A37" s="176" t="s">
        <v>98</v>
      </c>
      <c r="B37" s="176"/>
      <c r="C37" s="176"/>
      <c r="D37" s="176"/>
      <c r="E37" s="176"/>
      <c r="F37" s="176"/>
      <c r="G37" s="176"/>
      <c r="H37" s="176"/>
      <c r="I37" s="176"/>
      <c r="J37" s="176"/>
      <c r="K37" s="176"/>
      <c r="L37" s="176"/>
      <c r="M37" s="176"/>
      <c r="N37" s="176"/>
      <c r="O37" s="176"/>
      <c r="P37" s="176"/>
      <c r="Q37" s="176"/>
      <c r="R37" s="176"/>
      <c r="S37" s="176"/>
      <c r="T37" s="176"/>
      <c r="U37" s="176"/>
      <c r="V37" s="176"/>
      <c r="W37" s="175"/>
      <c r="X37" s="175"/>
      <c r="Y37" s="175"/>
      <c r="Z37" s="175"/>
      <c r="AA37" s="175"/>
      <c r="AB37" s="175"/>
      <c r="AC37" s="175"/>
      <c r="AD37" s="175"/>
      <c r="AE37" s="175"/>
      <c r="AF37" s="175"/>
      <c r="AG37" s="175"/>
      <c r="AH37" s="175"/>
      <c r="AI37" s="175"/>
      <c r="AJ37" s="175"/>
      <c r="AK37" s="175"/>
      <c r="AL37" s="175"/>
      <c r="AM37" s="175"/>
      <c r="AN37" s="175"/>
      <c r="AO37" s="175"/>
      <c r="AP37" s="175"/>
      <c r="AQ37" s="175"/>
      <c r="AR37" s="175"/>
      <c r="AS37" s="170"/>
      <c r="AT37" s="170"/>
      <c r="AU37" s="170"/>
      <c r="AV37" s="170"/>
      <c r="AW37" s="170"/>
      <c r="AX37" s="170"/>
      <c r="AY37" s="170"/>
      <c r="AZ37" s="170"/>
      <c r="BA37" s="170"/>
      <c r="BB37" s="170"/>
      <c r="BC37" s="170"/>
      <c r="BD37" s="170"/>
      <c r="BE37" s="174"/>
      <c r="BF37" s="174"/>
      <c r="BG37" s="174"/>
      <c r="BH37" s="174"/>
      <c r="BI37" s="174"/>
      <c r="BJ37" s="174"/>
      <c r="BK37" s="174"/>
      <c r="BL37" s="174"/>
      <c r="BM37" s="174"/>
      <c r="BN37" s="174"/>
    </row>
    <row r="38" customFormat="false" ht="10.5" hidden="false" customHeight="true" outlineLevel="0" collapsed="false">
      <c r="A38" s="176"/>
      <c r="B38" s="176"/>
      <c r="C38" s="176"/>
      <c r="D38" s="176"/>
      <c r="E38" s="176"/>
      <c r="F38" s="176"/>
      <c r="G38" s="176"/>
      <c r="H38" s="176"/>
      <c r="I38" s="176"/>
      <c r="J38" s="176"/>
      <c r="K38" s="176"/>
      <c r="L38" s="176"/>
      <c r="M38" s="176"/>
      <c r="N38" s="176"/>
      <c r="O38" s="176"/>
      <c r="P38" s="176"/>
      <c r="Q38" s="176"/>
      <c r="R38" s="176"/>
      <c r="S38" s="176"/>
      <c r="T38" s="176"/>
      <c r="U38" s="176"/>
      <c r="V38" s="176"/>
      <c r="W38" s="175"/>
      <c r="X38" s="175"/>
      <c r="Y38" s="175"/>
      <c r="Z38" s="175"/>
      <c r="AA38" s="175"/>
      <c r="AB38" s="175"/>
      <c r="AC38" s="175"/>
      <c r="AD38" s="175"/>
      <c r="AE38" s="175"/>
      <c r="AF38" s="175"/>
      <c r="AG38" s="175"/>
      <c r="AH38" s="175"/>
      <c r="AI38" s="175"/>
      <c r="AJ38" s="175"/>
      <c r="AK38" s="175"/>
      <c r="AL38" s="175"/>
      <c r="AM38" s="175"/>
      <c r="AN38" s="175"/>
      <c r="AO38" s="175"/>
      <c r="AP38" s="175"/>
      <c r="AQ38" s="175"/>
      <c r="AR38" s="175"/>
      <c r="AS38" s="177" t="s">
        <v>99</v>
      </c>
      <c r="AT38" s="177"/>
      <c r="AU38" s="177"/>
      <c r="AV38" s="177"/>
      <c r="AW38" s="178" t="s">
        <v>100</v>
      </c>
      <c r="AX38" s="178"/>
      <c r="AY38" s="178"/>
      <c r="AZ38" s="166" t="s">
        <v>101</v>
      </c>
      <c r="BA38" s="166"/>
      <c r="BB38" s="166"/>
      <c r="BC38" s="166"/>
      <c r="BD38" s="166"/>
      <c r="BE38" s="166"/>
      <c r="BF38" s="166"/>
      <c r="BG38" s="166"/>
      <c r="BH38" s="166"/>
      <c r="BI38" s="166" t="s">
        <v>102</v>
      </c>
      <c r="BJ38" s="166"/>
      <c r="BK38" s="166"/>
      <c r="BL38" s="179" t="s">
        <v>103</v>
      </c>
      <c r="BM38" s="180"/>
      <c r="BN38" s="181"/>
    </row>
    <row r="39" customFormat="false" ht="10.5" hidden="false" customHeight="true" outlineLevel="0" collapsed="false">
      <c r="A39" s="182" t="str">
        <f aca="false">IF(Eingabe!M6="","",Eingabe!M6)</f>
        <v>Technische Informatik</v>
      </c>
      <c r="B39" s="182"/>
      <c r="C39" s="182"/>
      <c r="D39" s="182"/>
      <c r="E39" s="182"/>
      <c r="F39" s="182"/>
      <c r="G39" s="182"/>
      <c r="H39" s="182"/>
      <c r="I39" s="182"/>
      <c r="J39" s="182"/>
      <c r="K39" s="182"/>
      <c r="L39" s="182"/>
      <c r="M39" s="182"/>
      <c r="N39" s="182"/>
      <c r="O39" s="182"/>
      <c r="P39" s="182"/>
      <c r="Q39" s="182"/>
      <c r="R39" s="182"/>
      <c r="S39" s="182"/>
      <c r="T39" s="182"/>
      <c r="U39" s="182"/>
      <c r="V39" s="182"/>
      <c r="W39" s="174" t="str">
        <f aca="false">IF(Eingabe!E6="","",Eingabe!E6)</f>
        <v>40 Key Split Ergomech KB</v>
      </c>
      <c r="X39" s="174"/>
      <c r="Y39" s="174"/>
      <c r="Z39" s="174"/>
      <c r="AA39" s="174"/>
      <c r="AB39" s="174"/>
      <c r="AC39" s="174"/>
      <c r="AD39" s="174"/>
      <c r="AE39" s="174"/>
      <c r="AF39" s="174"/>
      <c r="AG39" s="174"/>
      <c r="AH39" s="174"/>
      <c r="AI39" s="174"/>
      <c r="AJ39" s="174"/>
      <c r="AK39" s="174"/>
      <c r="AL39" s="174"/>
      <c r="AM39" s="174"/>
      <c r="AN39" s="174"/>
      <c r="AO39" s="174"/>
      <c r="AP39" s="174"/>
      <c r="AQ39" s="174"/>
      <c r="AR39" s="174"/>
      <c r="AS39" s="173" t="str">
        <f aca="false">IF(Eingabe!L6="","",Eingabe!L6)</f>
        <v>ohne</v>
      </c>
      <c r="AT39" s="173"/>
      <c r="AU39" s="173"/>
      <c r="AV39" s="173"/>
      <c r="AW39" s="183" t="str">
        <f aca="false">IF(Eingabe!I6="","",Eingabe!I6)</f>
        <v>DE</v>
      </c>
      <c r="AX39" s="183"/>
      <c r="AY39" s="183"/>
      <c r="AZ39" s="184" t="n">
        <f aca="false">IF(Eingabe!L2="","",Eingabe!L2)</f>
        <v>45824</v>
      </c>
      <c r="BA39" s="184"/>
      <c r="BB39" s="184"/>
      <c r="BC39" s="184"/>
      <c r="BD39" s="184"/>
      <c r="BE39" s="184"/>
      <c r="BF39" s="184"/>
      <c r="BG39" s="184"/>
      <c r="BH39" s="184"/>
      <c r="BI39" s="173" t="n">
        <v>5</v>
      </c>
      <c r="BJ39" s="173"/>
      <c r="BK39" s="173"/>
      <c r="BL39" s="173" t="n">
        <f aca="false">(5-(IF(Eingabe!$C$33="","1","0"))-(IF(Eingabe!$C$58="","1","0"))-(IF(Eingabe!$C$83="","1","0"))-(IF(Eingabe!$C$108="","1","0")))</f>
        <v>1</v>
      </c>
      <c r="BM39" s="173"/>
      <c r="BN39" s="173"/>
    </row>
    <row r="40" customFormat="false" ht="10.5" hidden="false" customHeight="true" outlineLevel="0" collapsed="false">
      <c r="A40" s="182"/>
      <c r="B40" s="182"/>
      <c r="C40" s="182"/>
      <c r="D40" s="182"/>
      <c r="E40" s="182"/>
      <c r="F40" s="182"/>
      <c r="G40" s="182"/>
      <c r="H40" s="182"/>
      <c r="I40" s="182"/>
      <c r="J40" s="182"/>
      <c r="K40" s="182"/>
      <c r="L40" s="182"/>
      <c r="M40" s="182"/>
      <c r="N40" s="182"/>
      <c r="O40" s="182"/>
      <c r="P40" s="182"/>
      <c r="Q40" s="182"/>
      <c r="R40" s="182"/>
      <c r="S40" s="182"/>
      <c r="T40" s="182"/>
      <c r="U40" s="182"/>
      <c r="V40" s="182"/>
      <c r="W40" s="174"/>
      <c r="X40" s="174"/>
      <c r="Y40" s="174"/>
      <c r="Z40" s="174"/>
      <c r="AA40" s="174"/>
      <c r="AB40" s="174"/>
      <c r="AC40" s="174"/>
      <c r="AD40" s="174"/>
      <c r="AE40" s="174"/>
      <c r="AF40" s="174"/>
      <c r="AG40" s="174"/>
      <c r="AH40" s="174"/>
      <c r="AI40" s="174"/>
      <c r="AJ40" s="174"/>
      <c r="AK40" s="174"/>
      <c r="AL40" s="174"/>
      <c r="AM40" s="174"/>
      <c r="AN40" s="174"/>
      <c r="AO40" s="174"/>
      <c r="AP40" s="174"/>
      <c r="AQ40" s="174"/>
      <c r="AR40" s="174"/>
      <c r="AS40" s="173"/>
      <c r="AT40" s="173"/>
      <c r="AU40" s="173"/>
      <c r="AV40" s="173"/>
      <c r="AW40" s="183"/>
      <c r="AX40" s="183"/>
      <c r="AY40" s="183"/>
      <c r="AZ40" s="184"/>
      <c r="BA40" s="184"/>
      <c r="BB40" s="184"/>
      <c r="BC40" s="184"/>
      <c r="BD40" s="184"/>
      <c r="BE40" s="184"/>
      <c r="BF40" s="184"/>
      <c r="BG40" s="184"/>
      <c r="BH40" s="184"/>
      <c r="BI40" s="173"/>
      <c r="BJ40" s="173"/>
      <c r="BK40" s="173"/>
      <c r="BL40" s="173"/>
      <c r="BM40" s="173"/>
      <c r="BN40" s="173"/>
    </row>
    <row r="41" customFormat="false" ht="14.25" hidden="false" customHeight="false" outlineLevel="0" collapsed="false">
      <c r="A41" s="185"/>
      <c r="B41" s="185"/>
      <c r="C41" s="185"/>
      <c r="D41" s="185"/>
      <c r="E41" s="185"/>
      <c r="F41" s="185"/>
      <c r="G41" s="185"/>
      <c r="H41" s="185"/>
      <c r="I41" s="185"/>
      <c r="J41" s="185"/>
      <c r="K41" s="185"/>
      <c r="L41" s="185"/>
      <c r="M41" s="185"/>
      <c r="N41" s="185"/>
      <c r="O41" s="185"/>
      <c r="P41" s="185"/>
      <c r="Q41" s="185"/>
      <c r="R41" s="185"/>
      <c r="S41" s="185"/>
      <c r="T41" s="185"/>
      <c r="U41" s="185"/>
      <c r="V41" s="185"/>
      <c r="W41" s="185"/>
      <c r="X41" s="185"/>
      <c r="Y41" s="185"/>
      <c r="Z41" s="185"/>
      <c r="AA41" s="185"/>
      <c r="AB41" s="185"/>
      <c r="AC41" s="185"/>
      <c r="AD41" s="185"/>
      <c r="AE41" s="185"/>
      <c r="AF41" s="185"/>
      <c r="AG41" s="185"/>
      <c r="AH41" s="185"/>
      <c r="AI41" s="185"/>
      <c r="AJ41" s="185"/>
      <c r="AK41" s="185"/>
      <c r="AL41" s="185"/>
      <c r="AM41" s="185"/>
      <c r="AN41" s="185"/>
      <c r="AO41" s="185"/>
      <c r="AP41" s="185"/>
      <c r="AQ41" s="185"/>
      <c r="AR41" s="185"/>
      <c r="AS41" s="185"/>
      <c r="AT41" s="185"/>
      <c r="AU41" s="185"/>
      <c r="AV41" s="185"/>
      <c r="AW41" s="185"/>
      <c r="AX41" s="185"/>
      <c r="AY41" s="185"/>
      <c r="AZ41" s="185"/>
      <c r="BA41" s="185"/>
      <c r="BB41" s="185"/>
      <c r="BC41" s="185"/>
      <c r="BD41" s="185"/>
      <c r="BE41" s="185"/>
      <c r="BF41" s="185"/>
      <c r="BG41" s="185"/>
      <c r="BH41" s="185"/>
      <c r="BI41" s="185"/>
      <c r="BJ41" s="185"/>
      <c r="BK41" s="185"/>
      <c r="BL41" s="185"/>
      <c r="BM41" s="185"/>
      <c r="BN41" s="185"/>
    </row>
  </sheetData>
  <sheetProtection sheet="true" objects="true" scenarios="true" selectLockedCells="true"/>
  <mergeCells count="230">
    <mergeCell ref="A1:D1"/>
    <mergeCell ref="E1:H1"/>
    <mergeCell ref="I1:L1"/>
    <mergeCell ref="M1:AF1"/>
    <mergeCell ref="AG1:AW1"/>
    <mergeCell ref="AX1:BA1"/>
    <mergeCell ref="BB1:BN1"/>
    <mergeCell ref="A2:D3"/>
    <mergeCell ref="E2:H3"/>
    <mergeCell ref="I2:L3"/>
    <mergeCell ref="M2:AF3"/>
    <mergeCell ref="AG2:AW3"/>
    <mergeCell ref="AX2:BA3"/>
    <mergeCell ref="BB2:BN3"/>
    <mergeCell ref="A4:D4"/>
    <mergeCell ref="E4:H4"/>
    <mergeCell ref="I4:L4"/>
    <mergeCell ref="M4:AF4"/>
    <mergeCell ref="AG4:AW4"/>
    <mergeCell ref="AX4:BA4"/>
    <mergeCell ref="BB4:BN4"/>
    <mergeCell ref="A5:D5"/>
    <mergeCell ref="E5:H5"/>
    <mergeCell ref="I5:L5"/>
    <mergeCell ref="M5:AF5"/>
    <mergeCell ref="AG5:AW5"/>
    <mergeCell ref="AX5:BA5"/>
    <mergeCell ref="BB5:BN5"/>
    <mergeCell ref="A6:D6"/>
    <mergeCell ref="E6:H6"/>
    <mergeCell ref="I6:L6"/>
    <mergeCell ref="M6:AF6"/>
    <mergeCell ref="AG6:AW6"/>
    <mergeCell ref="AX6:BA6"/>
    <mergeCell ref="BB6:BN6"/>
    <mergeCell ref="A7:D7"/>
    <mergeCell ref="E7:H7"/>
    <mergeCell ref="I7:L7"/>
    <mergeCell ref="M7:AF7"/>
    <mergeCell ref="AG7:AW7"/>
    <mergeCell ref="AX7:BA7"/>
    <mergeCell ref="BB7:BN7"/>
    <mergeCell ref="A8:D8"/>
    <mergeCell ref="E8:H8"/>
    <mergeCell ref="I8:L8"/>
    <mergeCell ref="M8:AF8"/>
    <mergeCell ref="AG8:AW8"/>
    <mergeCell ref="AX8:BA8"/>
    <mergeCell ref="BB8:BN8"/>
    <mergeCell ref="A9:D9"/>
    <mergeCell ref="E9:H9"/>
    <mergeCell ref="I9:L9"/>
    <mergeCell ref="M9:AF9"/>
    <mergeCell ref="AG9:AW9"/>
    <mergeCell ref="AX9:BA9"/>
    <mergeCell ref="BB9:BN9"/>
    <mergeCell ref="A10:D10"/>
    <mergeCell ref="E10:H10"/>
    <mergeCell ref="I10:L10"/>
    <mergeCell ref="M10:AF10"/>
    <mergeCell ref="AG10:AW10"/>
    <mergeCell ref="AX10:BA10"/>
    <mergeCell ref="BB10:BN10"/>
    <mergeCell ref="A11:D11"/>
    <mergeCell ref="E11:H11"/>
    <mergeCell ref="I11:L11"/>
    <mergeCell ref="M11:AF11"/>
    <mergeCell ref="AG11:AW11"/>
    <mergeCell ref="AX11:BA11"/>
    <mergeCell ref="BB11:BN11"/>
    <mergeCell ref="A12:D12"/>
    <mergeCell ref="E12:H12"/>
    <mergeCell ref="I12:L12"/>
    <mergeCell ref="M12:AF12"/>
    <mergeCell ref="AG12:AW12"/>
    <mergeCell ref="AX12:BA12"/>
    <mergeCell ref="BB12:BN12"/>
    <mergeCell ref="A13:D13"/>
    <mergeCell ref="E13:H13"/>
    <mergeCell ref="I13:L13"/>
    <mergeCell ref="M13:AF13"/>
    <mergeCell ref="AG13:AW13"/>
    <mergeCell ref="AX13:BA13"/>
    <mergeCell ref="BB13:BN13"/>
    <mergeCell ref="A14:D14"/>
    <mergeCell ref="E14:H14"/>
    <mergeCell ref="I14:L14"/>
    <mergeCell ref="M14:AF14"/>
    <mergeCell ref="AG14:AW14"/>
    <mergeCell ref="AX14:BA14"/>
    <mergeCell ref="BB14:BN14"/>
    <mergeCell ref="A15:D15"/>
    <mergeCell ref="E15:H15"/>
    <mergeCell ref="I15:L15"/>
    <mergeCell ref="M15:AF15"/>
    <mergeCell ref="AG15:AW15"/>
    <mergeCell ref="AX15:BA15"/>
    <mergeCell ref="BB15:BN15"/>
    <mergeCell ref="A16:D16"/>
    <mergeCell ref="E16:H16"/>
    <mergeCell ref="I16:L16"/>
    <mergeCell ref="M16:AF16"/>
    <mergeCell ref="AG16:AW16"/>
    <mergeCell ref="AX16:BA16"/>
    <mergeCell ref="BB16:BN16"/>
    <mergeCell ref="A17:D17"/>
    <mergeCell ref="E17:H17"/>
    <mergeCell ref="I17:L17"/>
    <mergeCell ref="M17:AF17"/>
    <mergeCell ref="AG17:AW17"/>
    <mergeCell ref="AX17:BA17"/>
    <mergeCell ref="BB17:BN17"/>
    <mergeCell ref="A18:D18"/>
    <mergeCell ref="E18:H18"/>
    <mergeCell ref="I18:L18"/>
    <mergeCell ref="M18:AF18"/>
    <mergeCell ref="AG18:AW18"/>
    <mergeCell ref="AX18:BA18"/>
    <mergeCell ref="BB18:BN18"/>
    <mergeCell ref="A19:D19"/>
    <mergeCell ref="E19:H19"/>
    <mergeCell ref="I19:L19"/>
    <mergeCell ref="M19:AF19"/>
    <mergeCell ref="AG19:AW19"/>
    <mergeCell ref="AX19:BA19"/>
    <mergeCell ref="BB19:BN19"/>
    <mergeCell ref="A20:D20"/>
    <mergeCell ref="E20:H20"/>
    <mergeCell ref="I20:L20"/>
    <mergeCell ref="M20:AF20"/>
    <mergeCell ref="AG20:AW20"/>
    <mergeCell ref="AX20:BA20"/>
    <mergeCell ref="BB20:BN20"/>
    <mergeCell ref="A21:D21"/>
    <mergeCell ref="E21:H21"/>
    <mergeCell ref="I21:L21"/>
    <mergeCell ref="M21:AF21"/>
    <mergeCell ref="AG21:AW21"/>
    <mergeCell ref="AX21:BA21"/>
    <mergeCell ref="BB21:BN21"/>
    <mergeCell ref="A22:D22"/>
    <mergeCell ref="E22:H22"/>
    <mergeCell ref="I22:L22"/>
    <mergeCell ref="M22:AF22"/>
    <mergeCell ref="AG22:AW22"/>
    <mergeCell ref="AX22:BA22"/>
    <mergeCell ref="BB22:BN22"/>
    <mergeCell ref="A23:D23"/>
    <mergeCell ref="E23:H23"/>
    <mergeCell ref="I23:L23"/>
    <mergeCell ref="M23:AF23"/>
    <mergeCell ref="AG23:AW23"/>
    <mergeCell ref="AX23:BA23"/>
    <mergeCell ref="BB23:BN23"/>
    <mergeCell ref="A24:D24"/>
    <mergeCell ref="E24:H24"/>
    <mergeCell ref="I24:L24"/>
    <mergeCell ref="M24:AF24"/>
    <mergeCell ref="AG24:AW24"/>
    <mergeCell ref="AX24:BA24"/>
    <mergeCell ref="BB24:BN24"/>
    <mergeCell ref="A25:D25"/>
    <mergeCell ref="E25:H25"/>
    <mergeCell ref="I25:L25"/>
    <mergeCell ref="M25:AF25"/>
    <mergeCell ref="AG25:AW25"/>
    <mergeCell ref="AX25:BA25"/>
    <mergeCell ref="BB25:BN25"/>
    <mergeCell ref="A26:D26"/>
    <mergeCell ref="E26:H26"/>
    <mergeCell ref="I26:L26"/>
    <mergeCell ref="M26:AF26"/>
    <mergeCell ref="AG26:AW26"/>
    <mergeCell ref="AX26:BA26"/>
    <mergeCell ref="BB26:BN26"/>
    <mergeCell ref="A27:D27"/>
    <mergeCell ref="E27:H27"/>
    <mergeCell ref="I27:L27"/>
    <mergeCell ref="M27:AF27"/>
    <mergeCell ref="AG27:AW27"/>
    <mergeCell ref="AX27:BA27"/>
    <mergeCell ref="BB27:BN27"/>
    <mergeCell ref="A28:D28"/>
    <mergeCell ref="E28:H28"/>
    <mergeCell ref="I28:L28"/>
    <mergeCell ref="M28:AF28"/>
    <mergeCell ref="AG28:AW28"/>
    <mergeCell ref="AX28:BA28"/>
    <mergeCell ref="BB28:BN28"/>
    <mergeCell ref="A29:V29"/>
    <mergeCell ref="W29:AR29"/>
    <mergeCell ref="AS29:BA29"/>
    <mergeCell ref="BB29:BN29"/>
    <mergeCell ref="A30:V31"/>
    <mergeCell ref="W30:AR31"/>
    <mergeCell ref="AS30:BA31"/>
    <mergeCell ref="BB30:BN31"/>
    <mergeCell ref="A32:V36"/>
    <mergeCell ref="W32:AF32"/>
    <mergeCell ref="AG32:AJ32"/>
    <mergeCell ref="AK32:AN32"/>
    <mergeCell ref="AO32:AR32"/>
    <mergeCell ref="AS32:BH32"/>
    <mergeCell ref="BI32:BN32"/>
    <mergeCell ref="W33:AF34"/>
    <mergeCell ref="AG33:AJ34"/>
    <mergeCell ref="AK33:AN34"/>
    <mergeCell ref="AO33:AR34"/>
    <mergeCell ref="AS33:BH34"/>
    <mergeCell ref="BI33:BN34"/>
    <mergeCell ref="W35:AR35"/>
    <mergeCell ref="AS35:AY35"/>
    <mergeCell ref="AZ35:BD35"/>
    <mergeCell ref="BE35:BN35"/>
    <mergeCell ref="W36:AR38"/>
    <mergeCell ref="AS36:AY37"/>
    <mergeCell ref="AZ36:BD37"/>
    <mergeCell ref="BE36:BN37"/>
    <mergeCell ref="A37:V38"/>
    <mergeCell ref="AS38:AV38"/>
    <mergeCell ref="AW38:AY38"/>
    <mergeCell ref="AZ38:BH38"/>
    <mergeCell ref="BI38:BK38"/>
    <mergeCell ref="A39:V40"/>
    <mergeCell ref="W39:AR40"/>
    <mergeCell ref="AS39:AV40"/>
    <mergeCell ref="AW39:AY40"/>
    <mergeCell ref="AZ39:BH40"/>
    <mergeCell ref="BI39:BK40"/>
    <mergeCell ref="BL39:BN40"/>
  </mergeCells>
  <printOptions headings="false" gridLines="false" gridLinesSet="true" horizontalCentered="false" verticalCentered="false"/>
  <pageMargins left="0.7875" right="0.39375" top="0.39375" bottom="0.39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78"/>
  <sheetViews>
    <sheetView showFormulas="false" showGridLines="true" showRowColHeaders="true" showZeros="true" rightToLeft="false" tabSelected="false" showOutlineSymbols="true" defaultGridColor="true" view="pageBreakPreview" topLeftCell="A10" colorId="64" zoomScale="100" zoomScaleNormal="85" zoomScalePageLayoutView="100" workbookViewId="0">
      <selection pane="topLeft" activeCell="A4" activeCellId="0" sqref="A4"/>
    </sheetView>
  </sheetViews>
  <sheetFormatPr defaultColWidth="10.625" defaultRowHeight="14.25" customHeight="true" zeroHeight="false" outlineLevelRow="0" outlineLevelCol="0"/>
  <cols>
    <col collapsed="false" customWidth="true" hidden="false" outlineLevel="0" max="66" min="1" style="1" width="1.25"/>
    <col collapsed="false" customWidth="false" hidden="false" outlineLevel="0" max="16384" min="67" style="1" width="10.62"/>
  </cols>
  <sheetData>
    <row r="1" s="190" customFormat="true" ht="12.75" hidden="false" customHeight="true" outlineLevel="0" collapsed="false">
      <c r="A1" s="186" t="n">
        <v>1</v>
      </c>
      <c r="B1" s="186"/>
      <c r="C1" s="186"/>
      <c r="D1" s="187" t="n">
        <v>2</v>
      </c>
      <c r="E1" s="187"/>
      <c r="F1" s="187"/>
      <c r="G1" s="187"/>
      <c r="H1" s="187" t="n">
        <v>3</v>
      </c>
      <c r="I1" s="187"/>
      <c r="J1" s="187"/>
      <c r="K1" s="187"/>
      <c r="L1" s="187" t="n">
        <v>4</v>
      </c>
      <c r="M1" s="187"/>
      <c r="N1" s="187"/>
      <c r="O1" s="187"/>
      <c r="P1" s="187"/>
      <c r="Q1" s="187"/>
      <c r="R1" s="187"/>
      <c r="S1" s="187"/>
      <c r="T1" s="187"/>
      <c r="U1" s="187"/>
      <c r="V1" s="187"/>
      <c r="W1" s="187"/>
      <c r="X1" s="187"/>
      <c r="Y1" s="187"/>
      <c r="Z1" s="187"/>
      <c r="AA1" s="187"/>
      <c r="AB1" s="187"/>
      <c r="AC1" s="187"/>
      <c r="AD1" s="187"/>
      <c r="AE1" s="187"/>
      <c r="AF1" s="187"/>
      <c r="AG1" s="187"/>
      <c r="AH1" s="187" t="n">
        <v>5</v>
      </c>
      <c r="AI1" s="187"/>
      <c r="AJ1" s="187"/>
      <c r="AK1" s="187"/>
      <c r="AL1" s="187"/>
      <c r="AM1" s="187"/>
      <c r="AN1" s="187"/>
      <c r="AO1" s="187"/>
      <c r="AP1" s="187"/>
      <c r="AQ1" s="187"/>
      <c r="AR1" s="187"/>
      <c r="AS1" s="187"/>
      <c r="AT1" s="187"/>
      <c r="AU1" s="187"/>
      <c r="AV1" s="187"/>
      <c r="AW1" s="187"/>
      <c r="AX1" s="187"/>
      <c r="AY1" s="187"/>
      <c r="AZ1" s="187"/>
      <c r="BA1" s="187"/>
      <c r="BB1" s="187"/>
      <c r="BC1" s="187"/>
      <c r="BD1" s="187"/>
      <c r="BE1" s="188" t="n">
        <v>6</v>
      </c>
      <c r="BF1" s="188"/>
      <c r="BG1" s="188"/>
      <c r="BH1" s="188"/>
      <c r="BI1" s="188"/>
      <c r="BJ1" s="188"/>
      <c r="BK1" s="188"/>
      <c r="BL1" s="188"/>
      <c r="BM1" s="188"/>
      <c r="BN1" s="188"/>
      <c r="BO1" s="189"/>
      <c r="BP1" s="189"/>
      <c r="BQ1" s="189"/>
      <c r="BR1" s="189"/>
      <c r="BS1" s="189"/>
      <c r="BT1" s="189"/>
      <c r="BU1" s="189"/>
      <c r="BV1" s="189"/>
      <c r="BW1" s="189"/>
      <c r="BX1" s="189"/>
      <c r="BY1" s="189"/>
      <c r="BZ1" s="189"/>
      <c r="CA1" s="189"/>
      <c r="CB1" s="189"/>
      <c r="CC1" s="189"/>
      <c r="CD1" s="189"/>
      <c r="CE1" s="189"/>
      <c r="CF1" s="189"/>
      <c r="CG1" s="189"/>
      <c r="CH1" s="189"/>
      <c r="CI1" s="189"/>
      <c r="CJ1" s="189"/>
      <c r="CK1" s="189"/>
      <c r="CL1" s="189"/>
      <c r="CM1" s="189"/>
      <c r="CN1" s="189"/>
      <c r="CO1" s="189"/>
      <c r="CP1" s="189"/>
      <c r="CQ1" s="189"/>
      <c r="CR1" s="189"/>
      <c r="CS1" s="189"/>
      <c r="CT1" s="189"/>
      <c r="CU1" s="189"/>
      <c r="CV1" s="189"/>
      <c r="CW1" s="189"/>
      <c r="CX1" s="189"/>
      <c r="CY1" s="189"/>
      <c r="CZ1" s="189"/>
      <c r="DA1" s="189"/>
      <c r="DB1" s="189"/>
      <c r="DC1" s="189"/>
      <c r="DD1" s="189"/>
      <c r="DE1" s="189"/>
      <c r="DF1" s="189"/>
      <c r="DG1" s="189"/>
      <c r="DH1" s="189"/>
      <c r="DI1" s="189"/>
      <c r="DJ1" s="189"/>
      <c r="DK1" s="189"/>
      <c r="DL1" s="189"/>
      <c r="DM1" s="189"/>
      <c r="DN1" s="189"/>
      <c r="DO1" s="189"/>
      <c r="DP1" s="189"/>
      <c r="DQ1" s="189"/>
      <c r="DR1" s="189"/>
      <c r="DS1" s="189"/>
      <c r="DT1" s="189"/>
      <c r="DU1" s="189"/>
      <c r="DV1" s="189"/>
      <c r="DW1" s="189"/>
      <c r="DX1" s="189"/>
      <c r="DY1" s="189"/>
      <c r="DZ1" s="189"/>
      <c r="EA1" s="189"/>
      <c r="EB1" s="189"/>
      <c r="EC1" s="189"/>
      <c r="ED1" s="189"/>
      <c r="EE1" s="189"/>
      <c r="EF1" s="189"/>
      <c r="EG1" s="189"/>
      <c r="EH1" s="189"/>
      <c r="EI1" s="189"/>
      <c r="EJ1" s="189"/>
      <c r="EK1" s="189"/>
      <c r="EL1" s="189"/>
      <c r="EM1" s="189"/>
      <c r="EN1" s="189"/>
      <c r="EO1" s="189"/>
      <c r="EP1" s="189"/>
      <c r="EQ1" s="189"/>
      <c r="ER1" s="189"/>
      <c r="ES1" s="189"/>
      <c r="ET1" s="189"/>
      <c r="EU1" s="189"/>
      <c r="EV1" s="189"/>
      <c r="EW1" s="189"/>
      <c r="EX1" s="189"/>
      <c r="EY1" s="189"/>
      <c r="EZ1" s="189"/>
      <c r="FA1" s="189"/>
      <c r="FB1" s="189"/>
      <c r="FC1" s="189"/>
      <c r="FD1" s="189"/>
      <c r="FE1" s="189"/>
      <c r="FF1" s="189"/>
      <c r="FG1" s="189"/>
      <c r="FH1" s="189"/>
      <c r="FI1" s="189"/>
      <c r="FJ1" s="189"/>
      <c r="FK1" s="189"/>
      <c r="FL1" s="189"/>
      <c r="FM1" s="189"/>
      <c r="FN1" s="189"/>
      <c r="FO1" s="189"/>
      <c r="FP1" s="189"/>
      <c r="FQ1" s="189"/>
      <c r="FR1" s="189"/>
      <c r="FS1" s="189"/>
      <c r="FT1" s="189"/>
      <c r="FU1" s="189"/>
      <c r="FV1" s="189"/>
      <c r="FW1" s="189"/>
      <c r="FX1" s="189"/>
      <c r="FY1" s="189"/>
      <c r="FZ1" s="189"/>
      <c r="GA1" s="189"/>
      <c r="GB1" s="189"/>
      <c r="GC1" s="189"/>
      <c r="GD1" s="189"/>
      <c r="GE1" s="189"/>
      <c r="GF1" s="189"/>
      <c r="GG1" s="189"/>
      <c r="GH1" s="189"/>
      <c r="GI1" s="189"/>
      <c r="GJ1" s="189"/>
      <c r="GK1" s="189"/>
      <c r="GL1" s="189"/>
      <c r="GM1" s="189"/>
      <c r="GN1" s="189"/>
      <c r="GO1" s="189"/>
      <c r="GP1" s="189"/>
      <c r="GQ1" s="189"/>
      <c r="GR1" s="189"/>
      <c r="GS1" s="189"/>
      <c r="GT1" s="189"/>
      <c r="GU1" s="189"/>
      <c r="GV1" s="189"/>
      <c r="GW1" s="189"/>
      <c r="GX1" s="189"/>
      <c r="GY1" s="189"/>
      <c r="GZ1" s="189"/>
      <c r="HA1" s="189"/>
      <c r="HB1" s="189"/>
      <c r="HC1" s="189"/>
      <c r="HD1" s="189"/>
      <c r="HE1" s="189"/>
      <c r="HF1" s="189"/>
      <c r="HG1" s="189"/>
      <c r="HH1" s="189"/>
      <c r="HI1" s="189"/>
      <c r="HJ1" s="189"/>
      <c r="HK1" s="189"/>
      <c r="HL1" s="189"/>
      <c r="HM1" s="189"/>
      <c r="HN1" s="189"/>
      <c r="HO1" s="189"/>
      <c r="HP1" s="189"/>
      <c r="HQ1" s="189"/>
      <c r="HR1" s="189"/>
      <c r="HS1" s="189"/>
      <c r="HT1" s="189"/>
      <c r="HU1" s="189"/>
      <c r="HV1" s="189"/>
      <c r="HW1" s="189"/>
      <c r="HX1" s="189"/>
      <c r="HY1" s="189"/>
      <c r="HZ1" s="189"/>
      <c r="IA1" s="189"/>
      <c r="IB1" s="189"/>
      <c r="IC1" s="189"/>
      <c r="ID1" s="189"/>
      <c r="IE1" s="189"/>
      <c r="IF1" s="189"/>
      <c r="IG1" s="189"/>
      <c r="IH1" s="189"/>
      <c r="II1" s="189"/>
      <c r="IJ1" s="189"/>
      <c r="IK1" s="189"/>
      <c r="IL1" s="189"/>
      <c r="IM1" s="189"/>
      <c r="IN1" s="189"/>
      <c r="IO1" s="189"/>
      <c r="IP1" s="189"/>
      <c r="IQ1" s="189"/>
      <c r="IR1" s="189"/>
      <c r="IS1" s="189"/>
      <c r="IT1" s="189"/>
      <c r="IU1" s="189"/>
      <c r="IV1" s="189"/>
    </row>
    <row r="2" s="190" customFormat="true" ht="12.75" hidden="false" customHeight="true" outlineLevel="0" collapsed="false">
      <c r="A2" s="191" t="str">
        <f aca="false">Eingabe!A7</f>
        <v>Lfd. 
Nr.</v>
      </c>
      <c r="B2" s="191"/>
      <c r="C2" s="191"/>
      <c r="D2" s="147" t="str">
        <f aca="false">Eingabe!B7</f>
        <v>Stück-
zahl</v>
      </c>
      <c r="E2" s="147"/>
      <c r="F2" s="147"/>
      <c r="G2" s="147"/>
      <c r="H2" s="147" t="str">
        <f aca="false">Eingabe!C7</f>
        <v>Ein-
heit</v>
      </c>
      <c r="I2" s="147"/>
      <c r="J2" s="147"/>
      <c r="K2" s="147"/>
      <c r="L2" s="148" t="str">
        <f aca="false">Eingabe!D7</f>
        <v>Benennung</v>
      </c>
      <c r="M2" s="148"/>
      <c r="N2" s="148"/>
      <c r="O2" s="148"/>
      <c r="P2" s="148"/>
      <c r="Q2" s="148"/>
      <c r="R2" s="148"/>
      <c r="S2" s="148"/>
      <c r="T2" s="148"/>
      <c r="U2" s="148"/>
      <c r="V2" s="148"/>
      <c r="W2" s="148"/>
      <c r="X2" s="148"/>
      <c r="Y2" s="148"/>
      <c r="Z2" s="148"/>
      <c r="AA2" s="148"/>
      <c r="AB2" s="148"/>
      <c r="AC2" s="148"/>
      <c r="AD2" s="148"/>
      <c r="AE2" s="148"/>
      <c r="AF2" s="148"/>
      <c r="AG2" s="148"/>
      <c r="AH2" s="148" t="str">
        <f aca="false">Eingabe!F7&amp;" / "&amp;Eingabe!G7</f>
        <v>Lieferant / Bestellnummer</v>
      </c>
      <c r="AI2" s="148"/>
      <c r="AJ2" s="148"/>
      <c r="AK2" s="148"/>
      <c r="AL2" s="148"/>
      <c r="AM2" s="148"/>
      <c r="AN2" s="148"/>
      <c r="AO2" s="148"/>
      <c r="AP2" s="148"/>
      <c r="AQ2" s="148"/>
      <c r="AR2" s="148"/>
      <c r="AS2" s="148"/>
      <c r="AT2" s="148"/>
      <c r="AU2" s="148"/>
      <c r="AV2" s="148"/>
      <c r="AW2" s="148"/>
      <c r="AX2" s="148"/>
      <c r="AY2" s="148"/>
      <c r="AZ2" s="148"/>
      <c r="BA2" s="148"/>
      <c r="BB2" s="148"/>
      <c r="BC2" s="148"/>
      <c r="BD2" s="148"/>
      <c r="BE2" s="192" t="s">
        <v>104</v>
      </c>
      <c r="BF2" s="192"/>
      <c r="BG2" s="192"/>
      <c r="BH2" s="192"/>
      <c r="BI2" s="192"/>
      <c r="BJ2" s="192"/>
      <c r="BK2" s="192"/>
      <c r="BL2" s="192"/>
      <c r="BM2" s="192"/>
      <c r="BN2" s="192"/>
      <c r="BO2" s="189"/>
      <c r="BP2" s="189"/>
      <c r="BQ2" s="189"/>
      <c r="BR2" s="189"/>
      <c r="BS2" s="189"/>
      <c r="BT2" s="189"/>
      <c r="BU2" s="189"/>
      <c r="BV2" s="189"/>
      <c r="BW2" s="189"/>
      <c r="BX2" s="189"/>
      <c r="BY2" s="189"/>
      <c r="BZ2" s="189"/>
      <c r="CA2" s="189"/>
      <c r="CB2" s="189"/>
      <c r="CC2" s="189"/>
      <c r="CD2" s="189"/>
      <c r="CE2" s="189"/>
      <c r="CF2" s="189"/>
      <c r="CG2" s="189"/>
      <c r="CH2" s="189"/>
      <c r="CI2" s="189"/>
      <c r="CJ2" s="189"/>
      <c r="CK2" s="189"/>
      <c r="CL2" s="189"/>
      <c r="CM2" s="189"/>
      <c r="CN2" s="189"/>
      <c r="CO2" s="189"/>
      <c r="CP2" s="189"/>
      <c r="CQ2" s="189"/>
      <c r="CR2" s="189"/>
      <c r="CS2" s="189"/>
      <c r="CT2" s="189"/>
      <c r="CU2" s="189"/>
      <c r="CV2" s="189"/>
      <c r="CW2" s="189"/>
      <c r="CX2" s="189"/>
      <c r="CY2" s="189"/>
      <c r="CZ2" s="189"/>
      <c r="DA2" s="189"/>
      <c r="DB2" s="189"/>
      <c r="DC2" s="189"/>
      <c r="DD2" s="189"/>
      <c r="DE2" s="189"/>
      <c r="DF2" s="189"/>
      <c r="DG2" s="189"/>
      <c r="DH2" s="189"/>
      <c r="DI2" s="189"/>
      <c r="DJ2" s="189"/>
      <c r="DK2" s="189"/>
      <c r="DL2" s="189"/>
      <c r="DM2" s="189"/>
      <c r="DN2" s="189"/>
      <c r="DO2" s="189"/>
      <c r="DP2" s="189"/>
      <c r="DQ2" s="189"/>
      <c r="DR2" s="189"/>
      <c r="DS2" s="189"/>
      <c r="DT2" s="189"/>
      <c r="DU2" s="189"/>
      <c r="DV2" s="189"/>
      <c r="DW2" s="189"/>
      <c r="DX2" s="189"/>
      <c r="DY2" s="189"/>
      <c r="DZ2" s="189"/>
      <c r="EA2" s="189"/>
      <c r="EB2" s="189"/>
      <c r="EC2" s="189"/>
      <c r="ED2" s="189"/>
      <c r="EE2" s="189"/>
      <c r="EF2" s="189"/>
      <c r="EG2" s="189"/>
      <c r="EH2" s="189"/>
      <c r="EI2" s="189"/>
      <c r="EJ2" s="189"/>
      <c r="EK2" s="189"/>
      <c r="EL2" s="189"/>
      <c r="EM2" s="189"/>
      <c r="EN2" s="189"/>
      <c r="EO2" s="189"/>
      <c r="EP2" s="189"/>
      <c r="EQ2" s="189"/>
      <c r="ER2" s="189"/>
      <c r="ES2" s="189"/>
      <c r="ET2" s="189"/>
      <c r="EU2" s="189"/>
      <c r="EV2" s="189"/>
      <c r="EW2" s="189"/>
      <c r="EX2" s="189"/>
      <c r="EY2" s="189"/>
      <c r="EZ2" s="189"/>
      <c r="FA2" s="189"/>
      <c r="FB2" s="189"/>
      <c r="FC2" s="189"/>
      <c r="FD2" s="189"/>
      <c r="FE2" s="189"/>
      <c r="FF2" s="189"/>
      <c r="FG2" s="189"/>
      <c r="FH2" s="189"/>
      <c r="FI2" s="189"/>
      <c r="FJ2" s="189"/>
      <c r="FK2" s="189"/>
      <c r="FL2" s="189"/>
      <c r="FM2" s="189"/>
      <c r="FN2" s="189"/>
      <c r="FO2" s="189"/>
      <c r="FP2" s="189"/>
      <c r="FQ2" s="189"/>
      <c r="FR2" s="189"/>
      <c r="FS2" s="189"/>
      <c r="FT2" s="189"/>
      <c r="FU2" s="189"/>
      <c r="FV2" s="189"/>
      <c r="FW2" s="189"/>
      <c r="FX2" s="189"/>
      <c r="FY2" s="189"/>
      <c r="FZ2" s="189"/>
      <c r="GA2" s="189"/>
      <c r="GB2" s="189"/>
      <c r="GC2" s="189"/>
      <c r="GD2" s="189"/>
      <c r="GE2" s="189"/>
      <c r="GF2" s="189"/>
      <c r="GG2" s="189"/>
      <c r="GH2" s="189"/>
      <c r="GI2" s="189"/>
      <c r="GJ2" s="189"/>
      <c r="GK2" s="189"/>
      <c r="GL2" s="189"/>
      <c r="GM2" s="189"/>
      <c r="GN2" s="189"/>
      <c r="GO2" s="189"/>
      <c r="GP2" s="189"/>
      <c r="GQ2" s="189"/>
      <c r="GR2" s="189"/>
      <c r="GS2" s="189"/>
      <c r="GT2" s="189"/>
      <c r="GU2" s="189"/>
      <c r="GV2" s="189"/>
      <c r="GW2" s="189"/>
      <c r="GX2" s="189"/>
      <c r="GY2" s="189"/>
      <c r="GZ2" s="189"/>
      <c r="HA2" s="189"/>
      <c r="HB2" s="189"/>
      <c r="HC2" s="189"/>
      <c r="HD2" s="189"/>
      <c r="HE2" s="189"/>
      <c r="HF2" s="189"/>
      <c r="HG2" s="189"/>
      <c r="HH2" s="189"/>
      <c r="HI2" s="189"/>
      <c r="HJ2" s="189"/>
      <c r="HK2" s="189"/>
      <c r="HL2" s="189"/>
      <c r="HM2" s="189"/>
      <c r="HN2" s="189"/>
      <c r="HO2" s="189"/>
      <c r="HP2" s="189"/>
      <c r="HQ2" s="189"/>
      <c r="HR2" s="189"/>
      <c r="HS2" s="189"/>
      <c r="HT2" s="189"/>
      <c r="HU2" s="189"/>
      <c r="HV2" s="189"/>
      <c r="HW2" s="189"/>
      <c r="HX2" s="189"/>
      <c r="HY2" s="189"/>
      <c r="HZ2" s="189"/>
      <c r="IA2" s="189"/>
      <c r="IB2" s="189"/>
      <c r="IC2" s="189"/>
      <c r="ID2" s="189"/>
      <c r="IE2" s="189"/>
      <c r="IF2" s="189"/>
      <c r="IG2" s="189"/>
      <c r="IH2" s="189"/>
      <c r="II2" s="189"/>
      <c r="IJ2" s="189"/>
      <c r="IK2" s="189"/>
      <c r="IL2" s="189"/>
      <c r="IM2" s="189"/>
      <c r="IN2" s="189"/>
      <c r="IO2" s="189"/>
      <c r="IP2" s="189"/>
      <c r="IQ2" s="189"/>
      <c r="IR2" s="189"/>
      <c r="IS2" s="189"/>
      <c r="IT2" s="189"/>
      <c r="IU2" s="189"/>
      <c r="IV2" s="189"/>
    </row>
    <row r="3" s="190" customFormat="true" ht="12.75" hidden="false" customHeight="true" outlineLevel="0" collapsed="false">
      <c r="A3" s="191"/>
      <c r="B3" s="191"/>
      <c r="C3" s="191"/>
      <c r="D3" s="147"/>
      <c r="E3" s="147"/>
      <c r="F3" s="147"/>
      <c r="G3" s="147"/>
      <c r="H3" s="147"/>
      <c r="I3" s="147"/>
      <c r="J3" s="147"/>
      <c r="K3" s="147"/>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93" t="s">
        <v>105</v>
      </c>
      <c r="BF3" s="193"/>
      <c r="BG3" s="193"/>
      <c r="BH3" s="193"/>
      <c r="BI3" s="193"/>
      <c r="BJ3" s="194" t="s">
        <v>106</v>
      </c>
      <c r="BK3" s="194"/>
      <c r="BL3" s="194"/>
      <c r="BM3" s="194"/>
      <c r="BN3" s="194"/>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c r="CY3" s="189"/>
      <c r="CZ3" s="189"/>
      <c r="DA3" s="189"/>
      <c r="DB3" s="189"/>
      <c r="DC3" s="189"/>
      <c r="DD3" s="189"/>
      <c r="DE3" s="189"/>
      <c r="DF3" s="189"/>
      <c r="DG3" s="189"/>
      <c r="DH3" s="189"/>
      <c r="DI3" s="189"/>
      <c r="DJ3" s="189"/>
      <c r="DK3" s="189"/>
      <c r="DL3" s="189"/>
      <c r="DM3" s="189"/>
      <c r="DN3" s="189"/>
      <c r="DO3" s="189"/>
      <c r="DP3" s="189"/>
      <c r="DQ3" s="189"/>
      <c r="DR3" s="189"/>
      <c r="DS3" s="189"/>
      <c r="DT3" s="189"/>
      <c r="DU3" s="189"/>
      <c r="DV3" s="189"/>
      <c r="DW3" s="189"/>
      <c r="DX3" s="189"/>
      <c r="DY3" s="189"/>
      <c r="DZ3" s="189"/>
      <c r="EA3" s="189"/>
      <c r="EB3" s="189"/>
      <c r="EC3" s="189"/>
      <c r="ED3" s="189"/>
      <c r="EE3" s="189"/>
      <c r="EF3" s="189"/>
      <c r="EG3" s="189"/>
      <c r="EH3" s="189"/>
      <c r="EI3" s="189"/>
      <c r="EJ3" s="189"/>
      <c r="EK3" s="189"/>
      <c r="EL3" s="189"/>
      <c r="EM3" s="189"/>
      <c r="EN3" s="189"/>
      <c r="EO3" s="189"/>
      <c r="EP3" s="189"/>
      <c r="EQ3" s="189"/>
      <c r="ER3" s="189"/>
      <c r="ES3" s="189"/>
      <c r="ET3" s="189"/>
      <c r="EU3" s="189"/>
      <c r="EV3" s="189"/>
      <c r="EW3" s="189"/>
      <c r="EX3" s="189"/>
      <c r="EY3" s="189"/>
      <c r="EZ3" s="189"/>
      <c r="FA3" s="189"/>
      <c r="FB3" s="189"/>
      <c r="FC3" s="189"/>
      <c r="FD3" s="189"/>
      <c r="FE3" s="189"/>
      <c r="FF3" s="189"/>
      <c r="FG3" s="189"/>
      <c r="FH3" s="189"/>
      <c r="FI3" s="189"/>
      <c r="FJ3" s="189"/>
      <c r="FK3" s="189"/>
      <c r="FL3" s="189"/>
      <c r="FM3" s="189"/>
      <c r="FN3" s="189"/>
      <c r="FO3" s="189"/>
      <c r="FP3" s="189"/>
      <c r="FQ3" s="189"/>
      <c r="FR3" s="189"/>
      <c r="FS3" s="189"/>
      <c r="FT3" s="189"/>
      <c r="FU3" s="189"/>
      <c r="FV3" s="189"/>
      <c r="FW3" s="189"/>
      <c r="FX3" s="189"/>
      <c r="FY3" s="189"/>
      <c r="FZ3" s="189"/>
      <c r="GA3" s="189"/>
      <c r="GB3" s="189"/>
      <c r="GC3" s="189"/>
      <c r="GD3" s="189"/>
      <c r="GE3" s="189"/>
      <c r="GF3" s="189"/>
      <c r="GG3" s="189"/>
      <c r="GH3" s="189"/>
      <c r="GI3" s="189"/>
      <c r="GJ3" s="189"/>
      <c r="GK3" s="189"/>
      <c r="GL3" s="189"/>
      <c r="GM3" s="189"/>
      <c r="GN3" s="189"/>
      <c r="GO3" s="189"/>
      <c r="GP3" s="189"/>
      <c r="GQ3" s="189"/>
      <c r="GR3" s="189"/>
      <c r="GS3" s="189"/>
      <c r="GT3" s="189"/>
      <c r="GU3" s="189"/>
      <c r="GV3" s="189"/>
      <c r="GW3" s="189"/>
      <c r="GX3" s="189"/>
      <c r="GY3" s="189"/>
      <c r="GZ3" s="189"/>
      <c r="HA3" s="189"/>
      <c r="HB3" s="189"/>
      <c r="HC3" s="189"/>
      <c r="HD3" s="189"/>
      <c r="HE3" s="189"/>
      <c r="HF3" s="189"/>
      <c r="HG3" s="189"/>
      <c r="HH3" s="189"/>
      <c r="HI3" s="189"/>
      <c r="HJ3" s="189"/>
      <c r="HK3" s="189"/>
      <c r="HL3" s="189"/>
      <c r="HM3" s="189"/>
      <c r="HN3" s="189"/>
      <c r="HO3" s="189"/>
      <c r="HP3" s="189"/>
      <c r="HQ3" s="189"/>
      <c r="HR3" s="189"/>
      <c r="HS3" s="189"/>
      <c r="HT3" s="189"/>
      <c r="HU3" s="189"/>
      <c r="HV3" s="189"/>
      <c r="HW3" s="189"/>
      <c r="HX3" s="189"/>
      <c r="HY3" s="189"/>
      <c r="HZ3" s="189"/>
      <c r="IA3" s="189"/>
      <c r="IB3" s="189"/>
      <c r="IC3" s="189"/>
      <c r="ID3" s="189"/>
      <c r="IE3" s="189"/>
      <c r="IF3" s="189"/>
      <c r="IG3" s="189"/>
      <c r="IH3" s="189"/>
      <c r="II3" s="189"/>
      <c r="IJ3" s="189"/>
      <c r="IK3" s="189"/>
      <c r="IL3" s="189"/>
      <c r="IM3" s="189"/>
      <c r="IN3" s="189"/>
      <c r="IO3" s="189"/>
      <c r="IP3" s="189"/>
      <c r="IQ3" s="189"/>
      <c r="IR3" s="189"/>
      <c r="IS3" s="189"/>
      <c r="IT3" s="189"/>
      <c r="IU3" s="189"/>
      <c r="IV3" s="189"/>
    </row>
    <row r="4" s="199" customFormat="true" ht="12.75" hidden="false" customHeight="true" outlineLevel="0" collapsed="false">
      <c r="A4" s="150" t="n">
        <f aca="false">IF(Eingabe!A8="","",Eingabe!A8)</f>
        <v>1</v>
      </c>
      <c r="B4" s="150"/>
      <c r="C4" s="150"/>
      <c r="D4" s="151" t="n">
        <f aca="false">IF(Eingabe!B8="","",Eingabe!B8)</f>
        <v>40</v>
      </c>
      <c r="E4" s="151"/>
      <c r="F4" s="151"/>
      <c r="G4" s="151"/>
      <c r="H4" s="152" t="str">
        <f aca="false">IF(Eingabe!C8="","",Eingabe!C8)</f>
        <v>STK</v>
      </c>
      <c r="I4" s="152"/>
      <c r="J4" s="152"/>
      <c r="K4" s="152"/>
      <c r="L4" s="153" t="str">
        <f aca="false">IF(Eingabe!D8="","",Eingabe!D8)</f>
        <v>Choc V1 Switches</v>
      </c>
      <c r="M4" s="153"/>
      <c r="N4" s="153"/>
      <c r="O4" s="153"/>
      <c r="P4" s="153"/>
      <c r="Q4" s="153"/>
      <c r="R4" s="153"/>
      <c r="S4" s="153"/>
      <c r="T4" s="153"/>
      <c r="U4" s="153"/>
      <c r="V4" s="153"/>
      <c r="W4" s="153"/>
      <c r="X4" s="153"/>
      <c r="Y4" s="153"/>
      <c r="Z4" s="153"/>
      <c r="AA4" s="153"/>
      <c r="AB4" s="153"/>
      <c r="AC4" s="153"/>
      <c r="AD4" s="153"/>
      <c r="AE4" s="153"/>
      <c r="AF4" s="153"/>
      <c r="AG4" s="153"/>
      <c r="AH4" s="195" t="str">
        <f aca="false">IF(Eingabe!F8&amp;Eingabe!G8="","",Eingabe!F8&amp;"  /  "&amp;Eingabe!G8)</f>
        <v>keeb.supply  /  </v>
      </c>
      <c r="AI4" s="195"/>
      <c r="AJ4" s="195"/>
      <c r="AK4" s="195"/>
      <c r="AL4" s="195"/>
      <c r="AM4" s="195"/>
      <c r="AN4" s="195"/>
      <c r="AO4" s="195"/>
      <c r="AP4" s="195"/>
      <c r="AQ4" s="195"/>
      <c r="AR4" s="195"/>
      <c r="AS4" s="195"/>
      <c r="AT4" s="195"/>
      <c r="AU4" s="195"/>
      <c r="AV4" s="195"/>
      <c r="AW4" s="195"/>
      <c r="AX4" s="195"/>
      <c r="AY4" s="195"/>
      <c r="AZ4" s="195"/>
      <c r="BA4" s="195"/>
      <c r="BB4" s="195"/>
      <c r="BC4" s="195"/>
      <c r="BD4" s="195"/>
      <c r="BE4" s="196" t="n">
        <f aca="false">IF(Eingabe!I8="","",Eingabe!I8)</f>
        <v>0.95</v>
      </c>
      <c r="BF4" s="196"/>
      <c r="BG4" s="196"/>
      <c r="BH4" s="196"/>
      <c r="BI4" s="196"/>
      <c r="BJ4" s="197" t="n">
        <f aca="false">IF(Eingabe!I8="","",Eingabe!I8*Eingabe!B8)</f>
        <v>38</v>
      </c>
      <c r="BK4" s="197"/>
      <c r="BL4" s="197"/>
      <c r="BM4" s="197"/>
      <c r="BN4" s="197"/>
      <c r="BO4" s="198"/>
      <c r="BP4" s="198"/>
      <c r="BQ4" s="198"/>
      <c r="BR4" s="198"/>
      <c r="BS4" s="198"/>
      <c r="BT4" s="198"/>
      <c r="BU4" s="198"/>
      <c r="BV4" s="198"/>
      <c r="BW4" s="198"/>
      <c r="BX4" s="198"/>
      <c r="BY4" s="198"/>
      <c r="BZ4" s="198"/>
      <c r="CA4" s="198"/>
      <c r="CB4" s="198"/>
      <c r="CC4" s="198"/>
      <c r="CD4" s="198"/>
      <c r="CE4" s="198"/>
      <c r="CF4" s="198"/>
      <c r="CG4" s="198"/>
      <c r="CH4" s="198"/>
      <c r="CI4" s="198"/>
      <c r="CJ4" s="198"/>
      <c r="CK4" s="198"/>
      <c r="CL4" s="198"/>
      <c r="CM4" s="198"/>
      <c r="CN4" s="198"/>
      <c r="CO4" s="198"/>
      <c r="CP4" s="198"/>
      <c r="CQ4" s="198"/>
      <c r="CR4" s="198"/>
      <c r="CS4" s="198"/>
      <c r="CT4" s="198"/>
      <c r="CU4" s="198"/>
      <c r="CV4" s="198"/>
      <c r="CW4" s="198"/>
      <c r="CX4" s="198"/>
      <c r="CY4" s="198"/>
      <c r="CZ4" s="198"/>
      <c r="DA4" s="198"/>
      <c r="DB4" s="198"/>
      <c r="DC4" s="198"/>
      <c r="DD4" s="198"/>
      <c r="DE4" s="198"/>
      <c r="DF4" s="198"/>
      <c r="DG4" s="198"/>
      <c r="DH4" s="198"/>
      <c r="DI4" s="198"/>
      <c r="DJ4" s="198"/>
      <c r="DK4" s="198"/>
      <c r="DL4" s="198"/>
      <c r="DM4" s="198"/>
      <c r="DN4" s="198"/>
      <c r="DO4" s="198"/>
      <c r="DP4" s="198"/>
      <c r="DQ4" s="198"/>
      <c r="DR4" s="198"/>
      <c r="DS4" s="198"/>
      <c r="DT4" s="198"/>
      <c r="DU4" s="198"/>
      <c r="DV4" s="198"/>
      <c r="DW4" s="198"/>
      <c r="DX4" s="198"/>
      <c r="DY4" s="198"/>
      <c r="DZ4" s="198"/>
      <c r="EA4" s="198"/>
      <c r="EB4" s="198"/>
      <c r="EC4" s="198"/>
      <c r="ED4" s="198"/>
      <c r="EE4" s="198"/>
      <c r="EF4" s="198"/>
      <c r="EG4" s="198"/>
      <c r="EH4" s="198"/>
      <c r="EI4" s="198"/>
      <c r="EJ4" s="198"/>
      <c r="EK4" s="198"/>
      <c r="EL4" s="198"/>
      <c r="EM4" s="198"/>
      <c r="EN4" s="198"/>
      <c r="EO4" s="198"/>
      <c r="EP4" s="198"/>
      <c r="EQ4" s="198"/>
      <c r="ER4" s="198"/>
      <c r="ES4" s="198"/>
      <c r="ET4" s="198"/>
      <c r="EU4" s="198"/>
      <c r="EV4" s="198"/>
      <c r="EW4" s="198"/>
      <c r="EX4" s="198"/>
      <c r="EY4" s="198"/>
      <c r="EZ4" s="198"/>
      <c r="FA4" s="198"/>
      <c r="FB4" s="198"/>
      <c r="FC4" s="198"/>
      <c r="FD4" s="198"/>
      <c r="FE4" s="198"/>
      <c r="FF4" s="198"/>
      <c r="FG4" s="198"/>
      <c r="FH4" s="198"/>
      <c r="FI4" s="198"/>
      <c r="FJ4" s="198"/>
      <c r="FK4" s="198"/>
      <c r="FL4" s="198"/>
      <c r="FM4" s="198"/>
      <c r="FN4" s="198"/>
      <c r="FO4" s="198"/>
      <c r="FP4" s="198"/>
      <c r="FQ4" s="198"/>
      <c r="FR4" s="198"/>
      <c r="FS4" s="198"/>
      <c r="FT4" s="198"/>
      <c r="FU4" s="198"/>
      <c r="FV4" s="198"/>
      <c r="FW4" s="198"/>
      <c r="FX4" s="198"/>
      <c r="FY4" s="198"/>
      <c r="FZ4" s="198"/>
      <c r="GA4" s="198"/>
      <c r="GB4" s="198"/>
      <c r="GC4" s="198"/>
      <c r="GD4" s="198"/>
      <c r="GE4" s="198"/>
      <c r="GF4" s="198"/>
      <c r="GG4" s="198"/>
      <c r="GH4" s="198"/>
      <c r="GI4" s="198"/>
      <c r="GJ4" s="198"/>
      <c r="GK4" s="198"/>
      <c r="GL4" s="198"/>
      <c r="GM4" s="198"/>
      <c r="GN4" s="198"/>
      <c r="GO4" s="198"/>
      <c r="GP4" s="198"/>
      <c r="GQ4" s="198"/>
      <c r="GR4" s="198"/>
      <c r="GS4" s="198"/>
      <c r="GT4" s="198"/>
      <c r="GU4" s="198"/>
      <c r="GV4" s="198"/>
      <c r="GW4" s="198"/>
      <c r="GX4" s="198"/>
      <c r="GY4" s="198"/>
      <c r="GZ4" s="198"/>
      <c r="HA4" s="198"/>
      <c r="HB4" s="198"/>
      <c r="HC4" s="198"/>
      <c r="HD4" s="198"/>
      <c r="HE4" s="198"/>
      <c r="HF4" s="198"/>
      <c r="HG4" s="198"/>
      <c r="HH4" s="198"/>
      <c r="HI4" s="198"/>
      <c r="HJ4" s="198"/>
      <c r="HK4" s="198"/>
      <c r="HL4" s="198"/>
      <c r="HM4" s="198"/>
      <c r="HN4" s="198"/>
      <c r="HO4" s="198"/>
      <c r="HP4" s="198"/>
      <c r="HQ4" s="198"/>
      <c r="HR4" s="198"/>
      <c r="HS4" s="198"/>
      <c r="HT4" s="198"/>
      <c r="HU4" s="198"/>
      <c r="HV4" s="198"/>
      <c r="HW4" s="198"/>
      <c r="HX4" s="198"/>
      <c r="HY4" s="198"/>
      <c r="HZ4" s="198"/>
      <c r="IA4" s="198"/>
      <c r="IB4" s="198"/>
      <c r="IC4" s="198"/>
      <c r="ID4" s="198"/>
      <c r="IE4" s="198"/>
      <c r="IF4" s="198"/>
      <c r="IG4" s="198"/>
      <c r="IH4" s="198"/>
      <c r="II4" s="198"/>
      <c r="IJ4" s="198"/>
      <c r="IK4" s="198"/>
      <c r="IL4" s="198"/>
      <c r="IM4" s="198"/>
      <c r="IN4" s="198"/>
      <c r="IO4" s="198"/>
      <c r="IP4" s="198"/>
      <c r="IQ4" s="198"/>
      <c r="IR4" s="198"/>
      <c r="IS4" s="198"/>
      <c r="IT4" s="198"/>
      <c r="IU4" s="198"/>
      <c r="IV4" s="198"/>
    </row>
    <row r="5" s="199" customFormat="true" ht="12.75" hidden="false" customHeight="true" outlineLevel="0" collapsed="false">
      <c r="A5" s="157" t="n">
        <f aca="false">IF(Eingabe!A9="","",Eingabe!A9)</f>
        <v>2</v>
      </c>
      <c r="B5" s="157"/>
      <c r="C5" s="157"/>
      <c r="D5" s="158" t="n">
        <f aca="false">IF(Eingabe!B9="","",Eingabe!B9)</f>
        <v>40</v>
      </c>
      <c r="E5" s="158"/>
      <c r="F5" s="158"/>
      <c r="G5" s="158"/>
      <c r="H5" s="159" t="str">
        <f aca="false">IF(Eingabe!C9="","",Eingabe!C9)</f>
        <v>STK</v>
      </c>
      <c r="I5" s="159"/>
      <c r="J5" s="159"/>
      <c r="K5" s="159"/>
      <c r="L5" s="160" t="str">
        <f aca="false">IF(Eingabe!D9="","",Eingabe!D9)</f>
        <v>Kailh-Choc 1350 Hot Swap Sockets</v>
      </c>
      <c r="M5" s="160"/>
      <c r="N5" s="160"/>
      <c r="O5" s="160"/>
      <c r="P5" s="160"/>
      <c r="Q5" s="160"/>
      <c r="R5" s="160"/>
      <c r="S5" s="160"/>
      <c r="T5" s="160"/>
      <c r="U5" s="160"/>
      <c r="V5" s="160"/>
      <c r="W5" s="160"/>
      <c r="X5" s="160"/>
      <c r="Y5" s="160"/>
      <c r="Z5" s="160"/>
      <c r="AA5" s="160"/>
      <c r="AB5" s="160"/>
      <c r="AC5" s="160"/>
      <c r="AD5" s="160"/>
      <c r="AE5" s="160"/>
      <c r="AF5" s="160"/>
      <c r="AG5" s="160"/>
      <c r="AH5" s="200" t="str">
        <f aca="false">IF(Eingabe!F9&amp;Eingabe!G9="","",Eingabe!F9&amp;"  /  "&amp;Eingabe!G9)</f>
        <v>keeb.supply  /  </v>
      </c>
      <c r="AI5" s="200"/>
      <c r="AJ5" s="200"/>
      <c r="AK5" s="200"/>
      <c r="AL5" s="200"/>
      <c r="AM5" s="200"/>
      <c r="AN5" s="200"/>
      <c r="AO5" s="200"/>
      <c r="AP5" s="200"/>
      <c r="AQ5" s="200"/>
      <c r="AR5" s="200"/>
      <c r="AS5" s="200"/>
      <c r="AT5" s="200"/>
      <c r="AU5" s="200"/>
      <c r="AV5" s="200"/>
      <c r="AW5" s="200"/>
      <c r="AX5" s="200"/>
      <c r="AY5" s="200"/>
      <c r="AZ5" s="200"/>
      <c r="BA5" s="200"/>
      <c r="BB5" s="200"/>
      <c r="BC5" s="200"/>
      <c r="BD5" s="200"/>
      <c r="BE5" s="201" t="n">
        <f aca="false">IF(Eingabe!I9="","",Eingabe!I9)</f>
        <v>0.22</v>
      </c>
      <c r="BF5" s="201"/>
      <c r="BG5" s="201"/>
      <c r="BH5" s="201"/>
      <c r="BI5" s="201"/>
      <c r="BJ5" s="202" t="n">
        <f aca="false">IF(Eingabe!I9="","",Eingabe!I9*Eingabe!B9)</f>
        <v>8.8</v>
      </c>
      <c r="BK5" s="202"/>
      <c r="BL5" s="202"/>
      <c r="BM5" s="202"/>
      <c r="BN5" s="202"/>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row>
    <row r="6" s="199" customFormat="true" ht="12.75" hidden="false" customHeight="true" outlineLevel="0" collapsed="false">
      <c r="A6" s="157" t="n">
        <f aca="false">IF(Eingabe!A10="","",Eingabe!A10)</f>
        <v>3</v>
      </c>
      <c r="B6" s="157"/>
      <c r="C6" s="157"/>
      <c r="D6" s="158" t="n">
        <f aca="false">IF(Eingabe!B10="","",Eingabe!B10)</f>
        <v>40</v>
      </c>
      <c r="E6" s="158"/>
      <c r="F6" s="158"/>
      <c r="G6" s="158"/>
      <c r="H6" s="159" t="str">
        <f aca="false">IF(Eingabe!C10="","",Eingabe!C10)</f>
        <v>STK</v>
      </c>
      <c r="I6" s="159"/>
      <c r="J6" s="159"/>
      <c r="K6" s="159"/>
      <c r="L6" s="160" t="str">
        <f aca="false">IF(Eingabe!D10="","",Eingabe!D10)</f>
        <v>1N4148</v>
      </c>
      <c r="M6" s="160"/>
      <c r="N6" s="160"/>
      <c r="O6" s="160"/>
      <c r="P6" s="160"/>
      <c r="Q6" s="160"/>
      <c r="R6" s="160"/>
      <c r="S6" s="160"/>
      <c r="T6" s="160"/>
      <c r="U6" s="160"/>
      <c r="V6" s="160"/>
      <c r="W6" s="160"/>
      <c r="X6" s="160"/>
      <c r="Y6" s="160"/>
      <c r="Z6" s="160"/>
      <c r="AA6" s="160"/>
      <c r="AB6" s="160"/>
      <c r="AC6" s="160"/>
      <c r="AD6" s="160"/>
      <c r="AE6" s="160"/>
      <c r="AF6" s="160"/>
      <c r="AG6" s="160"/>
      <c r="AH6" s="200" t="str">
        <f aca="false">IF(Eingabe!F10&amp;Eingabe!G10="","",Eingabe!F10&amp;"  /  "&amp;Eingabe!G10)</f>
        <v>s-grundner  /  1N 4148</v>
      </c>
      <c r="AI6" s="200"/>
      <c r="AJ6" s="200"/>
      <c r="AK6" s="200"/>
      <c r="AL6" s="200"/>
      <c r="AM6" s="200"/>
      <c r="AN6" s="200"/>
      <c r="AO6" s="200"/>
      <c r="AP6" s="200"/>
      <c r="AQ6" s="200"/>
      <c r="AR6" s="200"/>
      <c r="AS6" s="200"/>
      <c r="AT6" s="200"/>
      <c r="AU6" s="200"/>
      <c r="AV6" s="200"/>
      <c r="AW6" s="200"/>
      <c r="AX6" s="200"/>
      <c r="AY6" s="200"/>
      <c r="AZ6" s="200"/>
      <c r="BA6" s="200"/>
      <c r="BB6" s="200"/>
      <c r="BC6" s="200"/>
      <c r="BD6" s="200"/>
      <c r="BE6" s="201" t="n">
        <f aca="false">IF(Eingabe!I10="","",Eingabe!I10)</f>
        <v>0</v>
      </c>
      <c r="BF6" s="201"/>
      <c r="BG6" s="201"/>
      <c r="BH6" s="201"/>
      <c r="BI6" s="201"/>
      <c r="BJ6" s="202" t="n">
        <f aca="false">IF(Eingabe!I10="","",Eingabe!I10*Eingabe!B10)</f>
        <v>0</v>
      </c>
      <c r="BK6" s="202"/>
      <c r="BL6" s="202"/>
      <c r="BM6" s="202"/>
      <c r="BN6" s="202"/>
      <c r="BO6" s="198"/>
      <c r="BP6" s="198"/>
      <c r="BQ6" s="198"/>
      <c r="BR6" s="198"/>
      <c r="BS6" s="198"/>
      <c r="BT6" s="198"/>
      <c r="BU6" s="198"/>
      <c r="BV6" s="198"/>
      <c r="BW6" s="198"/>
      <c r="BX6" s="198"/>
      <c r="BY6" s="198"/>
      <c r="BZ6" s="198"/>
      <c r="CA6" s="198"/>
      <c r="CB6" s="198"/>
      <c r="CC6" s="198"/>
      <c r="CD6" s="198"/>
      <c r="CE6" s="198"/>
      <c r="CF6" s="198"/>
      <c r="CG6" s="198"/>
      <c r="CH6" s="198"/>
      <c r="CI6" s="198"/>
      <c r="CJ6" s="198"/>
      <c r="CK6" s="198"/>
      <c r="CL6" s="198"/>
      <c r="CM6" s="198"/>
      <c r="CN6" s="198"/>
      <c r="CO6" s="198"/>
      <c r="CP6" s="198"/>
      <c r="CQ6" s="198"/>
      <c r="CR6" s="198"/>
      <c r="CS6" s="198"/>
      <c r="CT6" s="198"/>
      <c r="CU6" s="198"/>
      <c r="CV6" s="198"/>
      <c r="CW6" s="198"/>
      <c r="CX6" s="198"/>
      <c r="CY6" s="198"/>
      <c r="CZ6" s="198"/>
      <c r="DA6" s="198"/>
      <c r="DB6" s="198"/>
      <c r="DC6" s="198"/>
      <c r="DD6" s="198"/>
      <c r="DE6" s="198"/>
      <c r="DF6" s="198"/>
      <c r="DG6" s="198"/>
      <c r="DH6" s="198"/>
      <c r="DI6" s="198"/>
      <c r="DJ6" s="198"/>
      <c r="DK6" s="198"/>
      <c r="DL6" s="198"/>
      <c r="DM6" s="198"/>
      <c r="DN6" s="198"/>
      <c r="DO6" s="198"/>
      <c r="DP6" s="198"/>
      <c r="DQ6" s="198"/>
      <c r="DR6" s="198"/>
      <c r="DS6" s="198"/>
      <c r="DT6" s="198"/>
      <c r="DU6" s="198"/>
      <c r="DV6" s="198"/>
      <c r="DW6" s="198"/>
      <c r="DX6" s="198"/>
      <c r="DY6" s="198"/>
      <c r="DZ6" s="198"/>
      <c r="EA6" s="198"/>
      <c r="EB6" s="198"/>
      <c r="EC6" s="198"/>
      <c r="ED6" s="198"/>
      <c r="EE6" s="198"/>
      <c r="EF6" s="198"/>
      <c r="EG6" s="198"/>
      <c r="EH6" s="198"/>
      <c r="EI6" s="198"/>
      <c r="EJ6" s="198"/>
      <c r="EK6" s="198"/>
      <c r="EL6" s="198"/>
      <c r="EM6" s="198"/>
      <c r="EN6" s="198"/>
      <c r="EO6" s="198"/>
      <c r="EP6" s="198"/>
      <c r="EQ6" s="198"/>
      <c r="ER6" s="198"/>
      <c r="ES6" s="198"/>
      <c r="ET6" s="198"/>
      <c r="EU6" s="198"/>
      <c r="EV6" s="198"/>
      <c r="EW6" s="198"/>
      <c r="EX6" s="198"/>
      <c r="EY6" s="198"/>
      <c r="EZ6" s="198"/>
      <c r="FA6" s="198"/>
      <c r="FB6" s="198"/>
      <c r="FC6" s="198"/>
      <c r="FD6" s="198"/>
      <c r="FE6" s="198"/>
      <c r="FF6" s="198"/>
      <c r="FG6" s="198"/>
      <c r="FH6" s="198"/>
      <c r="FI6" s="198"/>
      <c r="FJ6" s="198"/>
      <c r="FK6" s="198"/>
      <c r="FL6" s="198"/>
      <c r="FM6" s="198"/>
      <c r="FN6" s="198"/>
      <c r="FO6" s="198"/>
      <c r="FP6" s="198"/>
      <c r="FQ6" s="198"/>
      <c r="FR6" s="198"/>
      <c r="FS6" s="198"/>
      <c r="FT6" s="198"/>
      <c r="FU6" s="198"/>
      <c r="FV6" s="198"/>
      <c r="FW6" s="198"/>
      <c r="FX6" s="198"/>
      <c r="FY6" s="198"/>
      <c r="FZ6" s="198"/>
      <c r="GA6" s="198"/>
      <c r="GB6" s="198"/>
      <c r="GC6" s="198"/>
      <c r="GD6" s="198"/>
      <c r="GE6" s="198"/>
      <c r="GF6" s="198"/>
      <c r="GG6" s="198"/>
      <c r="GH6" s="198"/>
      <c r="GI6" s="198"/>
      <c r="GJ6" s="198"/>
      <c r="GK6" s="198"/>
      <c r="GL6" s="198"/>
      <c r="GM6" s="198"/>
      <c r="GN6" s="198"/>
      <c r="GO6" s="198"/>
      <c r="GP6" s="198"/>
      <c r="GQ6" s="198"/>
      <c r="GR6" s="198"/>
      <c r="GS6" s="198"/>
      <c r="GT6" s="198"/>
      <c r="GU6" s="198"/>
      <c r="GV6" s="198"/>
      <c r="GW6" s="198"/>
      <c r="GX6" s="198"/>
      <c r="GY6" s="198"/>
      <c r="GZ6" s="198"/>
      <c r="HA6" s="198"/>
      <c r="HB6" s="198"/>
      <c r="HC6" s="198"/>
      <c r="HD6" s="198"/>
      <c r="HE6" s="198"/>
      <c r="HF6" s="198"/>
      <c r="HG6" s="198"/>
      <c r="HH6" s="198"/>
      <c r="HI6" s="198"/>
      <c r="HJ6" s="198"/>
      <c r="HK6" s="198"/>
      <c r="HL6" s="198"/>
      <c r="HM6" s="198"/>
      <c r="HN6" s="198"/>
      <c r="HO6" s="198"/>
      <c r="HP6" s="198"/>
      <c r="HQ6" s="198"/>
      <c r="HR6" s="198"/>
      <c r="HS6" s="198"/>
      <c r="HT6" s="198"/>
      <c r="HU6" s="198"/>
      <c r="HV6" s="198"/>
      <c r="HW6" s="198"/>
      <c r="HX6" s="198"/>
      <c r="HY6" s="198"/>
      <c r="HZ6" s="198"/>
      <c r="IA6" s="198"/>
      <c r="IB6" s="198"/>
      <c r="IC6" s="198"/>
      <c r="ID6" s="198"/>
      <c r="IE6" s="198"/>
      <c r="IF6" s="198"/>
      <c r="IG6" s="198"/>
      <c r="IH6" s="198"/>
      <c r="II6" s="198"/>
      <c r="IJ6" s="198"/>
      <c r="IK6" s="198"/>
      <c r="IL6" s="198"/>
      <c r="IM6" s="198"/>
      <c r="IN6" s="198"/>
      <c r="IO6" s="198"/>
      <c r="IP6" s="198"/>
      <c r="IQ6" s="198"/>
      <c r="IR6" s="198"/>
      <c r="IS6" s="198"/>
      <c r="IT6" s="198"/>
      <c r="IU6" s="198"/>
      <c r="IV6" s="198"/>
    </row>
    <row r="7" s="199" customFormat="true" ht="12.75" hidden="false" customHeight="true" outlineLevel="0" collapsed="false">
      <c r="A7" s="157" t="n">
        <f aca="false">IF(Eingabe!A11="","",Eingabe!A11)</f>
        <v>4</v>
      </c>
      <c r="B7" s="157"/>
      <c r="C7" s="157"/>
      <c r="D7" s="158" t="n">
        <f aca="false">IF(Eingabe!B11="","",Eingabe!B11)</f>
        <v>2</v>
      </c>
      <c r="E7" s="158"/>
      <c r="F7" s="158"/>
      <c r="G7" s="158"/>
      <c r="H7" s="159" t="str">
        <f aca="false">IF(Eingabe!C11="","",Eingabe!C11)</f>
        <v>STK</v>
      </c>
      <c r="I7" s="159"/>
      <c r="J7" s="159"/>
      <c r="K7" s="159"/>
      <c r="L7" s="160" t="str">
        <f aca="false">IF(Eingabe!D11="","",Eingabe!D11)</f>
        <v>Reset Button</v>
      </c>
      <c r="M7" s="160"/>
      <c r="N7" s="160"/>
      <c r="O7" s="160"/>
      <c r="P7" s="160"/>
      <c r="Q7" s="160"/>
      <c r="R7" s="160"/>
      <c r="S7" s="160"/>
      <c r="T7" s="160"/>
      <c r="U7" s="160"/>
      <c r="V7" s="160"/>
      <c r="W7" s="160"/>
      <c r="X7" s="160"/>
      <c r="Y7" s="160"/>
      <c r="Z7" s="160"/>
      <c r="AA7" s="160"/>
      <c r="AB7" s="160"/>
      <c r="AC7" s="160"/>
      <c r="AD7" s="160"/>
      <c r="AE7" s="160"/>
      <c r="AF7" s="160"/>
      <c r="AG7" s="160"/>
      <c r="AH7" s="200" t="str">
        <f aca="false">IF(Eingabe!F11&amp;Eingabe!G11="","",Eingabe!F11&amp;"  /  "&amp;Eingabe!G11)</f>
        <v>keeb.supply  /  SKHLLCA010</v>
      </c>
      <c r="AI7" s="200"/>
      <c r="AJ7" s="200"/>
      <c r="AK7" s="200"/>
      <c r="AL7" s="200"/>
      <c r="AM7" s="200"/>
      <c r="AN7" s="200"/>
      <c r="AO7" s="200"/>
      <c r="AP7" s="200"/>
      <c r="AQ7" s="200"/>
      <c r="AR7" s="200"/>
      <c r="AS7" s="200"/>
      <c r="AT7" s="200"/>
      <c r="AU7" s="200"/>
      <c r="AV7" s="200"/>
      <c r="AW7" s="200"/>
      <c r="AX7" s="200"/>
      <c r="AY7" s="200"/>
      <c r="AZ7" s="200"/>
      <c r="BA7" s="200"/>
      <c r="BB7" s="200"/>
      <c r="BC7" s="200"/>
      <c r="BD7" s="200"/>
      <c r="BE7" s="201" t="n">
        <f aca="false">IF(Eingabe!I11="","",Eingabe!I11)</f>
        <v>0.6</v>
      </c>
      <c r="BF7" s="201"/>
      <c r="BG7" s="201"/>
      <c r="BH7" s="201"/>
      <c r="BI7" s="201"/>
      <c r="BJ7" s="202" t="n">
        <f aca="false">IF(Eingabe!I11="","",Eingabe!I11*Eingabe!B11)</f>
        <v>1.2</v>
      </c>
      <c r="BK7" s="202"/>
      <c r="BL7" s="202"/>
      <c r="BM7" s="202"/>
      <c r="BN7" s="202"/>
      <c r="BO7" s="198"/>
      <c r="BP7" s="198"/>
      <c r="BQ7" s="198"/>
      <c r="BR7" s="198"/>
      <c r="BS7" s="198"/>
      <c r="BT7" s="198"/>
      <c r="BU7" s="198"/>
      <c r="BV7" s="198"/>
      <c r="BW7" s="198"/>
      <c r="BX7" s="198"/>
      <c r="BY7" s="198"/>
      <c r="BZ7" s="198"/>
      <c r="CA7" s="198"/>
      <c r="CB7" s="198"/>
      <c r="CC7" s="198"/>
      <c r="CD7" s="198"/>
      <c r="CE7" s="198"/>
      <c r="CF7" s="198"/>
      <c r="CG7" s="198"/>
      <c r="CH7" s="198"/>
      <c r="CI7" s="198"/>
      <c r="CJ7" s="198"/>
      <c r="CK7" s="198"/>
      <c r="CL7" s="198"/>
      <c r="CM7" s="198"/>
      <c r="CN7" s="198"/>
      <c r="CO7" s="198"/>
      <c r="CP7" s="198"/>
      <c r="CQ7" s="198"/>
      <c r="CR7" s="198"/>
      <c r="CS7" s="198"/>
      <c r="CT7" s="198"/>
      <c r="CU7" s="198"/>
      <c r="CV7" s="198"/>
      <c r="CW7" s="198"/>
      <c r="CX7" s="198"/>
      <c r="CY7" s="198"/>
      <c r="CZ7" s="198"/>
      <c r="DA7" s="198"/>
      <c r="DB7" s="198"/>
      <c r="DC7" s="198"/>
      <c r="DD7" s="198"/>
      <c r="DE7" s="198"/>
      <c r="DF7" s="198"/>
      <c r="DG7" s="198"/>
      <c r="DH7" s="198"/>
      <c r="DI7" s="198"/>
      <c r="DJ7" s="198"/>
      <c r="DK7" s="198"/>
      <c r="DL7" s="198"/>
      <c r="DM7" s="198"/>
      <c r="DN7" s="198"/>
      <c r="DO7" s="198"/>
      <c r="DP7" s="198"/>
      <c r="DQ7" s="198"/>
      <c r="DR7" s="198"/>
      <c r="DS7" s="198"/>
      <c r="DT7" s="198"/>
      <c r="DU7" s="198"/>
      <c r="DV7" s="198"/>
      <c r="DW7" s="198"/>
      <c r="DX7" s="198"/>
      <c r="DY7" s="198"/>
      <c r="DZ7" s="198"/>
      <c r="EA7" s="198"/>
      <c r="EB7" s="198"/>
      <c r="EC7" s="198"/>
      <c r="ED7" s="198"/>
      <c r="EE7" s="198"/>
      <c r="EF7" s="198"/>
      <c r="EG7" s="198"/>
      <c r="EH7" s="198"/>
      <c r="EI7" s="198"/>
      <c r="EJ7" s="198"/>
      <c r="EK7" s="198"/>
      <c r="EL7" s="198"/>
      <c r="EM7" s="198"/>
      <c r="EN7" s="198"/>
      <c r="EO7" s="198"/>
      <c r="EP7" s="198"/>
      <c r="EQ7" s="198"/>
      <c r="ER7" s="198"/>
      <c r="ES7" s="198"/>
      <c r="ET7" s="198"/>
      <c r="EU7" s="198"/>
      <c r="EV7" s="198"/>
      <c r="EW7" s="198"/>
      <c r="EX7" s="198"/>
      <c r="EY7" s="198"/>
      <c r="EZ7" s="198"/>
      <c r="FA7" s="198"/>
      <c r="FB7" s="198"/>
      <c r="FC7" s="198"/>
      <c r="FD7" s="198"/>
      <c r="FE7" s="198"/>
      <c r="FF7" s="198"/>
      <c r="FG7" s="198"/>
      <c r="FH7" s="198"/>
      <c r="FI7" s="198"/>
      <c r="FJ7" s="198"/>
      <c r="FK7" s="198"/>
      <c r="FL7" s="198"/>
      <c r="FM7" s="198"/>
      <c r="FN7" s="198"/>
      <c r="FO7" s="198"/>
      <c r="FP7" s="198"/>
      <c r="FQ7" s="198"/>
      <c r="FR7" s="198"/>
      <c r="FS7" s="198"/>
      <c r="FT7" s="198"/>
      <c r="FU7" s="198"/>
      <c r="FV7" s="198"/>
      <c r="FW7" s="198"/>
      <c r="FX7" s="198"/>
      <c r="FY7" s="198"/>
      <c r="FZ7" s="198"/>
      <c r="GA7" s="198"/>
      <c r="GB7" s="198"/>
      <c r="GC7" s="198"/>
      <c r="GD7" s="198"/>
      <c r="GE7" s="198"/>
      <c r="GF7" s="198"/>
      <c r="GG7" s="198"/>
      <c r="GH7" s="198"/>
      <c r="GI7" s="198"/>
      <c r="GJ7" s="198"/>
      <c r="GK7" s="198"/>
      <c r="GL7" s="198"/>
      <c r="GM7" s="198"/>
      <c r="GN7" s="198"/>
      <c r="GO7" s="198"/>
      <c r="GP7" s="198"/>
      <c r="GQ7" s="198"/>
      <c r="GR7" s="198"/>
      <c r="GS7" s="198"/>
      <c r="GT7" s="198"/>
      <c r="GU7" s="198"/>
      <c r="GV7" s="198"/>
      <c r="GW7" s="198"/>
      <c r="GX7" s="198"/>
      <c r="GY7" s="198"/>
      <c r="GZ7" s="198"/>
      <c r="HA7" s="198"/>
      <c r="HB7" s="198"/>
      <c r="HC7" s="198"/>
      <c r="HD7" s="198"/>
      <c r="HE7" s="198"/>
      <c r="HF7" s="198"/>
      <c r="HG7" s="198"/>
      <c r="HH7" s="198"/>
      <c r="HI7" s="198"/>
      <c r="HJ7" s="198"/>
      <c r="HK7" s="198"/>
      <c r="HL7" s="198"/>
      <c r="HM7" s="198"/>
      <c r="HN7" s="198"/>
      <c r="HO7" s="198"/>
      <c r="HP7" s="198"/>
      <c r="HQ7" s="198"/>
      <c r="HR7" s="198"/>
      <c r="HS7" s="198"/>
      <c r="HT7" s="198"/>
      <c r="HU7" s="198"/>
      <c r="HV7" s="198"/>
      <c r="HW7" s="198"/>
      <c r="HX7" s="198"/>
      <c r="HY7" s="198"/>
      <c r="HZ7" s="198"/>
      <c r="IA7" s="198"/>
      <c r="IB7" s="198"/>
      <c r="IC7" s="198"/>
      <c r="ID7" s="198"/>
      <c r="IE7" s="198"/>
      <c r="IF7" s="198"/>
      <c r="IG7" s="198"/>
      <c r="IH7" s="198"/>
      <c r="II7" s="198"/>
      <c r="IJ7" s="198"/>
      <c r="IK7" s="198"/>
      <c r="IL7" s="198"/>
      <c r="IM7" s="198"/>
      <c r="IN7" s="198"/>
      <c r="IO7" s="198"/>
      <c r="IP7" s="198"/>
      <c r="IQ7" s="198"/>
      <c r="IR7" s="198"/>
      <c r="IS7" s="198"/>
      <c r="IT7" s="198"/>
      <c r="IU7" s="198"/>
      <c r="IV7" s="198"/>
    </row>
    <row r="8" s="199" customFormat="true" ht="12.75" hidden="false" customHeight="true" outlineLevel="0" collapsed="false">
      <c r="A8" s="157" t="n">
        <f aca="false">IF(Eingabe!A12="","",Eingabe!A12)</f>
        <v>5</v>
      </c>
      <c r="B8" s="157"/>
      <c r="C8" s="157"/>
      <c r="D8" s="158" t="n">
        <f aca="false">IF(Eingabe!B12="","",Eingabe!B12)</f>
        <v>1</v>
      </c>
      <c r="E8" s="158"/>
      <c r="F8" s="158"/>
      <c r="G8" s="158"/>
      <c r="H8" s="159" t="str">
        <f aca="false">IF(Eingabe!C12="","",Eingabe!C12)</f>
        <v>STK</v>
      </c>
      <c r="I8" s="159"/>
      <c r="J8" s="159"/>
      <c r="K8" s="159"/>
      <c r="L8" s="160" t="str">
        <f aca="false">IF(Eingabe!D12="","",Eingabe!D12)</f>
        <v>PCB</v>
      </c>
      <c r="M8" s="160"/>
      <c r="N8" s="160"/>
      <c r="O8" s="160"/>
      <c r="P8" s="160"/>
      <c r="Q8" s="160"/>
      <c r="R8" s="160"/>
      <c r="S8" s="160"/>
      <c r="T8" s="160"/>
      <c r="U8" s="160"/>
      <c r="V8" s="160"/>
      <c r="W8" s="160"/>
      <c r="X8" s="160"/>
      <c r="Y8" s="160"/>
      <c r="Z8" s="160"/>
      <c r="AA8" s="160"/>
      <c r="AB8" s="160"/>
      <c r="AC8" s="160"/>
      <c r="AD8" s="160"/>
      <c r="AE8" s="160"/>
      <c r="AF8" s="160"/>
      <c r="AG8" s="160"/>
      <c r="AH8" s="200" t="str">
        <f aca="false">IF(Eingabe!F12&amp;Eingabe!G12="","",Eingabe!F12&amp;"  /  "&amp;Eingabe!G12)</f>
        <v>l-langegger  /  </v>
      </c>
      <c r="AI8" s="200"/>
      <c r="AJ8" s="200"/>
      <c r="AK8" s="200"/>
      <c r="AL8" s="200"/>
      <c r="AM8" s="200"/>
      <c r="AN8" s="200"/>
      <c r="AO8" s="200"/>
      <c r="AP8" s="200"/>
      <c r="AQ8" s="200"/>
      <c r="AR8" s="200"/>
      <c r="AS8" s="200"/>
      <c r="AT8" s="200"/>
      <c r="AU8" s="200"/>
      <c r="AV8" s="200"/>
      <c r="AW8" s="200"/>
      <c r="AX8" s="200"/>
      <c r="AY8" s="200"/>
      <c r="AZ8" s="200"/>
      <c r="BA8" s="200"/>
      <c r="BB8" s="200"/>
      <c r="BC8" s="200"/>
      <c r="BD8" s="200"/>
      <c r="BE8" s="201" t="n">
        <f aca="false">IF(Eingabe!I12="","",Eingabe!I12)</f>
        <v>0</v>
      </c>
      <c r="BF8" s="201"/>
      <c r="BG8" s="201"/>
      <c r="BH8" s="201"/>
      <c r="BI8" s="201"/>
      <c r="BJ8" s="202" t="n">
        <f aca="false">IF(Eingabe!I12="","",Eingabe!I12*Eingabe!B12)</f>
        <v>0</v>
      </c>
      <c r="BK8" s="202"/>
      <c r="BL8" s="202"/>
      <c r="BM8" s="202"/>
      <c r="BN8" s="202"/>
      <c r="BO8" s="198"/>
      <c r="BP8" s="198"/>
      <c r="BQ8" s="198"/>
      <c r="BR8" s="198"/>
      <c r="BS8" s="198"/>
      <c r="BT8" s="198"/>
      <c r="BU8" s="198"/>
      <c r="BV8" s="198"/>
      <c r="BW8" s="198"/>
      <c r="BX8" s="198"/>
      <c r="BY8" s="198"/>
      <c r="BZ8" s="198"/>
      <c r="CA8" s="198"/>
      <c r="CB8" s="198"/>
      <c r="CC8" s="198"/>
      <c r="CD8" s="198"/>
      <c r="CE8" s="198"/>
      <c r="CF8" s="198"/>
      <c r="CG8" s="198"/>
      <c r="CH8" s="198"/>
      <c r="CI8" s="198"/>
      <c r="CJ8" s="198"/>
      <c r="CK8" s="198"/>
      <c r="CL8" s="198"/>
      <c r="CM8" s="198"/>
      <c r="CN8" s="198"/>
      <c r="CO8" s="198"/>
      <c r="CP8" s="198"/>
      <c r="CQ8" s="198"/>
      <c r="CR8" s="198"/>
      <c r="CS8" s="198"/>
      <c r="CT8" s="198"/>
      <c r="CU8" s="198"/>
      <c r="CV8" s="198"/>
      <c r="CW8" s="198"/>
      <c r="CX8" s="198"/>
      <c r="CY8" s="198"/>
      <c r="CZ8" s="198"/>
      <c r="DA8" s="198"/>
      <c r="DB8" s="198"/>
      <c r="DC8" s="198"/>
      <c r="DD8" s="198"/>
      <c r="DE8" s="198"/>
      <c r="DF8" s="198"/>
      <c r="DG8" s="198"/>
      <c r="DH8" s="198"/>
      <c r="DI8" s="198"/>
      <c r="DJ8" s="198"/>
      <c r="DK8" s="198"/>
      <c r="DL8" s="198"/>
      <c r="DM8" s="198"/>
      <c r="DN8" s="198"/>
      <c r="DO8" s="198"/>
      <c r="DP8" s="198"/>
      <c r="DQ8" s="198"/>
      <c r="DR8" s="198"/>
      <c r="DS8" s="198"/>
      <c r="DT8" s="198"/>
      <c r="DU8" s="198"/>
      <c r="DV8" s="198"/>
      <c r="DW8" s="198"/>
      <c r="DX8" s="198"/>
      <c r="DY8" s="198"/>
      <c r="DZ8" s="198"/>
      <c r="EA8" s="198"/>
      <c r="EB8" s="198"/>
      <c r="EC8" s="198"/>
      <c r="ED8" s="198"/>
      <c r="EE8" s="198"/>
      <c r="EF8" s="198"/>
      <c r="EG8" s="198"/>
      <c r="EH8" s="198"/>
      <c r="EI8" s="198"/>
      <c r="EJ8" s="198"/>
      <c r="EK8" s="198"/>
      <c r="EL8" s="198"/>
      <c r="EM8" s="198"/>
      <c r="EN8" s="198"/>
      <c r="EO8" s="198"/>
      <c r="EP8" s="198"/>
      <c r="EQ8" s="198"/>
      <c r="ER8" s="198"/>
      <c r="ES8" s="198"/>
      <c r="ET8" s="198"/>
      <c r="EU8" s="198"/>
      <c r="EV8" s="198"/>
      <c r="EW8" s="198"/>
      <c r="EX8" s="198"/>
      <c r="EY8" s="198"/>
      <c r="EZ8" s="198"/>
      <c r="FA8" s="198"/>
      <c r="FB8" s="198"/>
      <c r="FC8" s="198"/>
      <c r="FD8" s="198"/>
      <c r="FE8" s="198"/>
      <c r="FF8" s="198"/>
      <c r="FG8" s="198"/>
      <c r="FH8" s="198"/>
      <c r="FI8" s="198"/>
      <c r="FJ8" s="198"/>
      <c r="FK8" s="198"/>
      <c r="FL8" s="198"/>
      <c r="FM8" s="198"/>
      <c r="FN8" s="198"/>
      <c r="FO8" s="198"/>
      <c r="FP8" s="198"/>
      <c r="FQ8" s="198"/>
      <c r="FR8" s="198"/>
      <c r="FS8" s="198"/>
      <c r="FT8" s="198"/>
      <c r="FU8" s="198"/>
      <c r="FV8" s="198"/>
      <c r="FW8" s="198"/>
      <c r="FX8" s="198"/>
      <c r="FY8" s="198"/>
      <c r="FZ8" s="198"/>
      <c r="GA8" s="198"/>
      <c r="GB8" s="198"/>
      <c r="GC8" s="198"/>
      <c r="GD8" s="198"/>
      <c r="GE8" s="198"/>
      <c r="GF8" s="198"/>
      <c r="GG8" s="198"/>
      <c r="GH8" s="198"/>
      <c r="GI8" s="198"/>
      <c r="GJ8" s="198"/>
      <c r="GK8" s="198"/>
      <c r="GL8" s="198"/>
      <c r="GM8" s="198"/>
      <c r="GN8" s="198"/>
      <c r="GO8" s="198"/>
      <c r="GP8" s="198"/>
      <c r="GQ8" s="198"/>
      <c r="GR8" s="198"/>
      <c r="GS8" s="198"/>
      <c r="GT8" s="198"/>
      <c r="GU8" s="198"/>
      <c r="GV8" s="198"/>
      <c r="GW8" s="198"/>
      <c r="GX8" s="198"/>
      <c r="GY8" s="198"/>
      <c r="GZ8" s="198"/>
      <c r="HA8" s="198"/>
      <c r="HB8" s="198"/>
      <c r="HC8" s="198"/>
      <c r="HD8" s="198"/>
      <c r="HE8" s="198"/>
      <c r="HF8" s="198"/>
      <c r="HG8" s="198"/>
      <c r="HH8" s="198"/>
      <c r="HI8" s="198"/>
      <c r="HJ8" s="198"/>
      <c r="HK8" s="198"/>
      <c r="HL8" s="198"/>
      <c r="HM8" s="198"/>
      <c r="HN8" s="198"/>
      <c r="HO8" s="198"/>
      <c r="HP8" s="198"/>
      <c r="HQ8" s="198"/>
      <c r="HR8" s="198"/>
      <c r="HS8" s="198"/>
      <c r="HT8" s="198"/>
      <c r="HU8" s="198"/>
      <c r="HV8" s="198"/>
      <c r="HW8" s="198"/>
      <c r="HX8" s="198"/>
      <c r="HY8" s="198"/>
      <c r="HZ8" s="198"/>
      <c r="IA8" s="198"/>
      <c r="IB8" s="198"/>
      <c r="IC8" s="198"/>
      <c r="ID8" s="198"/>
      <c r="IE8" s="198"/>
      <c r="IF8" s="198"/>
      <c r="IG8" s="198"/>
      <c r="IH8" s="198"/>
      <c r="II8" s="198"/>
      <c r="IJ8" s="198"/>
      <c r="IK8" s="198"/>
      <c r="IL8" s="198"/>
      <c r="IM8" s="198"/>
      <c r="IN8" s="198"/>
      <c r="IO8" s="198"/>
      <c r="IP8" s="198"/>
      <c r="IQ8" s="198"/>
      <c r="IR8" s="198"/>
      <c r="IS8" s="198"/>
      <c r="IT8" s="198"/>
      <c r="IU8" s="198"/>
      <c r="IV8" s="198"/>
    </row>
    <row r="9" s="199" customFormat="true" ht="12.75" hidden="false" customHeight="true" outlineLevel="0" collapsed="false">
      <c r="A9" s="157" t="n">
        <f aca="false">IF(Eingabe!A13="","",Eingabe!A13)</f>
        <v>6</v>
      </c>
      <c r="B9" s="157"/>
      <c r="C9" s="157"/>
      <c r="D9" s="158" t="n">
        <f aca="false">IF(Eingabe!B13="","",Eingabe!B13)</f>
        <v>2</v>
      </c>
      <c r="E9" s="158"/>
      <c r="F9" s="158"/>
      <c r="G9" s="158"/>
      <c r="H9" s="159" t="str">
        <f aca="false">IF(Eingabe!C13="","",Eingabe!C13)</f>
        <v>STK</v>
      </c>
      <c r="I9" s="159"/>
      <c r="J9" s="159"/>
      <c r="K9" s="159"/>
      <c r="L9" s="160" t="str">
        <f aca="false">IF(Eingabe!D13="","",Eingabe!D13)</f>
        <v>LiPo Akku 3.7V</v>
      </c>
      <c r="M9" s="160"/>
      <c r="N9" s="160"/>
      <c r="O9" s="160"/>
      <c r="P9" s="160"/>
      <c r="Q9" s="160"/>
      <c r="R9" s="160"/>
      <c r="S9" s="160"/>
      <c r="T9" s="160"/>
      <c r="U9" s="160"/>
      <c r="V9" s="160"/>
      <c r="W9" s="160"/>
      <c r="X9" s="160"/>
      <c r="Y9" s="160"/>
      <c r="Z9" s="160"/>
      <c r="AA9" s="160"/>
      <c r="AB9" s="160"/>
      <c r="AC9" s="160"/>
      <c r="AD9" s="160"/>
      <c r="AE9" s="160"/>
      <c r="AF9" s="160"/>
      <c r="AG9" s="160"/>
      <c r="AH9" s="200" t="str">
        <f aca="false">IF(Eingabe!F13&amp;Eingabe!G13="","",Eingabe!F13&amp;"  /  "&amp;Eingabe!G13)</f>
        <v>reichelt.de  /  AKKU 30851</v>
      </c>
      <c r="AI9" s="200"/>
      <c r="AJ9" s="200"/>
      <c r="AK9" s="200"/>
      <c r="AL9" s="200"/>
      <c r="AM9" s="200"/>
      <c r="AN9" s="200"/>
      <c r="AO9" s="200"/>
      <c r="AP9" s="200"/>
      <c r="AQ9" s="200"/>
      <c r="AR9" s="200"/>
      <c r="AS9" s="200"/>
      <c r="AT9" s="200"/>
      <c r="AU9" s="200"/>
      <c r="AV9" s="200"/>
      <c r="AW9" s="200"/>
      <c r="AX9" s="200"/>
      <c r="AY9" s="200"/>
      <c r="AZ9" s="200"/>
      <c r="BA9" s="200"/>
      <c r="BB9" s="200"/>
      <c r="BC9" s="200"/>
      <c r="BD9" s="200"/>
      <c r="BE9" s="201" t="n">
        <f aca="false">IF(Eingabe!I13="","",Eingabe!I13)</f>
        <v>5.3</v>
      </c>
      <c r="BF9" s="201"/>
      <c r="BG9" s="201"/>
      <c r="BH9" s="201"/>
      <c r="BI9" s="201"/>
      <c r="BJ9" s="202" t="n">
        <f aca="false">IF(Eingabe!I13="","",Eingabe!I13*Eingabe!B13)</f>
        <v>10.6</v>
      </c>
      <c r="BK9" s="202"/>
      <c r="BL9" s="202"/>
      <c r="BM9" s="202"/>
      <c r="BN9" s="202"/>
      <c r="BO9" s="198"/>
      <c r="BP9" s="198"/>
      <c r="BQ9" s="198"/>
      <c r="BR9" s="198"/>
      <c r="BS9" s="198"/>
      <c r="BT9" s="198"/>
      <c r="BU9" s="198"/>
      <c r="BV9" s="198"/>
      <c r="BW9" s="198"/>
      <c r="BX9" s="198"/>
      <c r="BY9" s="198"/>
      <c r="BZ9" s="198"/>
      <c r="CA9" s="198"/>
      <c r="CB9" s="198"/>
      <c r="CC9" s="198"/>
      <c r="CD9" s="198"/>
      <c r="CE9" s="198"/>
      <c r="CF9" s="198"/>
      <c r="CG9" s="198"/>
      <c r="CH9" s="198"/>
      <c r="CI9" s="198"/>
      <c r="CJ9" s="198"/>
      <c r="CK9" s="198"/>
      <c r="CL9" s="198"/>
      <c r="CM9" s="198"/>
      <c r="CN9" s="198"/>
      <c r="CO9" s="198"/>
      <c r="CP9" s="198"/>
      <c r="CQ9" s="198"/>
      <c r="CR9" s="198"/>
      <c r="CS9" s="198"/>
      <c r="CT9" s="198"/>
      <c r="CU9" s="198"/>
      <c r="CV9" s="198"/>
      <c r="CW9" s="198"/>
      <c r="CX9" s="198"/>
      <c r="CY9" s="198"/>
      <c r="CZ9" s="198"/>
      <c r="DA9" s="198"/>
      <c r="DB9" s="198"/>
      <c r="DC9" s="198"/>
      <c r="DD9" s="198"/>
      <c r="DE9" s="198"/>
      <c r="DF9" s="198"/>
      <c r="DG9" s="198"/>
      <c r="DH9" s="198"/>
      <c r="DI9" s="198"/>
      <c r="DJ9" s="198"/>
      <c r="DK9" s="198"/>
      <c r="DL9" s="198"/>
      <c r="DM9" s="198"/>
      <c r="DN9" s="198"/>
      <c r="DO9" s="198"/>
      <c r="DP9" s="198"/>
      <c r="DQ9" s="198"/>
      <c r="DR9" s="198"/>
      <c r="DS9" s="198"/>
      <c r="DT9" s="198"/>
      <c r="DU9" s="198"/>
      <c r="DV9" s="198"/>
      <c r="DW9" s="198"/>
      <c r="DX9" s="198"/>
      <c r="DY9" s="198"/>
      <c r="DZ9" s="198"/>
      <c r="EA9" s="198"/>
      <c r="EB9" s="198"/>
      <c r="EC9" s="198"/>
      <c r="ED9" s="198"/>
      <c r="EE9" s="198"/>
      <c r="EF9" s="198"/>
      <c r="EG9" s="198"/>
      <c r="EH9" s="198"/>
      <c r="EI9" s="198"/>
      <c r="EJ9" s="198"/>
      <c r="EK9" s="198"/>
      <c r="EL9" s="198"/>
      <c r="EM9" s="198"/>
      <c r="EN9" s="198"/>
      <c r="EO9" s="198"/>
      <c r="EP9" s="198"/>
      <c r="EQ9" s="198"/>
      <c r="ER9" s="198"/>
      <c r="ES9" s="198"/>
      <c r="ET9" s="198"/>
      <c r="EU9" s="198"/>
      <c r="EV9" s="198"/>
      <c r="EW9" s="198"/>
      <c r="EX9" s="198"/>
      <c r="EY9" s="198"/>
      <c r="EZ9" s="198"/>
      <c r="FA9" s="198"/>
      <c r="FB9" s="198"/>
      <c r="FC9" s="198"/>
      <c r="FD9" s="198"/>
      <c r="FE9" s="198"/>
      <c r="FF9" s="198"/>
      <c r="FG9" s="198"/>
      <c r="FH9" s="198"/>
      <c r="FI9" s="198"/>
      <c r="FJ9" s="198"/>
      <c r="FK9" s="198"/>
      <c r="FL9" s="198"/>
      <c r="FM9" s="198"/>
      <c r="FN9" s="198"/>
      <c r="FO9" s="198"/>
      <c r="FP9" s="198"/>
      <c r="FQ9" s="198"/>
      <c r="FR9" s="198"/>
      <c r="FS9" s="198"/>
      <c r="FT9" s="198"/>
      <c r="FU9" s="198"/>
      <c r="FV9" s="198"/>
      <c r="FW9" s="198"/>
      <c r="FX9" s="198"/>
      <c r="FY9" s="198"/>
      <c r="FZ9" s="198"/>
      <c r="GA9" s="198"/>
      <c r="GB9" s="198"/>
      <c r="GC9" s="198"/>
      <c r="GD9" s="198"/>
      <c r="GE9" s="198"/>
      <c r="GF9" s="198"/>
      <c r="GG9" s="198"/>
      <c r="GH9" s="198"/>
      <c r="GI9" s="198"/>
      <c r="GJ9" s="198"/>
      <c r="GK9" s="198"/>
      <c r="GL9" s="198"/>
      <c r="GM9" s="198"/>
      <c r="GN9" s="198"/>
      <c r="GO9" s="198"/>
      <c r="GP9" s="198"/>
      <c r="GQ9" s="198"/>
      <c r="GR9" s="198"/>
      <c r="GS9" s="198"/>
      <c r="GT9" s="198"/>
      <c r="GU9" s="198"/>
      <c r="GV9" s="198"/>
      <c r="GW9" s="198"/>
      <c r="GX9" s="198"/>
      <c r="GY9" s="198"/>
      <c r="GZ9" s="198"/>
      <c r="HA9" s="198"/>
      <c r="HB9" s="198"/>
      <c r="HC9" s="198"/>
      <c r="HD9" s="198"/>
      <c r="HE9" s="198"/>
      <c r="HF9" s="198"/>
      <c r="HG9" s="198"/>
      <c r="HH9" s="198"/>
      <c r="HI9" s="198"/>
      <c r="HJ9" s="198"/>
      <c r="HK9" s="198"/>
      <c r="HL9" s="198"/>
      <c r="HM9" s="198"/>
      <c r="HN9" s="198"/>
      <c r="HO9" s="198"/>
      <c r="HP9" s="198"/>
      <c r="HQ9" s="198"/>
      <c r="HR9" s="198"/>
      <c r="HS9" s="198"/>
      <c r="HT9" s="198"/>
      <c r="HU9" s="198"/>
      <c r="HV9" s="198"/>
      <c r="HW9" s="198"/>
      <c r="HX9" s="198"/>
      <c r="HY9" s="198"/>
      <c r="HZ9" s="198"/>
      <c r="IA9" s="198"/>
      <c r="IB9" s="198"/>
      <c r="IC9" s="198"/>
      <c r="ID9" s="198"/>
      <c r="IE9" s="198"/>
      <c r="IF9" s="198"/>
      <c r="IG9" s="198"/>
      <c r="IH9" s="198"/>
      <c r="II9" s="198"/>
      <c r="IJ9" s="198"/>
      <c r="IK9" s="198"/>
      <c r="IL9" s="198"/>
      <c r="IM9" s="198"/>
      <c r="IN9" s="198"/>
      <c r="IO9" s="198"/>
      <c r="IP9" s="198"/>
      <c r="IQ9" s="198"/>
      <c r="IR9" s="198"/>
      <c r="IS9" s="198"/>
      <c r="IT9" s="198"/>
      <c r="IU9" s="198"/>
      <c r="IV9" s="198"/>
    </row>
    <row r="10" s="199" customFormat="true" ht="12.75" hidden="false" customHeight="true" outlineLevel="0" collapsed="false">
      <c r="A10" s="157" t="n">
        <f aca="false">IF(Eingabe!A14="","",Eingabe!A14)</f>
        <v>7</v>
      </c>
      <c r="B10" s="157"/>
      <c r="C10" s="157"/>
      <c r="D10" s="158" t="n">
        <f aca="false">IF(Eingabe!B14="","",Eingabe!B14)</f>
        <v>3</v>
      </c>
      <c r="E10" s="158"/>
      <c r="F10" s="158"/>
      <c r="G10" s="158"/>
      <c r="H10" s="159" t="str">
        <f aca="false">IF(Eingabe!C14="","",Eingabe!C14)</f>
        <v>STK</v>
      </c>
      <c r="I10" s="159"/>
      <c r="J10" s="159"/>
      <c r="K10" s="159"/>
      <c r="L10" s="160" t="str">
        <f aca="false">IF(Eingabe!D14="","",Eingabe!D14)</f>
        <v>Seeed Studio XIAO nRF52840</v>
      </c>
      <c r="M10" s="160"/>
      <c r="N10" s="160"/>
      <c r="O10" s="160"/>
      <c r="P10" s="160"/>
      <c r="Q10" s="160"/>
      <c r="R10" s="160"/>
      <c r="S10" s="160"/>
      <c r="T10" s="160"/>
      <c r="U10" s="160"/>
      <c r="V10" s="160"/>
      <c r="W10" s="160"/>
      <c r="X10" s="160"/>
      <c r="Y10" s="160"/>
      <c r="Z10" s="160"/>
      <c r="AA10" s="160"/>
      <c r="AB10" s="160"/>
      <c r="AC10" s="160"/>
      <c r="AD10" s="160"/>
      <c r="AE10" s="160"/>
      <c r="AF10" s="160"/>
      <c r="AG10" s="160"/>
      <c r="AH10" s="200" t="str">
        <f aca="false">IF(Eingabe!F14&amp;Eingabe!G14="","",Eingabe!F14&amp;"  /  "&amp;Eingabe!G14)</f>
        <v>reichelt.de  /  XIAO NRF52840</v>
      </c>
      <c r="AI10" s="200"/>
      <c r="AJ10" s="200"/>
      <c r="AK10" s="200"/>
      <c r="AL10" s="200"/>
      <c r="AM10" s="200"/>
      <c r="AN10" s="200"/>
      <c r="AO10" s="200"/>
      <c r="AP10" s="200"/>
      <c r="AQ10" s="200"/>
      <c r="AR10" s="200"/>
      <c r="AS10" s="200"/>
      <c r="AT10" s="200"/>
      <c r="AU10" s="200"/>
      <c r="AV10" s="200"/>
      <c r="AW10" s="200"/>
      <c r="AX10" s="200"/>
      <c r="AY10" s="200"/>
      <c r="AZ10" s="200"/>
      <c r="BA10" s="200"/>
      <c r="BB10" s="200"/>
      <c r="BC10" s="200"/>
      <c r="BD10" s="200"/>
      <c r="BE10" s="201" t="n">
        <f aca="false">IF(Eingabe!I14="","",Eingabe!I14)</f>
        <v>12.8</v>
      </c>
      <c r="BF10" s="201"/>
      <c r="BG10" s="201"/>
      <c r="BH10" s="201"/>
      <c r="BI10" s="201"/>
      <c r="BJ10" s="202" t="n">
        <f aca="false">IF(Eingabe!I14="","",Eingabe!I14*Eingabe!B14)</f>
        <v>38.4</v>
      </c>
      <c r="BK10" s="202"/>
      <c r="BL10" s="202"/>
      <c r="BM10" s="202"/>
      <c r="BN10" s="202"/>
      <c r="BO10" s="198"/>
      <c r="BP10" s="198"/>
      <c r="BQ10" s="198"/>
      <c r="BR10" s="198"/>
      <c r="BS10" s="198"/>
      <c r="BT10" s="198"/>
      <c r="BU10" s="198"/>
      <c r="BV10" s="198"/>
      <c r="BW10" s="198"/>
      <c r="BX10" s="198"/>
      <c r="BY10" s="198"/>
      <c r="BZ10" s="198"/>
      <c r="CA10" s="198"/>
      <c r="CB10" s="198"/>
      <c r="CC10" s="198"/>
      <c r="CD10" s="198"/>
      <c r="CE10" s="198"/>
      <c r="CF10" s="198"/>
      <c r="CG10" s="198"/>
      <c r="CH10" s="198"/>
      <c r="CI10" s="198"/>
      <c r="CJ10" s="198"/>
      <c r="CK10" s="198"/>
      <c r="CL10" s="198"/>
      <c r="CM10" s="198"/>
      <c r="CN10" s="198"/>
      <c r="CO10" s="198"/>
      <c r="CP10" s="198"/>
      <c r="CQ10" s="198"/>
      <c r="CR10" s="198"/>
      <c r="CS10" s="198"/>
      <c r="CT10" s="198"/>
      <c r="CU10" s="198"/>
      <c r="CV10" s="198"/>
      <c r="CW10" s="198"/>
      <c r="CX10" s="198"/>
      <c r="CY10" s="198"/>
      <c r="CZ10" s="198"/>
      <c r="DA10" s="198"/>
      <c r="DB10" s="198"/>
      <c r="DC10" s="198"/>
      <c r="DD10" s="198"/>
      <c r="DE10" s="198"/>
      <c r="DF10" s="198"/>
      <c r="DG10" s="198"/>
      <c r="DH10" s="198"/>
      <c r="DI10" s="198"/>
      <c r="DJ10" s="198"/>
      <c r="DK10" s="198"/>
      <c r="DL10" s="198"/>
      <c r="DM10" s="198"/>
      <c r="DN10" s="198"/>
      <c r="DO10" s="198"/>
      <c r="DP10" s="198"/>
      <c r="DQ10" s="198"/>
      <c r="DR10" s="198"/>
      <c r="DS10" s="198"/>
      <c r="DT10" s="198"/>
      <c r="DU10" s="198"/>
      <c r="DV10" s="198"/>
      <c r="DW10" s="198"/>
      <c r="DX10" s="198"/>
      <c r="DY10" s="198"/>
      <c r="DZ10" s="198"/>
      <c r="EA10" s="198"/>
      <c r="EB10" s="198"/>
      <c r="EC10" s="198"/>
      <c r="ED10" s="198"/>
      <c r="EE10" s="198"/>
      <c r="EF10" s="198"/>
      <c r="EG10" s="198"/>
      <c r="EH10" s="198"/>
      <c r="EI10" s="198"/>
      <c r="EJ10" s="198"/>
      <c r="EK10" s="198"/>
      <c r="EL10" s="198"/>
      <c r="EM10" s="198"/>
      <c r="EN10" s="198"/>
      <c r="EO10" s="198"/>
      <c r="EP10" s="198"/>
      <c r="EQ10" s="198"/>
      <c r="ER10" s="198"/>
      <c r="ES10" s="198"/>
      <c r="ET10" s="198"/>
      <c r="EU10" s="198"/>
      <c r="EV10" s="198"/>
      <c r="EW10" s="198"/>
      <c r="EX10" s="198"/>
      <c r="EY10" s="198"/>
      <c r="EZ10" s="198"/>
      <c r="FA10" s="198"/>
      <c r="FB10" s="198"/>
      <c r="FC10" s="198"/>
      <c r="FD10" s="198"/>
      <c r="FE10" s="198"/>
      <c r="FF10" s="198"/>
      <c r="FG10" s="198"/>
      <c r="FH10" s="198"/>
      <c r="FI10" s="198"/>
      <c r="FJ10" s="198"/>
      <c r="FK10" s="198"/>
      <c r="FL10" s="198"/>
      <c r="FM10" s="198"/>
      <c r="FN10" s="198"/>
      <c r="FO10" s="198"/>
      <c r="FP10" s="198"/>
      <c r="FQ10" s="198"/>
      <c r="FR10" s="198"/>
      <c r="FS10" s="198"/>
      <c r="FT10" s="198"/>
      <c r="FU10" s="198"/>
      <c r="FV10" s="198"/>
      <c r="FW10" s="198"/>
      <c r="FX10" s="198"/>
      <c r="FY10" s="198"/>
      <c r="FZ10" s="198"/>
      <c r="GA10" s="198"/>
      <c r="GB10" s="198"/>
      <c r="GC10" s="198"/>
      <c r="GD10" s="198"/>
      <c r="GE10" s="198"/>
      <c r="GF10" s="198"/>
      <c r="GG10" s="198"/>
      <c r="GH10" s="198"/>
      <c r="GI10" s="198"/>
      <c r="GJ10" s="198"/>
      <c r="GK10" s="198"/>
      <c r="GL10" s="198"/>
      <c r="GM10" s="198"/>
      <c r="GN10" s="198"/>
      <c r="GO10" s="198"/>
      <c r="GP10" s="198"/>
      <c r="GQ10" s="198"/>
      <c r="GR10" s="198"/>
      <c r="GS10" s="198"/>
      <c r="GT10" s="198"/>
      <c r="GU10" s="198"/>
      <c r="GV10" s="198"/>
      <c r="GW10" s="198"/>
      <c r="GX10" s="198"/>
      <c r="GY10" s="198"/>
      <c r="GZ10" s="198"/>
      <c r="HA10" s="198"/>
      <c r="HB10" s="198"/>
      <c r="HC10" s="198"/>
      <c r="HD10" s="198"/>
      <c r="HE10" s="198"/>
      <c r="HF10" s="198"/>
      <c r="HG10" s="198"/>
      <c r="HH10" s="198"/>
      <c r="HI10" s="198"/>
      <c r="HJ10" s="198"/>
      <c r="HK10" s="198"/>
      <c r="HL10" s="198"/>
      <c r="HM10" s="198"/>
      <c r="HN10" s="198"/>
      <c r="HO10" s="198"/>
      <c r="HP10" s="198"/>
      <c r="HQ10" s="198"/>
      <c r="HR10" s="198"/>
      <c r="HS10" s="198"/>
      <c r="HT10" s="198"/>
      <c r="HU10" s="198"/>
      <c r="HV10" s="198"/>
      <c r="HW10" s="198"/>
      <c r="HX10" s="198"/>
      <c r="HY10" s="198"/>
      <c r="HZ10" s="198"/>
      <c r="IA10" s="198"/>
      <c r="IB10" s="198"/>
      <c r="IC10" s="198"/>
      <c r="ID10" s="198"/>
      <c r="IE10" s="198"/>
      <c r="IF10" s="198"/>
      <c r="IG10" s="198"/>
      <c r="IH10" s="198"/>
      <c r="II10" s="198"/>
      <c r="IJ10" s="198"/>
      <c r="IK10" s="198"/>
      <c r="IL10" s="198"/>
      <c r="IM10" s="198"/>
      <c r="IN10" s="198"/>
      <c r="IO10" s="198"/>
      <c r="IP10" s="198"/>
      <c r="IQ10" s="198"/>
      <c r="IR10" s="198"/>
      <c r="IS10" s="198"/>
      <c r="IT10" s="198"/>
      <c r="IU10" s="198"/>
      <c r="IV10" s="198"/>
    </row>
    <row r="11" s="199" customFormat="true" ht="12.75" hidden="false" customHeight="true" outlineLevel="0" collapsed="false">
      <c r="A11" s="157" t="n">
        <f aca="false">IF(Eingabe!A15="","",Eingabe!A15)</f>
        <v>8</v>
      </c>
      <c r="B11" s="157"/>
      <c r="C11" s="157"/>
      <c r="D11" s="158" t="n">
        <f aca="false">IF(Eingabe!B15="","",Eingabe!B15)</f>
        <v>2</v>
      </c>
      <c r="E11" s="158"/>
      <c r="F11" s="158"/>
      <c r="G11" s="158"/>
      <c r="H11" s="159" t="str">
        <f aca="false">IF(Eingabe!C15="","",Eingabe!C15)</f>
        <v>STK</v>
      </c>
      <c r="I11" s="159"/>
      <c r="J11" s="159"/>
      <c r="K11" s="159"/>
      <c r="L11" s="160" t="str">
        <f aca="false">IF(Eingabe!D15="","",Eingabe!D15)</f>
        <v>SPST Power Switch</v>
      </c>
      <c r="M11" s="160"/>
      <c r="N11" s="160"/>
      <c r="O11" s="160"/>
      <c r="P11" s="160"/>
      <c r="Q11" s="160"/>
      <c r="R11" s="160"/>
      <c r="S11" s="160"/>
      <c r="T11" s="160"/>
      <c r="U11" s="160"/>
      <c r="V11" s="160"/>
      <c r="W11" s="160"/>
      <c r="X11" s="160"/>
      <c r="Y11" s="160"/>
      <c r="Z11" s="160"/>
      <c r="AA11" s="160"/>
      <c r="AB11" s="160"/>
      <c r="AC11" s="160"/>
      <c r="AD11" s="160"/>
      <c r="AE11" s="160"/>
      <c r="AF11" s="160"/>
      <c r="AG11" s="160"/>
      <c r="AH11" s="200" t="str">
        <f aca="false">IF(Eingabe!F15&amp;Eingabe!G15="","",Eingabe!F15&amp;"  /  "&amp;Eingabe!G15)</f>
        <v>keeb.supply  /  MSK-12C02</v>
      </c>
      <c r="AI11" s="200"/>
      <c r="AJ11" s="200"/>
      <c r="AK11" s="200"/>
      <c r="AL11" s="200"/>
      <c r="AM11" s="200"/>
      <c r="AN11" s="200"/>
      <c r="AO11" s="200"/>
      <c r="AP11" s="200"/>
      <c r="AQ11" s="200"/>
      <c r="AR11" s="200"/>
      <c r="AS11" s="200"/>
      <c r="AT11" s="200"/>
      <c r="AU11" s="200"/>
      <c r="AV11" s="200"/>
      <c r="AW11" s="200"/>
      <c r="AX11" s="200"/>
      <c r="AY11" s="200"/>
      <c r="AZ11" s="200"/>
      <c r="BA11" s="200"/>
      <c r="BB11" s="200"/>
      <c r="BC11" s="200"/>
      <c r="BD11" s="200"/>
      <c r="BE11" s="201" t="n">
        <f aca="false">IF(Eingabe!I15="","",Eingabe!I15)</f>
        <v>0.8</v>
      </c>
      <c r="BF11" s="201"/>
      <c r="BG11" s="201"/>
      <c r="BH11" s="201"/>
      <c r="BI11" s="201"/>
      <c r="BJ11" s="202" t="n">
        <f aca="false">IF(Eingabe!I15="","",Eingabe!I15*Eingabe!B15)</f>
        <v>1.6</v>
      </c>
      <c r="BK11" s="202"/>
      <c r="BL11" s="202"/>
      <c r="BM11" s="202"/>
      <c r="BN11" s="202"/>
      <c r="BO11" s="198"/>
      <c r="BP11" s="198"/>
      <c r="BQ11" s="198"/>
      <c r="BR11" s="198"/>
      <c r="BS11" s="198"/>
      <c r="BT11" s="198"/>
      <c r="BU11" s="198"/>
      <c r="BV11" s="198"/>
      <c r="BW11" s="198"/>
      <c r="BX11" s="198"/>
      <c r="BY11" s="198"/>
      <c r="BZ11" s="198"/>
      <c r="CA11" s="198"/>
      <c r="CB11" s="198"/>
      <c r="CC11" s="198"/>
      <c r="CD11" s="198"/>
      <c r="CE11" s="198"/>
      <c r="CF11" s="198"/>
      <c r="CG11" s="198"/>
      <c r="CH11" s="198"/>
      <c r="CI11" s="198"/>
      <c r="CJ11" s="198"/>
      <c r="CK11" s="198"/>
      <c r="CL11" s="198"/>
      <c r="CM11" s="198"/>
      <c r="CN11" s="198"/>
      <c r="CO11" s="198"/>
      <c r="CP11" s="198"/>
      <c r="CQ11" s="198"/>
      <c r="CR11" s="198"/>
      <c r="CS11" s="198"/>
      <c r="CT11" s="198"/>
      <c r="CU11" s="198"/>
      <c r="CV11" s="198"/>
      <c r="CW11" s="198"/>
      <c r="CX11" s="198"/>
      <c r="CY11" s="198"/>
      <c r="CZ11" s="198"/>
      <c r="DA11" s="198"/>
      <c r="DB11" s="198"/>
      <c r="DC11" s="198"/>
      <c r="DD11" s="198"/>
      <c r="DE11" s="198"/>
      <c r="DF11" s="198"/>
      <c r="DG11" s="198"/>
      <c r="DH11" s="198"/>
      <c r="DI11" s="198"/>
      <c r="DJ11" s="198"/>
      <c r="DK11" s="198"/>
      <c r="DL11" s="198"/>
      <c r="DM11" s="198"/>
      <c r="DN11" s="198"/>
      <c r="DO11" s="198"/>
      <c r="DP11" s="198"/>
      <c r="DQ11" s="198"/>
      <c r="DR11" s="198"/>
      <c r="DS11" s="198"/>
      <c r="DT11" s="198"/>
      <c r="DU11" s="198"/>
      <c r="DV11" s="198"/>
      <c r="DW11" s="198"/>
      <c r="DX11" s="198"/>
      <c r="DY11" s="198"/>
      <c r="DZ11" s="198"/>
      <c r="EA11" s="198"/>
      <c r="EB11" s="198"/>
      <c r="EC11" s="198"/>
      <c r="ED11" s="198"/>
      <c r="EE11" s="198"/>
      <c r="EF11" s="198"/>
      <c r="EG11" s="198"/>
      <c r="EH11" s="198"/>
      <c r="EI11" s="198"/>
      <c r="EJ11" s="198"/>
      <c r="EK11" s="198"/>
      <c r="EL11" s="198"/>
      <c r="EM11" s="198"/>
      <c r="EN11" s="198"/>
      <c r="EO11" s="198"/>
      <c r="EP11" s="198"/>
      <c r="EQ11" s="198"/>
      <c r="ER11" s="198"/>
      <c r="ES11" s="198"/>
      <c r="ET11" s="198"/>
      <c r="EU11" s="198"/>
      <c r="EV11" s="198"/>
      <c r="EW11" s="198"/>
      <c r="EX11" s="198"/>
      <c r="EY11" s="198"/>
      <c r="EZ11" s="198"/>
      <c r="FA11" s="198"/>
      <c r="FB11" s="198"/>
      <c r="FC11" s="198"/>
      <c r="FD11" s="198"/>
      <c r="FE11" s="198"/>
      <c r="FF11" s="198"/>
      <c r="FG11" s="198"/>
      <c r="FH11" s="198"/>
      <c r="FI11" s="198"/>
      <c r="FJ11" s="198"/>
      <c r="FK11" s="198"/>
      <c r="FL11" s="198"/>
      <c r="FM11" s="198"/>
      <c r="FN11" s="198"/>
      <c r="FO11" s="198"/>
      <c r="FP11" s="198"/>
      <c r="FQ11" s="198"/>
      <c r="FR11" s="198"/>
      <c r="FS11" s="198"/>
      <c r="FT11" s="198"/>
      <c r="FU11" s="198"/>
      <c r="FV11" s="198"/>
      <c r="FW11" s="198"/>
      <c r="FX11" s="198"/>
      <c r="FY11" s="198"/>
      <c r="FZ11" s="198"/>
      <c r="GA11" s="198"/>
      <c r="GB11" s="198"/>
      <c r="GC11" s="198"/>
      <c r="GD11" s="198"/>
      <c r="GE11" s="198"/>
      <c r="GF11" s="198"/>
      <c r="GG11" s="198"/>
      <c r="GH11" s="198"/>
      <c r="GI11" s="198"/>
      <c r="GJ11" s="198"/>
      <c r="GK11" s="198"/>
      <c r="GL11" s="198"/>
      <c r="GM11" s="198"/>
      <c r="GN11" s="198"/>
      <c r="GO11" s="198"/>
      <c r="GP11" s="198"/>
      <c r="GQ11" s="198"/>
      <c r="GR11" s="198"/>
      <c r="GS11" s="198"/>
      <c r="GT11" s="198"/>
      <c r="GU11" s="198"/>
      <c r="GV11" s="198"/>
      <c r="GW11" s="198"/>
      <c r="GX11" s="198"/>
      <c r="GY11" s="198"/>
      <c r="GZ11" s="198"/>
      <c r="HA11" s="198"/>
      <c r="HB11" s="198"/>
      <c r="HC11" s="198"/>
      <c r="HD11" s="198"/>
      <c r="HE11" s="198"/>
      <c r="HF11" s="198"/>
      <c r="HG11" s="198"/>
      <c r="HH11" s="198"/>
      <c r="HI11" s="198"/>
      <c r="HJ11" s="198"/>
      <c r="HK11" s="198"/>
      <c r="HL11" s="198"/>
      <c r="HM11" s="198"/>
      <c r="HN11" s="198"/>
      <c r="HO11" s="198"/>
      <c r="HP11" s="198"/>
      <c r="HQ11" s="198"/>
      <c r="HR11" s="198"/>
      <c r="HS11" s="198"/>
      <c r="HT11" s="198"/>
      <c r="HU11" s="198"/>
      <c r="HV11" s="198"/>
      <c r="HW11" s="198"/>
      <c r="HX11" s="198"/>
      <c r="HY11" s="198"/>
      <c r="HZ11" s="198"/>
      <c r="IA11" s="198"/>
      <c r="IB11" s="198"/>
      <c r="IC11" s="198"/>
      <c r="ID11" s="198"/>
      <c r="IE11" s="198"/>
      <c r="IF11" s="198"/>
      <c r="IG11" s="198"/>
      <c r="IH11" s="198"/>
      <c r="II11" s="198"/>
      <c r="IJ11" s="198"/>
      <c r="IK11" s="198"/>
      <c r="IL11" s="198"/>
      <c r="IM11" s="198"/>
      <c r="IN11" s="198"/>
      <c r="IO11" s="198"/>
      <c r="IP11" s="198"/>
      <c r="IQ11" s="198"/>
      <c r="IR11" s="198"/>
      <c r="IS11" s="198"/>
      <c r="IT11" s="198"/>
      <c r="IU11" s="198"/>
      <c r="IV11" s="198"/>
    </row>
    <row r="12" s="199" customFormat="true" ht="12.75" hidden="false" customHeight="true" outlineLevel="0" collapsed="false">
      <c r="A12" s="157" t="n">
        <f aca="false">IF(Eingabe!A16="","",Eingabe!A16)</f>
        <v>9</v>
      </c>
      <c r="B12" s="157"/>
      <c r="C12" s="157"/>
      <c r="D12" s="158" t="n">
        <f aca="false">IF(Eingabe!B16="","",Eingabe!B16)</f>
        <v>4</v>
      </c>
      <c r="E12" s="158"/>
      <c r="F12" s="158"/>
      <c r="G12" s="158"/>
      <c r="H12" s="159" t="str">
        <f aca="false">IF(Eingabe!C16="","",Eingabe!C16)</f>
        <v>STK</v>
      </c>
      <c r="I12" s="159"/>
      <c r="J12" s="159"/>
      <c r="K12" s="159"/>
      <c r="L12" s="160" t="str">
        <f aca="false">IF(Eingabe!D16="","",Eingabe!D16)</f>
        <v>Gummi Füße</v>
      </c>
      <c r="M12" s="160"/>
      <c r="N12" s="160"/>
      <c r="O12" s="160"/>
      <c r="P12" s="160"/>
      <c r="Q12" s="160"/>
      <c r="R12" s="160"/>
      <c r="S12" s="160"/>
      <c r="T12" s="160"/>
      <c r="U12" s="160"/>
      <c r="V12" s="160"/>
      <c r="W12" s="160"/>
      <c r="X12" s="160"/>
      <c r="Y12" s="160"/>
      <c r="Z12" s="160"/>
      <c r="AA12" s="160"/>
      <c r="AB12" s="160"/>
      <c r="AC12" s="160"/>
      <c r="AD12" s="160"/>
      <c r="AE12" s="160"/>
      <c r="AF12" s="160"/>
      <c r="AG12" s="160"/>
      <c r="AH12" s="200" t="str">
        <f aca="false">IF(Eingabe!F16&amp;Eingabe!G16="","",Eingabe!F16&amp;"  /  "&amp;Eingabe!G16)</f>
        <v>amazon.de  /  </v>
      </c>
      <c r="AI12" s="200"/>
      <c r="AJ12" s="200"/>
      <c r="AK12" s="200"/>
      <c r="AL12" s="200"/>
      <c r="AM12" s="200"/>
      <c r="AN12" s="200"/>
      <c r="AO12" s="200"/>
      <c r="AP12" s="200"/>
      <c r="AQ12" s="200"/>
      <c r="AR12" s="200"/>
      <c r="AS12" s="200"/>
      <c r="AT12" s="200"/>
      <c r="AU12" s="200"/>
      <c r="AV12" s="200"/>
      <c r="AW12" s="200"/>
      <c r="AX12" s="200"/>
      <c r="AY12" s="200"/>
      <c r="AZ12" s="200"/>
      <c r="BA12" s="200"/>
      <c r="BB12" s="200"/>
      <c r="BC12" s="200"/>
      <c r="BD12" s="200"/>
      <c r="BE12" s="201" t="n">
        <f aca="false">IF(Eingabe!I16="","",Eingabe!I16)</f>
        <v>0.0399</v>
      </c>
      <c r="BF12" s="201"/>
      <c r="BG12" s="201"/>
      <c r="BH12" s="201"/>
      <c r="BI12" s="201"/>
      <c r="BJ12" s="202" t="n">
        <f aca="false">IF(Eingabe!I16="","",Eingabe!I16*Eingabe!B16)</f>
        <v>0.1596</v>
      </c>
      <c r="BK12" s="202"/>
      <c r="BL12" s="202"/>
      <c r="BM12" s="202"/>
      <c r="BN12" s="202"/>
      <c r="BO12" s="198"/>
      <c r="BP12" s="198"/>
      <c r="BQ12" s="198"/>
      <c r="BR12" s="198"/>
      <c r="BS12" s="198"/>
      <c r="BT12" s="198"/>
      <c r="BU12" s="198"/>
      <c r="BV12" s="198"/>
      <c r="BW12" s="198"/>
      <c r="BX12" s="198"/>
      <c r="BY12" s="198"/>
      <c r="BZ12" s="198"/>
      <c r="CA12" s="198"/>
      <c r="CB12" s="198"/>
      <c r="CC12" s="198"/>
      <c r="CD12" s="198"/>
      <c r="CE12" s="198"/>
      <c r="CF12" s="198"/>
      <c r="CG12" s="198"/>
      <c r="CH12" s="198"/>
      <c r="CI12" s="198"/>
      <c r="CJ12" s="198"/>
      <c r="CK12" s="198"/>
      <c r="CL12" s="198"/>
      <c r="CM12" s="198"/>
      <c r="CN12" s="198"/>
      <c r="CO12" s="198"/>
      <c r="CP12" s="198"/>
      <c r="CQ12" s="198"/>
      <c r="CR12" s="198"/>
      <c r="CS12" s="198"/>
      <c r="CT12" s="198"/>
      <c r="CU12" s="198"/>
      <c r="CV12" s="198"/>
      <c r="CW12" s="198"/>
      <c r="CX12" s="198"/>
      <c r="CY12" s="198"/>
      <c r="CZ12" s="198"/>
      <c r="DA12" s="198"/>
      <c r="DB12" s="198"/>
      <c r="DC12" s="198"/>
      <c r="DD12" s="198"/>
      <c r="DE12" s="198"/>
      <c r="DF12" s="198"/>
      <c r="DG12" s="198"/>
      <c r="DH12" s="198"/>
      <c r="DI12" s="198"/>
      <c r="DJ12" s="198"/>
      <c r="DK12" s="198"/>
      <c r="DL12" s="198"/>
      <c r="DM12" s="198"/>
      <c r="DN12" s="198"/>
      <c r="DO12" s="198"/>
      <c r="DP12" s="198"/>
      <c r="DQ12" s="198"/>
      <c r="DR12" s="198"/>
      <c r="DS12" s="198"/>
      <c r="DT12" s="198"/>
      <c r="DU12" s="198"/>
      <c r="DV12" s="198"/>
      <c r="DW12" s="198"/>
      <c r="DX12" s="198"/>
      <c r="DY12" s="198"/>
      <c r="DZ12" s="198"/>
      <c r="EA12" s="198"/>
      <c r="EB12" s="198"/>
      <c r="EC12" s="198"/>
      <c r="ED12" s="198"/>
      <c r="EE12" s="198"/>
      <c r="EF12" s="198"/>
      <c r="EG12" s="198"/>
      <c r="EH12" s="198"/>
      <c r="EI12" s="198"/>
      <c r="EJ12" s="198"/>
      <c r="EK12" s="198"/>
      <c r="EL12" s="198"/>
      <c r="EM12" s="198"/>
      <c r="EN12" s="198"/>
      <c r="EO12" s="198"/>
      <c r="EP12" s="198"/>
      <c r="EQ12" s="198"/>
      <c r="ER12" s="198"/>
      <c r="ES12" s="198"/>
      <c r="ET12" s="198"/>
      <c r="EU12" s="198"/>
      <c r="EV12" s="198"/>
      <c r="EW12" s="198"/>
      <c r="EX12" s="198"/>
      <c r="EY12" s="198"/>
      <c r="EZ12" s="198"/>
      <c r="FA12" s="198"/>
      <c r="FB12" s="198"/>
      <c r="FC12" s="198"/>
      <c r="FD12" s="198"/>
      <c r="FE12" s="198"/>
      <c r="FF12" s="198"/>
      <c r="FG12" s="198"/>
      <c r="FH12" s="198"/>
      <c r="FI12" s="198"/>
      <c r="FJ12" s="198"/>
      <c r="FK12" s="198"/>
      <c r="FL12" s="198"/>
      <c r="FM12" s="198"/>
      <c r="FN12" s="198"/>
      <c r="FO12" s="198"/>
      <c r="FP12" s="198"/>
      <c r="FQ12" s="198"/>
      <c r="FR12" s="198"/>
      <c r="FS12" s="198"/>
      <c r="FT12" s="198"/>
      <c r="FU12" s="198"/>
      <c r="FV12" s="198"/>
      <c r="FW12" s="198"/>
      <c r="FX12" s="198"/>
      <c r="FY12" s="198"/>
      <c r="FZ12" s="198"/>
      <c r="GA12" s="198"/>
      <c r="GB12" s="198"/>
      <c r="GC12" s="198"/>
      <c r="GD12" s="198"/>
      <c r="GE12" s="198"/>
      <c r="GF12" s="198"/>
      <c r="GG12" s="198"/>
      <c r="GH12" s="198"/>
      <c r="GI12" s="198"/>
      <c r="GJ12" s="198"/>
      <c r="GK12" s="198"/>
      <c r="GL12" s="198"/>
      <c r="GM12" s="198"/>
      <c r="GN12" s="198"/>
      <c r="GO12" s="198"/>
      <c r="GP12" s="198"/>
      <c r="GQ12" s="198"/>
      <c r="GR12" s="198"/>
      <c r="GS12" s="198"/>
      <c r="GT12" s="198"/>
      <c r="GU12" s="198"/>
      <c r="GV12" s="198"/>
      <c r="GW12" s="198"/>
      <c r="GX12" s="198"/>
      <c r="GY12" s="198"/>
      <c r="GZ12" s="198"/>
      <c r="HA12" s="198"/>
      <c r="HB12" s="198"/>
      <c r="HC12" s="198"/>
      <c r="HD12" s="198"/>
      <c r="HE12" s="198"/>
      <c r="HF12" s="198"/>
      <c r="HG12" s="198"/>
      <c r="HH12" s="198"/>
      <c r="HI12" s="198"/>
      <c r="HJ12" s="198"/>
      <c r="HK12" s="198"/>
      <c r="HL12" s="198"/>
      <c r="HM12" s="198"/>
      <c r="HN12" s="198"/>
      <c r="HO12" s="198"/>
      <c r="HP12" s="198"/>
      <c r="HQ12" s="198"/>
      <c r="HR12" s="198"/>
      <c r="HS12" s="198"/>
      <c r="HT12" s="198"/>
      <c r="HU12" s="198"/>
      <c r="HV12" s="198"/>
      <c r="HW12" s="198"/>
      <c r="HX12" s="198"/>
      <c r="HY12" s="198"/>
      <c r="HZ12" s="198"/>
      <c r="IA12" s="198"/>
      <c r="IB12" s="198"/>
      <c r="IC12" s="198"/>
      <c r="ID12" s="198"/>
      <c r="IE12" s="198"/>
      <c r="IF12" s="198"/>
      <c r="IG12" s="198"/>
      <c r="IH12" s="198"/>
      <c r="II12" s="198"/>
      <c r="IJ12" s="198"/>
      <c r="IK12" s="198"/>
      <c r="IL12" s="198"/>
      <c r="IM12" s="198"/>
      <c r="IN12" s="198"/>
      <c r="IO12" s="198"/>
      <c r="IP12" s="198"/>
      <c r="IQ12" s="198"/>
      <c r="IR12" s="198"/>
      <c r="IS12" s="198"/>
      <c r="IT12" s="198"/>
      <c r="IU12" s="198"/>
      <c r="IV12" s="198"/>
    </row>
    <row r="13" s="199" customFormat="true" ht="12.75" hidden="false" customHeight="true" outlineLevel="0" collapsed="false">
      <c r="A13" s="157" t="n">
        <f aca="false">IF(Eingabe!A17="","",Eingabe!A17)</f>
        <v>1</v>
      </c>
      <c r="B13" s="157"/>
      <c r="C13" s="157"/>
      <c r="D13" s="158" t="str">
        <f aca="false">IF(Eingabe!B17="","",Eingabe!B17)</f>
        <v/>
      </c>
      <c r="E13" s="158"/>
      <c r="F13" s="158"/>
      <c r="G13" s="158"/>
      <c r="H13" s="159" t="str">
        <f aca="false">IF(Eingabe!C17="","",Eingabe!C17)</f>
        <v/>
      </c>
      <c r="I13" s="159"/>
      <c r="J13" s="159"/>
      <c r="K13" s="159"/>
      <c r="L13" s="160" t="str">
        <f aca="false">IF(Eingabe!D17="","",Eingabe!D17)</f>
        <v/>
      </c>
      <c r="M13" s="160"/>
      <c r="N13" s="160"/>
      <c r="O13" s="160"/>
      <c r="P13" s="160"/>
      <c r="Q13" s="160"/>
      <c r="R13" s="160"/>
      <c r="S13" s="160"/>
      <c r="T13" s="160"/>
      <c r="U13" s="160"/>
      <c r="V13" s="160"/>
      <c r="W13" s="160"/>
      <c r="X13" s="160"/>
      <c r="Y13" s="160"/>
      <c r="Z13" s="160"/>
      <c r="AA13" s="160"/>
      <c r="AB13" s="160"/>
      <c r="AC13" s="160"/>
      <c r="AD13" s="160"/>
      <c r="AE13" s="160"/>
      <c r="AF13" s="160"/>
      <c r="AG13" s="160"/>
      <c r="AH13" s="200" t="str">
        <f aca="false">IF(Eingabe!F17&amp;Eingabe!G17="","",Eingabe!F17&amp;"  /  "&amp;Eingabe!G17)</f>
        <v/>
      </c>
      <c r="AI13" s="200"/>
      <c r="AJ13" s="200"/>
      <c r="AK13" s="200"/>
      <c r="AL13" s="200"/>
      <c r="AM13" s="200"/>
      <c r="AN13" s="200"/>
      <c r="AO13" s="200"/>
      <c r="AP13" s="200"/>
      <c r="AQ13" s="200"/>
      <c r="AR13" s="200"/>
      <c r="AS13" s="200"/>
      <c r="AT13" s="200"/>
      <c r="AU13" s="200"/>
      <c r="AV13" s="200"/>
      <c r="AW13" s="200"/>
      <c r="AX13" s="200"/>
      <c r="AY13" s="200"/>
      <c r="AZ13" s="200"/>
      <c r="BA13" s="200"/>
      <c r="BB13" s="200"/>
      <c r="BC13" s="200"/>
      <c r="BD13" s="200"/>
      <c r="BE13" s="201" t="str">
        <f aca="false">IF(Eingabe!I17="","",Eingabe!I17)</f>
        <v/>
      </c>
      <c r="BF13" s="201"/>
      <c r="BG13" s="201"/>
      <c r="BH13" s="201"/>
      <c r="BI13" s="201"/>
      <c r="BJ13" s="202" t="str">
        <f aca="false">IF(Eingabe!I17="","",Eingabe!I17*Eingabe!B17)</f>
        <v/>
      </c>
      <c r="BK13" s="202"/>
      <c r="BL13" s="202"/>
      <c r="BM13" s="202"/>
      <c r="BN13" s="202"/>
      <c r="BO13" s="198"/>
      <c r="BP13" s="198"/>
      <c r="BQ13" s="198"/>
      <c r="BR13" s="198"/>
      <c r="BS13" s="198"/>
      <c r="BT13" s="198"/>
      <c r="BU13" s="198"/>
      <c r="BV13" s="198"/>
      <c r="BW13" s="198"/>
      <c r="BX13" s="198"/>
      <c r="BY13" s="198"/>
      <c r="BZ13" s="198"/>
      <c r="CA13" s="198"/>
      <c r="CB13" s="198"/>
      <c r="CC13" s="198"/>
      <c r="CD13" s="198"/>
      <c r="CE13" s="198"/>
      <c r="CF13" s="198"/>
      <c r="CG13" s="198"/>
      <c r="CH13" s="198"/>
      <c r="CI13" s="198"/>
      <c r="CJ13" s="198"/>
      <c r="CK13" s="198"/>
      <c r="CL13" s="198"/>
      <c r="CM13" s="198"/>
      <c r="CN13" s="198"/>
      <c r="CO13" s="198"/>
      <c r="CP13" s="198"/>
      <c r="CQ13" s="198"/>
      <c r="CR13" s="198"/>
      <c r="CS13" s="198"/>
      <c r="CT13" s="198"/>
      <c r="CU13" s="198"/>
      <c r="CV13" s="198"/>
      <c r="CW13" s="198"/>
      <c r="CX13" s="198"/>
      <c r="CY13" s="198"/>
      <c r="CZ13" s="198"/>
      <c r="DA13" s="198"/>
      <c r="DB13" s="198"/>
      <c r="DC13" s="198"/>
      <c r="DD13" s="198"/>
      <c r="DE13" s="198"/>
      <c r="DF13" s="198"/>
      <c r="DG13" s="198"/>
      <c r="DH13" s="198"/>
      <c r="DI13" s="198"/>
      <c r="DJ13" s="198"/>
      <c r="DK13" s="198"/>
      <c r="DL13" s="198"/>
      <c r="DM13" s="198"/>
      <c r="DN13" s="198"/>
      <c r="DO13" s="198"/>
      <c r="DP13" s="198"/>
      <c r="DQ13" s="198"/>
      <c r="DR13" s="198"/>
      <c r="DS13" s="198"/>
      <c r="DT13" s="198"/>
      <c r="DU13" s="198"/>
      <c r="DV13" s="198"/>
      <c r="DW13" s="198"/>
      <c r="DX13" s="198"/>
      <c r="DY13" s="198"/>
      <c r="DZ13" s="198"/>
      <c r="EA13" s="198"/>
      <c r="EB13" s="198"/>
      <c r="EC13" s="198"/>
      <c r="ED13" s="198"/>
      <c r="EE13" s="198"/>
      <c r="EF13" s="198"/>
      <c r="EG13" s="198"/>
      <c r="EH13" s="198"/>
      <c r="EI13" s="198"/>
      <c r="EJ13" s="198"/>
      <c r="EK13" s="198"/>
      <c r="EL13" s="198"/>
      <c r="EM13" s="198"/>
      <c r="EN13" s="198"/>
      <c r="EO13" s="198"/>
      <c r="EP13" s="198"/>
      <c r="EQ13" s="198"/>
      <c r="ER13" s="198"/>
      <c r="ES13" s="198"/>
      <c r="ET13" s="198"/>
      <c r="EU13" s="198"/>
      <c r="EV13" s="198"/>
      <c r="EW13" s="198"/>
      <c r="EX13" s="198"/>
      <c r="EY13" s="198"/>
      <c r="EZ13" s="198"/>
      <c r="FA13" s="198"/>
      <c r="FB13" s="198"/>
      <c r="FC13" s="198"/>
      <c r="FD13" s="198"/>
      <c r="FE13" s="198"/>
      <c r="FF13" s="198"/>
      <c r="FG13" s="198"/>
      <c r="FH13" s="198"/>
      <c r="FI13" s="198"/>
      <c r="FJ13" s="198"/>
      <c r="FK13" s="198"/>
      <c r="FL13" s="198"/>
      <c r="FM13" s="198"/>
      <c r="FN13" s="198"/>
      <c r="FO13" s="198"/>
      <c r="FP13" s="198"/>
      <c r="FQ13" s="198"/>
      <c r="FR13" s="198"/>
      <c r="FS13" s="198"/>
      <c r="FT13" s="198"/>
      <c r="FU13" s="198"/>
      <c r="FV13" s="198"/>
      <c r="FW13" s="198"/>
      <c r="FX13" s="198"/>
      <c r="FY13" s="198"/>
      <c r="FZ13" s="198"/>
      <c r="GA13" s="198"/>
      <c r="GB13" s="198"/>
      <c r="GC13" s="198"/>
      <c r="GD13" s="198"/>
      <c r="GE13" s="198"/>
      <c r="GF13" s="198"/>
      <c r="GG13" s="198"/>
      <c r="GH13" s="198"/>
      <c r="GI13" s="198"/>
      <c r="GJ13" s="198"/>
      <c r="GK13" s="198"/>
      <c r="GL13" s="198"/>
      <c r="GM13" s="198"/>
      <c r="GN13" s="198"/>
      <c r="GO13" s="198"/>
      <c r="GP13" s="198"/>
      <c r="GQ13" s="198"/>
      <c r="GR13" s="198"/>
      <c r="GS13" s="198"/>
      <c r="GT13" s="198"/>
      <c r="GU13" s="198"/>
      <c r="GV13" s="198"/>
      <c r="GW13" s="198"/>
      <c r="GX13" s="198"/>
      <c r="GY13" s="198"/>
      <c r="GZ13" s="198"/>
      <c r="HA13" s="198"/>
      <c r="HB13" s="198"/>
      <c r="HC13" s="198"/>
      <c r="HD13" s="198"/>
      <c r="HE13" s="198"/>
      <c r="HF13" s="198"/>
      <c r="HG13" s="198"/>
      <c r="HH13" s="198"/>
      <c r="HI13" s="198"/>
      <c r="HJ13" s="198"/>
      <c r="HK13" s="198"/>
      <c r="HL13" s="198"/>
      <c r="HM13" s="198"/>
      <c r="HN13" s="198"/>
      <c r="HO13" s="198"/>
      <c r="HP13" s="198"/>
      <c r="HQ13" s="198"/>
      <c r="HR13" s="198"/>
      <c r="HS13" s="198"/>
      <c r="HT13" s="198"/>
      <c r="HU13" s="198"/>
      <c r="HV13" s="198"/>
      <c r="HW13" s="198"/>
      <c r="HX13" s="198"/>
      <c r="HY13" s="198"/>
      <c r="HZ13" s="198"/>
      <c r="IA13" s="198"/>
      <c r="IB13" s="198"/>
      <c r="IC13" s="198"/>
      <c r="ID13" s="198"/>
      <c r="IE13" s="198"/>
      <c r="IF13" s="198"/>
      <c r="IG13" s="198"/>
      <c r="IH13" s="198"/>
      <c r="II13" s="198"/>
      <c r="IJ13" s="198"/>
      <c r="IK13" s="198"/>
      <c r="IL13" s="198"/>
      <c r="IM13" s="198"/>
      <c r="IN13" s="198"/>
      <c r="IO13" s="198"/>
      <c r="IP13" s="198"/>
      <c r="IQ13" s="198"/>
      <c r="IR13" s="198"/>
      <c r="IS13" s="198"/>
      <c r="IT13" s="198"/>
      <c r="IU13" s="198"/>
      <c r="IV13" s="198"/>
    </row>
    <row r="14" s="199" customFormat="true" ht="12.75" hidden="false" customHeight="true" outlineLevel="0" collapsed="false">
      <c r="A14" s="157" t="n">
        <f aca="false">IF(Eingabe!A18="","",Eingabe!A18)</f>
        <v>11</v>
      </c>
      <c r="B14" s="157"/>
      <c r="C14" s="157"/>
      <c r="D14" s="158" t="str">
        <f aca="false">IF(Eingabe!B18="","",Eingabe!B18)</f>
        <v/>
      </c>
      <c r="E14" s="158"/>
      <c r="F14" s="158"/>
      <c r="G14" s="158"/>
      <c r="H14" s="159" t="str">
        <f aca="false">IF(Eingabe!C18="","",Eingabe!C18)</f>
        <v/>
      </c>
      <c r="I14" s="159"/>
      <c r="J14" s="159"/>
      <c r="K14" s="159"/>
      <c r="L14" s="160" t="str">
        <f aca="false">IF(Eingabe!D18="","",Eingabe!D18)</f>
        <v/>
      </c>
      <c r="M14" s="160"/>
      <c r="N14" s="160"/>
      <c r="O14" s="160"/>
      <c r="P14" s="160"/>
      <c r="Q14" s="160"/>
      <c r="R14" s="160"/>
      <c r="S14" s="160"/>
      <c r="T14" s="160"/>
      <c r="U14" s="160"/>
      <c r="V14" s="160"/>
      <c r="W14" s="160"/>
      <c r="X14" s="160"/>
      <c r="Y14" s="160"/>
      <c r="Z14" s="160"/>
      <c r="AA14" s="160"/>
      <c r="AB14" s="160"/>
      <c r="AC14" s="160"/>
      <c r="AD14" s="160"/>
      <c r="AE14" s="160"/>
      <c r="AF14" s="160"/>
      <c r="AG14" s="160"/>
      <c r="AH14" s="200" t="str">
        <f aca="false">IF(Eingabe!F18&amp;Eingabe!G18="","",Eingabe!F18&amp;"  /  "&amp;Eingabe!G18)</f>
        <v/>
      </c>
      <c r="AI14" s="200"/>
      <c r="AJ14" s="200"/>
      <c r="AK14" s="200"/>
      <c r="AL14" s="200"/>
      <c r="AM14" s="200"/>
      <c r="AN14" s="200"/>
      <c r="AO14" s="200"/>
      <c r="AP14" s="200"/>
      <c r="AQ14" s="200"/>
      <c r="AR14" s="200"/>
      <c r="AS14" s="200"/>
      <c r="AT14" s="200"/>
      <c r="AU14" s="200"/>
      <c r="AV14" s="200"/>
      <c r="AW14" s="200"/>
      <c r="AX14" s="200"/>
      <c r="AY14" s="200"/>
      <c r="AZ14" s="200"/>
      <c r="BA14" s="200"/>
      <c r="BB14" s="200"/>
      <c r="BC14" s="200"/>
      <c r="BD14" s="200"/>
      <c r="BE14" s="201" t="str">
        <f aca="false">IF(Eingabe!I18="","",Eingabe!I18)</f>
        <v/>
      </c>
      <c r="BF14" s="201"/>
      <c r="BG14" s="201"/>
      <c r="BH14" s="201"/>
      <c r="BI14" s="201"/>
      <c r="BJ14" s="202" t="str">
        <f aca="false">IF(Eingabe!I18="","",Eingabe!I18*Eingabe!B18)</f>
        <v/>
      </c>
      <c r="BK14" s="202"/>
      <c r="BL14" s="202"/>
      <c r="BM14" s="202"/>
      <c r="BN14" s="202"/>
      <c r="BO14" s="198"/>
      <c r="BP14" s="198"/>
      <c r="BQ14" s="198"/>
      <c r="BR14" s="198"/>
      <c r="BS14" s="198"/>
      <c r="BT14" s="198"/>
      <c r="BU14" s="198"/>
      <c r="BV14" s="198"/>
      <c r="BW14" s="198"/>
      <c r="BX14" s="198"/>
      <c r="BY14" s="198"/>
      <c r="BZ14" s="198"/>
      <c r="CA14" s="198"/>
      <c r="CB14" s="198"/>
      <c r="CC14" s="198"/>
      <c r="CD14" s="198"/>
      <c r="CE14" s="198"/>
      <c r="CF14" s="198"/>
      <c r="CG14" s="198"/>
      <c r="CH14" s="198"/>
      <c r="CI14" s="198"/>
      <c r="CJ14" s="198"/>
      <c r="CK14" s="198"/>
      <c r="CL14" s="198"/>
      <c r="CM14" s="198"/>
      <c r="CN14" s="198"/>
      <c r="CO14" s="198"/>
      <c r="CP14" s="198"/>
      <c r="CQ14" s="198"/>
      <c r="CR14" s="198"/>
      <c r="CS14" s="198"/>
      <c r="CT14" s="198"/>
      <c r="CU14" s="198"/>
      <c r="CV14" s="198"/>
      <c r="CW14" s="198"/>
      <c r="CX14" s="198"/>
      <c r="CY14" s="198"/>
      <c r="CZ14" s="198"/>
      <c r="DA14" s="198"/>
      <c r="DB14" s="198"/>
      <c r="DC14" s="198"/>
      <c r="DD14" s="198"/>
      <c r="DE14" s="198"/>
      <c r="DF14" s="198"/>
      <c r="DG14" s="198"/>
      <c r="DH14" s="198"/>
      <c r="DI14" s="198"/>
      <c r="DJ14" s="198"/>
      <c r="DK14" s="198"/>
      <c r="DL14" s="198"/>
      <c r="DM14" s="198"/>
      <c r="DN14" s="198"/>
      <c r="DO14" s="198"/>
      <c r="DP14" s="198"/>
      <c r="DQ14" s="198"/>
      <c r="DR14" s="198"/>
      <c r="DS14" s="198"/>
      <c r="DT14" s="198"/>
      <c r="DU14" s="198"/>
      <c r="DV14" s="198"/>
      <c r="DW14" s="198"/>
      <c r="DX14" s="198"/>
      <c r="DY14" s="198"/>
      <c r="DZ14" s="198"/>
      <c r="EA14" s="198"/>
      <c r="EB14" s="198"/>
      <c r="EC14" s="198"/>
      <c r="ED14" s="198"/>
      <c r="EE14" s="198"/>
      <c r="EF14" s="198"/>
      <c r="EG14" s="198"/>
      <c r="EH14" s="198"/>
      <c r="EI14" s="198"/>
      <c r="EJ14" s="198"/>
      <c r="EK14" s="198"/>
      <c r="EL14" s="198"/>
      <c r="EM14" s="198"/>
      <c r="EN14" s="198"/>
      <c r="EO14" s="198"/>
      <c r="EP14" s="198"/>
      <c r="EQ14" s="198"/>
      <c r="ER14" s="198"/>
      <c r="ES14" s="198"/>
      <c r="ET14" s="198"/>
      <c r="EU14" s="198"/>
      <c r="EV14" s="198"/>
      <c r="EW14" s="198"/>
      <c r="EX14" s="198"/>
      <c r="EY14" s="198"/>
      <c r="EZ14" s="198"/>
      <c r="FA14" s="198"/>
      <c r="FB14" s="198"/>
      <c r="FC14" s="198"/>
      <c r="FD14" s="198"/>
      <c r="FE14" s="198"/>
      <c r="FF14" s="198"/>
      <c r="FG14" s="198"/>
      <c r="FH14" s="198"/>
      <c r="FI14" s="198"/>
      <c r="FJ14" s="198"/>
      <c r="FK14" s="198"/>
      <c r="FL14" s="198"/>
      <c r="FM14" s="198"/>
      <c r="FN14" s="198"/>
      <c r="FO14" s="198"/>
      <c r="FP14" s="198"/>
      <c r="FQ14" s="198"/>
      <c r="FR14" s="198"/>
      <c r="FS14" s="198"/>
      <c r="FT14" s="198"/>
      <c r="FU14" s="198"/>
      <c r="FV14" s="198"/>
      <c r="FW14" s="198"/>
      <c r="FX14" s="198"/>
      <c r="FY14" s="198"/>
      <c r="FZ14" s="198"/>
      <c r="GA14" s="198"/>
      <c r="GB14" s="198"/>
      <c r="GC14" s="198"/>
      <c r="GD14" s="198"/>
      <c r="GE14" s="198"/>
      <c r="GF14" s="198"/>
      <c r="GG14" s="198"/>
      <c r="GH14" s="198"/>
      <c r="GI14" s="198"/>
      <c r="GJ14" s="198"/>
      <c r="GK14" s="198"/>
      <c r="GL14" s="198"/>
      <c r="GM14" s="198"/>
      <c r="GN14" s="198"/>
      <c r="GO14" s="198"/>
      <c r="GP14" s="198"/>
      <c r="GQ14" s="198"/>
      <c r="GR14" s="198"/>
      <c r="GS14" s="198"/>
      <c r="GT14" s="198"/>
      <c r="GU14" s="198"/>
      <c r="GV14" s="198"/>
      <c r="GW14" s="198"/>
      <c r="GX14" s="198"/>
      <c r="GY14" s="198"/>
      <c r="GZ14" s="198"/>
      <c r="HA14" s="198"/>
      <c r="HB14" s="198"/>
      <c r="HC14" s="198"/>
      <c r="HD14" s="198"/>
      <c r="HE14" s="198"/>
      <c r="HF14" s="198"/>
      <c r="HG14" s="198"/>
      <c r="HH14" s="198"/>
      <c r="HI14" s="198"/>
      <c r="HJ14" s="198"/>
      <c r="HK14" s="198"/>
      <c r="HL14" s="198"/>
      <c r="HM14" s="198"/>
      <c r="HN14" s="198"/>
      <c r="HO14" s="198"/>
      <c r="HP14" s="198"/>
      <c r="HQ14" s="198"/>
      <c r="HR14" s="198"/>
      <c r="HS14" s="198"/>
      <c r="HT14" s="198"/>
      <c r="HU14" s="198"/>
      <c r="HV14" s="198"/>
      <c r="HW14" s="198"/>
      <c r="HX14" s="198"/>
      <c r="HY14" s="198"/>
      <c r="HZ14" s="198"/>
      <c r="IA14" s="198"/>
      <c r="IB14" s="198"/>
      <c r="IC14" s="198"/>
      <c r="ID14" s="198"/>
      <c r="IE14" s="198"/>
      <c r="IF14" s="198"/>
      <c r="IG14" s="198"/>
      <c r="IH14" s="198"/>
      <c r="II14" s="198"/>
      <c r="IJ14" s="198"/>
      <c r="IK14" s="198"/>
      <c r="IL14" s="198"/>
      <c r="IM14" s="198"/>
      <c r="IN14" s="198"/>
      <c r="IO14" s="198"/>
      <c r="IP14" s="198"/>
      <c r="IQ14" s="198"/>
      <c r="IR14" s="198"/>
      <c r="IS14" s="198"/>
      <c r="IT14" s="198"/>
      <c r="IU14" s="198"/>
      <c r="IV14" s="198"/>
    </row>
    <row r="15" s="199" customFormat="true" ht="12.75" hidden="false" customHeight="true" outlineLevel="0" collapsed="false">
      <c r="A15" s="157" t="n">
        <f aca="false">IF(Eingabe!A19="","",Eingabe!A19)</f>
        <v>12</v>
      </c>
      <c r="B15" s="157"/>
      <c r="C15" s="157"/>
      <c r="D15" s="158" t="str">
        <f aca="false">IF(Eingabe!B19="","",Eingabe!B19)</f>
        <v/>
      </c>
      <c r="E15" s="158"/>
      <c r="F15" s="158"/>
      <c r="G15" s="158"/>
      <c r="H15" s="159" t="str">
        <f aca="false">IF(Eingabe!C19="","",Eingabe!C19)</f>
        <v/>
      </c>
      <c r="I15" s="159"/>
      <c r="J15" s="159"/>
      <c r="K15" s="159"/>
      <c r="L15" s="160" t="str">
        <f aca="false">IF(Eingabe!D19="","",Eingabe!D19)</f>
        <v/>
      </c>
      <c r="M15" s="160"/>
      <c r="N15" s="160"/>
      <c r="O15" s="160"/>
      <c r="P15" s="160"/>
      <c r="Q15" s="160"/>
      <c r="R15" s="160"/>
      <c r="S15" s="160"/>
      <c r="T15" s="160"/>
      <c r="U15" s="160"/>
      <c r="V15" s="160"/>
      <c r="W15" s="160"/>
      <c r="X15" s="160"/>
      <c r="Y15" s="160"/>
      <c r="Z15" s="160"/>
      <c r="AA15" s="160"/>
      <c r="AB15" s="160"/>
      <c r="AC15" s="160"/>
      <c r="AD15" s="160"/>
      <c r="AE15" s="160"/>
      <c r="AF15" s="160"/>
      <c r="AG15" s="160"/>
      <c r="AH15" s="200" t="str">
        <f aca="false">IF(Eingabe!F19&amp;Eingabe!G19="","",Eingabe!F19&amp;"  /  "&amp;Eingabe!G19)</f>
        <v/>
      </c>
      <c r="AI15" s="200"/>
      <c r="AJ15" s="200"/>
      <c r="AK15" s="200"/>
      <c r="AL15" s="200"/>
      <c r="AM15" s="200"/>
      <c r="AN15" s="200"/>
      <c r="AO15" s="200"/>
      <c r="AP15" s="200"/>
      <c r="AQ15" s="200"/>
      <c r="AR15" s="200"/>
      <c r="AS15" s="200"/>
      <c r="AT15" s="200"/>
      <c r="AU15" s="200"/>
      <c r="AV15" s="200"/>
      <c r="AW15" s="200"/>
      <c r="AX15" s="200"/>
      <c r="AY15" s="200"/>
      <c r="AZ15" s="200"/>
      <c r="BA15" s="200"/>
      <c r="BB15" s="200"/>
      <c r="BC15" s="200"/>
      <c r="BD15" s="200"/>
      <c r="BE15" s="201" t="str">
        <f aca="false">IF(Eingabe!I19="","",Eingabe!I19)</f>
        <v/>
      </c>
      <c r="BF15" s="201"/>
      <c r="BG15" s="201"/>
      <c r="BH15" s="201"/>
      <c r="BI15" s="201"/>
      <c r="BJ15" s="202" t="str">
        <f aca="false">IF(Eingabe!I19="","",Eingabe!I19*Eingabe!B19)</f>
        <v/>
      </c>
      <c r="BK15" s="202"/>
      <c r="BL15" s="202"/>
      <c r="BM15" s="202"/>
      <c r="BN15" s="202"/>
      <c r="BO15" s="198"/>
      <c r="BP15" s="198"/>
      <c r="BQ15" s="198"/>
      <c r="BR15" s="198"/>
      <c r="BS15" s="198"/>
      <c r="BT15" s="198"/>
      <c r="BU15" s="198"/>
      <c r="BV15" s="198"/>
      <c r="BW15" s="198"/>
      <c r="BX15" s="198"/>
      <c r="BY15" s="198"/>
      <c r="BZ15" s="198"/>
      <c r="CA15" s="198"/>
      <c r="CB15" s="198"/>
      <c r="CC15" s="198"/>
      <c r="CD15" s="198"/>
      <c r="CE15" s="198"/>
      <c r="CF15" s="198"/>
      <c r="CG15" s="198"/>
      <c r="CH15" s="198"/>
      <c r="CI15" s="198"/>
      <c r="CJ15" s="198"/>
      <c r="CK15" s="198"/>
      <c r="CL15" s="198"/>
      <c r="CM15" s="198"/>
      <c r="CN15" s="198"/>
      <c r="CO15" s="198"/>
      <c r="CP15" s="198"/>
      <c r="CQ15" s="198"/>
      <c r="CR15" s="198"/>
      <c r="CS15" s="198"/>
      <c r="CT15" s="198"/>
      <c r="CU15" s="198"/>
      <c r="CV15" s="198"/>
      <c r="CW15" s="198"/>
      <c r="CX15" s="198"/>
      <c r="CY15" s="198"/>
      <c r="CZ15" s="198"/>
      <c r="DA15" s="198"/>
      <c r="DB15" s="198"/>
      <c r="DC15" s="198"/>
      <c r="DD15" s="198"/>
      <c r="DE15" s="198"/>
      <c r="DF15" s="198"/>
      <c r="DG15" s="198"/>
      <c r="DH15" s="198"/>
      <c r="DI15" s="198"/>
      <c r="DJ15" s="198"/>
      <c r="DK15" s="198"/>
      <c r="DL15" s="198"/>
      <c r="DM15" s="198"/>
      <c r="DN15" s="198"/>
      <c r="DO15" s="198"/>
      <c r="DP15" s="198"/>
      <c r="DQ15" s="198"/>
      <c r="DR15" s="198"/>
      <c r="DS15" s="198"/>
      <c r="DT15" s="198"/>
      <c r="DU15" s="198"/>
      <c r="DV15" s="198"/>
      <c r="DW15" s="198"/>
      <c r="DX15" s="198"/>
      <c r="DY15" s="198"/>
      <c r="DZ15" s="198"/>
      <c r="EA15" s="198"/>
      <c r="EB15" s="198"/>
      <c r="EC15" s="198"/>
      <c r="ED15" s="198"/>
      <c r="EE15" s="198"/>
      <c r="EF15" s="198"/>
      <c r="EG15" s="198"/>
      <c r="EH15" s="198"/>
      <c r="EI15" s="198"/>
      <c r="EJ15" s="198"/>
      <c r="EK15" s="198"/>
      <c r="EL15" s="198"/>
      <c r="EM15" s="198"/>
      <c r="EN15" s="198"/>
      <c r="EO15" s="198"/>
      <c r="EP15" s="198"/>
      <c r="EQ15" s="198"/>
      <c r="ER15" s="198"/>
      <c r="ES15" s="198"/>
      <c r="ET15" s="198"/>
      <c r="EU15" s="198"/>
      <c r="EV15" s="198"/>
      <c r="EW15" s="198"/>
      <c r="EX15" s="198"/>
      <c r="EY15" s="198"/>
      <c r="EZ15" s="198"/>
      <c r="FA15" s="198"/>
      <c r="FB15" s="198"/>
      <c r="FC15" s="198"/>
      <c r="FD15" s="198"/>
      <c r="FE15" s="198"/>
      <c r="FF15" s="198"/>
      <c r="FG15" s="198"/>
      <c r="FH15" s="198"/>
      <c r="FI15" s="198"/>
      <c r="FJ15" s="198"/>
      <c r="FK15" s="198"/>
      <c r="FL15" s="198"/>
      <c r="FM15" s="198"/>
      <c r="FN15" s="198"/>
      <c r="FO15" s="198"/>
      <c r="FP15" s="198"/>
      <c r="FQ15" s="198"/>
      <c r="FR15" s="198"/>
      <c r="FS15" s="198"/>
      <c r="FT15" s="198"/>
      <c r="FU15" s="198"/>
      <c r="FV15" s="198"/>
      <c r="FW15" s="198"/>
      <c r="FX15" s="198"/>
      <c r="FY15" s="198"/>
      <c r="FZ15" s="198"/>
      <c r="GA15" s="198"/>
      <c r="GB15" s="198"/>
      <c r="GC15" s="198"/>
      <c r="GD15" s="198"/>
      <c r="GE15" s="198"/>
      <c r="GF15" s="198"/>
      <c r="GG15" s="198"/>
      <c r="GH15" s="198"/>
      <c r="GI15" s="198"/>
      <c r="GJ15" s="198"/>
      <c r="GK15" s="198"/>
      <c r="GL15" s="198"/>
      <c r="GM15" s="198"/>
      <c r="GN15" s="198"/>
      <c r="GO15" s="198"/>
      <c r="GP15" s="198"/>
      <c r="GQ15" s="198"/>
      <c r="GR15" s="198"/>
      <c r="GS15" s="198"/>
      <c r="GT15" s="198"/>
      <c r="GU15" s="198"/>
      <c r="GV15" s="198"/>
      <c r="GW15" s="198"/>
      <c r="GX15" s="198"/>
      <c r="GY15" s="198"/>
      <c r="GZ15" s="198"/>
      <c r="HA15" s="198"/>
      <c r="HB15" s="198"/>
      <c r="HC15" s="198"/>
      <c r="HD15" s="198"/>
      <c r="HE15" s="198"/>
      <c r="HF15" s="198"/>
      <c r="HG15" s="198"/>
      <c r="HH15" s="198"/>
      <c r="HI15" s="198"/>
      <c r="HJ15" s="198"/>
      <c r="HK15" s="198"/>
      <c r="HL15" s="198"/>
      <c r="HM15" s="198"/>
      <c r="HN15" s="198"/>
      <c r="HO15" s="198"/>
      <c r="HP15" s="198"/>
      <c r="HQ15" s="198"/>
      <c r="HR15" s="198"/>
      <c r="HS15" s="198"/>
      <c r="HT15" s="198"/>
      <c r="HU15" s="198"/>
      <c r="HV15" s="198"/>
      <c r="HW15" s="198"/>
      <c r="HX15" s="198"/>
      <c r="HY15" s="198"/>
      <c r="HZ15" s="198"/>
      <c r="IA15" s="198"/>
      <c r="IB15" s="198"/>
      <c r="IC15" s="198"/>
      <c r="ID15" s="198"/>
      <c r="IE15" s="198"/>
      <c r="IF15" s="198"/>
      <c r="IG15" s="198"/>
      <c r="IH15" s="198"/>
      <c r="II15" s="198"/>
      <c r="IJ15" s="198"/>
      <c r="IK15" s="198"/>
      <c r="IL15" s="198"/>
      <c r="IM15" s="198"/>
      <c r="IN15" s="198"/>
      <c r="IO15" s="198"/>
      <c r="IP15" s="198"/>
      <c r="IQ15" s="198"/>
      <c r="IR15" s="198"/>
      <c r="IS15" s="198"/>
      <c r="IT15" s="198"/>
      <c r="IU15" s="198"/>
      <c r="IV15" s="198"/>
    </row>
    <row r="16" s="199" customFormat="true" ht="12.75" hidden="false" customHeight="true" outlineLevel="0" collapsed="false">
      <c r="A16" s="157" t="n">
        <f aca="false">IF(Eingabe!A20="","",Eingabe!A20)</f>
        <v>13</v>
      </c>
      <c r="B16" s="157"/>
      <c r="C16" s="157"/>
      <c r="D16" s="158" t="str">
        <f aca="false">IF(Eingabe!B20="","",Eingabe!B20)</f>
        <v/>
      </c>
      <c r="E16" s="158"/>
      <c r="F16" s="158"/>
      <c r="G16" s="158"/>
      <c r="H16" s="159" t="str">
        <f aca="false">IF(Eingabe!C20="","",Eingabe!C20)</f>
        <v/>
      </c>
      <c r="I16" s="159"/>
      <c r="J16" s="159"/>
      <c r="K16" s="159"/>
      <c r="L16" s="160" t="str">
        <f aca="false">IF(Eingabe!D20="","",Eingabe!D20)</f>
        <v/>
      </c>
      <c r="M16" s="160"/>
      <c r="N16" s="160"/>
      <c r="O16" s="160"/>
      <c r="P16" s="160"/>
      <c r="Q16" s="160"/>
      <c r="R16" s="160"/>
      <c r="S16" s="160"/>
      <c r="T16" s="160"/>
      <c r="U16" s="160"/>
      <c r="V16" s="160"/>
      <c r="W16" s="160"/>
      <c r="X16" s="160"/>
      <c r="Y16" s="160"/>
      <c r="Z16" s="160"/>
      <c r="AA16" s="160"/>
      <c r="AB16" s="160"/>
      <c r="AC16" s="160"/>
      <c r="AD16" s="160"/>
      <c r="AE16" s="160"/>
      <c r="AF16" s="160"/>
      <c r="AG16" s="160"/>
      <c r="AH16" s="200" t="str">
        <f aca="false">IF(Eingabe!F20&amp;Eingabe!G20="","",Eingabe!F20&amp;"  /  "&amp;Eingabe!G20)</f>
        <v/>
      </c>
      <c r="AI16" s="200"/>
      <c r="AJ16" s="200"/>
      <c r="AK16" s="200"/>
      <c r="AL16" s="200"/>
      <c r="AM16" s="200"/>
      <c r="AN16" s="200"/>
      <c r="AO16" s="200"/>
      <c r="AP16" s="200"/>
      <c r="AQ16" s="200"/>
      <c r="AR16" s="200"/>
      <c r="AS16" s="200"/>
      <c r="AT16" s="200"/>
      <c r="AU16" s="200"/>
      <c r="AV16" s="200"/>
      <c r="AW16" s="200"/>
      <c r="AX16" s="200"/>
      <c r="AY16" s="200"/>
      <c r="AZ16" s="200"/>
      <c r="BA16" s="200"/>
      <c r="BB16" s="200"/>
      <c r="BC16" s="200"/>
      <c r="BD16" s="200"/>
      <c r="BE16" s="201" t="str">
        <f aca="false">IF(Eingabe!I20="","",Eingabe!I20)</f>
        <v/>
      </c>
      <c r="BF16" s="201"/>
      <c r="BG16" s="201"/>
      <c r="BH16" s="201"/>
      <c r="BI16" s="201"/>
      <c r="BJ16" s="202" t="str">
        <f aca="false">IF(Eingabe!I20="","",Eingabe!I20*Eingabe!B20)</f>
        <v/>
      </c>
      <c r="BK16" s="202"/>
      <c r="BL16" s="202"/>
      <c r="BM16" s="202"/>
      <c r="BN16" s="202"/>
      <c r="BO16" s="198"/>
      <c r="BP16" s="198"/>
      <c r="BQ16" s="198"/>
      <c r="BR16" s="198"/>
      <c r="BS16" s="198"/>
      <c r="BT16" s="198"/>
      <c r="BU16" s="198"/>
      <c r="BV16" s="198"/>
      <c r="BW16" s="198"/>
      <c r="BX16" s="198"/>
      <c r="BY16" s="198"/>
      <c r="BZ16" s="198"/>
      <c r="CA16" s="198"/>
      <c r="CB16" s="198"/>
      <c r="CC16" s="198"/>
      <c r="CD16" s="198"/>
      <c r="CE16" s="198"/>
      <c r="CF16" s="198"/>
      <c r="CG16" s="198"/>
      <c r="CH16" s="198"/>
      <c r="CI16" s="198"/>
      <c r="CJ16" s="198"/>
      <c r="CK16" s="198"/>
      <c r="CL16" s="198"/>
      <c r="CM16" s="198"/>
      <c r="CN16" s="198"/>
      <c r="CO16" s="198"/>
      <c r="CP16" s="198"/>
      <c r="CQ16" s="198"/>
      <c r="CR16" s="198"/>
      <c r="CS16" s="198"/>
      <c r="CT16" s="198"/>
      <c r="CU16" s="198"/>
      <c r="CV16" s="198"/>
      <c r="CW16" s="198"/>
      <c r="CX16" s="198"/>
      <c r="CY16" s="198"/>
      <c r="CZ16" s="198"/>
      <c r="DA16" s="198"/>
      <c r="DB16" s="198"/>
      <c r="DC16" s="198"/>
      <c r="DD16" s="198"/>
      <c r="DE16" s="198"/>
      <c r="DF16" s="198"/>
      <c r="DG16" s="198"/>
      <c r="DH16" s="198"/>
      <c r="DI16" s="198"/>
      <c r="DJ16" s="198"/>
      <c r="DK16" s="198"/>
      <c r="DL16" s="198"/>
      <c r="DM16" s="198"/>
      <c r="DN16" s="198"/>
      <c r="DO16" s="198"/>
      <c r="DP16" s="198"/>
      <c r="DQ16" s="198"/>
      <c r="DR16" s="198"/>
      <c r="DS16" s="198"/>
      <c r="DT16" s="198"/>
      <c r="DU16" s="198"/>
      <c r="DV16" s="198"/>
      <c r="DW16" s="198"/>
      <c r="DX16" s="198"/>
      <c r="DY16" s="198"/>
      <c r="DZ16" s="198"/>
      <c r="EA16" s="198"/>
      <c r="EB16" s="198"/>
      <c r="EC16" s="198"/>
      <c r="ED16" s="198"/>
      <c r="EE16" s="198"/>
      <c r="EF16" s="198"/>
      <c r="EG16" s="198"/>
      <c r="EH16" s="198"/>
      <c r="EI16" s="198"/>
      <c r="EJ16" s="198"/>
      <c r="EK16" s="198"/>
      <c r="EL16" s="198"/>
      <c r="EM16" s="198"/>
      <c r="EN16" s="198"/>
      <c r="EO16" s="198"/>
      <c r="EP16" s="198"/>
      <c r="EQ16" s="198"/>
      <c r="ER16" s="198"/>
      <c r="ES16" s="198"/>
      <c r="ET16" s="198"/>
      <c r="EU16" s="198"/>
      <c r="EV16" s="198"/>
      <c r="EW16" s="198"/>
      <c r="EX16" s="198"/>
      <c r="EY16" s="198"/>
      <c r="EZ16" s="198"/>
      <c r="FA16" s="198"/>
      <c r="FB16" s="198"/>
      <c r="FC16" s="198"/>
      <c r="FD16" s="198"/>
      <c r="FE16" s="198"/>
      <c r="FF16" s="198"/>
      <c r="FG16" s="198"/>
      <c r="FH16" s="198"/>
      <c r="FI16" s="198"/>
      <c r="FJ16" s="198"/>
      <c r="FK16" s="198"/>
      <c r="FL16" s="198"/>
      <c r="FM16" s="198"/>
      <c r="FN16" s="198"/>
      <c r="FO16" s="198"/>
      <c r="FP16" s="198"/>
      <c r="FQ16" s="198"/>
      <c r="FR16" s="198"/>
      <c r="FS16" s="198"/>
      <c r="FT16" s="198"/>
      <c r="FU16" s="198"/>
      <c r="FV16" s="198"/>
      <c r="FW16" s="198"/>
      <c r="FX16" s="198"/>
      <c r="FY16" s="198"/>
      <c r="FZ16" s="198"/>
      <c r="GA16" s="198"/>
      <c r="GB16" s="198"/>
      <c r="GC16" s="198"/>
      <c r="GD16" s="198"/>
      <c r="GE16" s="198"/>
      <c r="GF16" s="198"/>
      <c r="GG16" s="198"/>
      <c r="GH16" s="198"/>
      <c r="GI16" s="198"/>
      <c r="GJ16" s="198"/>
      <c r="GK16" s="198"/>
      <c r="GL16" s="198"/>
      <c r="GM16" s="198"/>
      <c r="GN16" s="198"/>
      <c r="GO16" s="198"/>
      <c r="GP16" s="198"/>
      <c r="GQ16" s="198"/>
      <c r="GR16" s="198"/>
      <c r="GS16" s="198"/>
      <c r="GT16" s="198"/>
      <c r="GU16" s="198"/>
      <c r="GV16" s="198"/>
      <c r="GW16" s="198"/>
      <c r="GX16" s="198"/>
      <c r="GY16" s="198"/>
      <c r="GZ16" s="198"/>
      <c r="HA16" s="198"/>
      <c r="HB16" s="198"/>
      <c r="HC16" s="198"/>
      <c r="HD16" s="198"/>
      <c r="HE16" s="198"/>
      <c r="HF16" s="198"/>
      <c r="HG16" s="198"/>
      <c r="HH16" s="198"/>
      <c r="HI16" s="198"/>
      <c r="HJ16" s="198"/>
      <c r="HK16" s="198"/>
      <c r="HL16" s="198"/>
      <c r="HM16" s="198"/>
      <c r="HN16" s="198"/>
      <c r="HO16" s="198"/>
      <c r="HP16" s="198"/>
      <c r="HQ16" s="198"/>
      <c r="HR16" s="198"/>
      <c r="HS16" s="198"/>
      <c r="HT16" s="198"/>
      <c r="HU16" s="198"/>
      <c r="HV16" s="198"/>
      <c r="HW16" s="198"/>
      <c r="HX16" s="198"/>
      <c r="HY16" s="198"/>
      <c r="HZ16" s="198"/>
      <c r="IA16" s="198"/>
      <c r="IB16" s="198"/>
      <c r="IC16" s="198"/>
      <c r="ID16" s="198"/>
      <c r="IE16" s="198"/>
      <c r="IF16" s="198"/>
      <c r="IG16" s="198"/>
      <c r="IH16" s="198"/>
      <c r="II16" s="198"/>
      <c r="IJ16" s="198"/>
      <c r="IK16" s="198"/>
      <c r="IL16" s="198"/>
      <c r="IM16" s="198"/>
      <c r="IN16" s="198"/>
      <c r="IO16" s="198"/>
      <c r="IP16" s="198"/>
      <c r="IQ16" s="198"/>
      <c r="IR16" s="198"/>
      <c r="IS16" s="198"/>
      <c r="IT16" s="198"/>
      <c r="IU16" s="198"/>
      <c r="IV16" s="198"/>
    </row>
    <row r="17" s="199" customFormat="true" ht="12.75" hidden="false" customHeight="true" outlineLevel="0" collapsed="false">
      <c r="A17" s="157" t="n">
        <f aca="false">IF(Eingabe!A21="","",Eingabe!A21)</f>
        <v>14</v>
      </c>
      <c r="B17" s="157"/>
      <c r="C17" s="157"/>
      <c r="D17" s="158" t="str">
        <f aca="false">IF(Eingabe!B21="","",Eingabe!B21)</f>
        <v/>
      </c>
      <c r="E17" s="158"/>
      <c r="F17" s="158"/>
      <c r="G17" s="158"/>
      <c r="H17" s="159" t="str">
        <f aca="false">IF(Eingabe!C21="","",Eingabe!C21)</f>
        <v/>
      </c>
      <c r="I17" s="159"/>
      <c r="J17" s="159"/>
      <c r="K17" s="159"/>
      <c r="L17" s="160" t="str">
        <f aca="false">IF(Eingabe!D21="","",Eingabe!D21)</f>
        <v/>
      </c>
      <c r="M17" s="160"/>
      <c r="N17" s="160"/>
      <c r="O17" s="160"/>
      <c r="P17" s="160"/>
      <c r="Q17" s="160"/>
      <c r="R17" s="160"/>
      <c r="S17" s="160"/>
      <c r="T17" s="160"/>
      <c r="U17" s="160"/>
      <c r="V17" s="160"/>
      <c r="W17" s="160"/>
      <c r="X17" s="160"/>
      <c r="Y17" s="160"/>
      <c r="Z17" s="160"/>
      <c r="AA17" s="160"/>
      <c r="AB17" s="160"/>
      <c r="AC17" s="160"/>
      <c r="AD17" s="160"/>
      <c r="AE17" s="160"/>
      <c r="AF17" s="160"/>
      <c r="AG17" s="160"/>
      <c r="AH17" s="200" t="str">
        <f aca="false">IF(Eingabe!F21&amp;Eingabe!G21="","",Eingabe!F21&amp;"  /  "&amp;Eingabe!G21)</f>
        <v/>
      </c>
      <c r="AI17" s="200"/>
      <c r="AJ17" s="200"/>
      <c r="AK17" s="200"/>
      <c r="AL17" s="200"/>
      <c r="AM17" s="200"/>
      <c r="AN17" s="200"/>
      <c r="AO17" s="200"/>
      <c r="AP17" s="200"/>
      <c r="AQ17" s="200"/>
      <c r="AR17" s="200"/>
      <c r="AS17" s="200"/>
      <c r="AT17" s="200"/>
      <c r="AU17" s="200"/>
      <c r="AV17" s="200"/>
      <c r="AW17" s="200"/>
      <c r="AX17" s="200"/>
      <c r="AY17" s="200"/>
      <c r="AZ17" s="200"/>
      <c r="BA17" s="200"/>
      <c r="BB17" s="200"/>
      <c r="BC17" s="200"/>
      <c r="BD17" s="200"/>
      <c r="BE17" s="201" t="str">
        <f aca="false">IF(Eingabe!I21="","",Eingabe!I21)</f>
        <v/>
      </c>
      <c r="BF17" s="201"/>
      <c r="BG17" s="201"/>
      <c r="BH17" s="201"/>
      <c r="BI17" s="201"/>
      <c r="BJ17" s="202" t="str">
        <f aca="false">IF(Eingabe!I21="","",Eingabe!I21*Eingabe!B21)</f>
        <v/>
      </c>
      <c r="BK17" s="202"/>
      <c r="BL17" s="202"/>
      <c r="BM17" s="202"/>
      <c r="BN17" s="202"/>
      <c r="BO17" s="198"/>
      <c r="BP17" s="198"/>
      <c r="BQ17" s="198"/>
      <c r="BR17" s="198"/>
      <c r="BS17" s="198"/>
      <c r="BT17" s="198"/>
      <c r="BU17" s="198"/>
      <c r="BV17" s="198"/>
      <c r="BW17" s="198"/>
      <c r="BX17" s="198"/>
      <c r="BY17" s="198"/>
      <c r="BZ17" s="198"/>
      <c r="CA17" s="198"/>
      <c r="CB17" s="198"/>
      <c r="CC17" s="198"/>
      <c r="CD17" s="198"/>
      <c r="CE17" s="198"/>
      <c r="CF17" s="198"/>
      <c r="CG17" s="198"/>
      <c r="CH17" s="198"/>
      <c r="CI17" s="198"/>
      <c r="CJ17" s="198"/>
      <c r="CK17" s="198"/>
      <c r="CL17" s="198"/>
      <c r="CM17" s="198"/>
      <c r="CN17" s="198"/>
      <c r="CO17" s="198"/>
      <c r="CP17" s="198"/>
      <c r="CQ17" s="198"/>
      <c r="CR17" s="198"/>
      <c r="CS17" s="198"/>
      <c r="CT17" s="198"/>
      <c r="CU17" s="198"/>
      <c r="CV17" s="198"/>
      <c r="CW17" s="198"/>
      <c r="CX17" s="198"/>
      <c r="CY17" s="198"/>
      <c r="CZ17" s="198"/>
      <c r="DA17" s="198"/>
      <c r="DB17" s="198"/>
      <c r="DC17" s="198"/>
      <c r="DD17" s="198"/>
      <c r="DE17" s="198"/>
      <c r="DF17" s="198"/>
      <c r="DG17" s="198"/>
      <c r="DH17" s="198"/>
      <c r="DI17" s="198"/>
      <c r="DJ17" s="198"/>
      <c r="DK17" s="198"/>
      <c r="DL17" s="198"/>
      <c r="DM17" s="198"/>
      <c r="DN17" s="198"/>
      <c r="DO17" s="198"/>
      <c r="DP17" s="198"/>
      <c r="DQ17" s="198"/>
      <c r="DR17" s="198"/>
      <c r="DS17" s="198"/>
      <c r="DT17" s="198"/>
      <c r="DU17" s="198"/>
      <c r="DV17" s="198"/>
      <c r="DW17" s="198"/>
      <c r="DX17" s="198"/>
      <c r="DY17" s="198"/>
      <c r="DZ17" s="198"/>
      <c r="EA17" s="198"/>
      <c r="EB17" s="198"/>
      <c r="EC17" s="198"/>
      <c r="ED17" s="198"/>
      <c r="EE17" s="198"/>
      <c r="EF17" s="198"/>
      <c r="EG17" s="198"/>
      <c r="EH17" s="198"/>
      <c r="EI17" s="198"/>
      <c r="EJ17" s="198"/>
      <c r="EK17" s="198"/>
      <c r="EL17" s="198"/>
      <c r="EM17" s="198"/>
      <c r="EN17" s="198"/>
      <c r="EO17" s="198"/>
      <c r="EP17" s="198"/>
      <c r="EQ17" s="198"/>
      <c r="ER17" s="198"/>
      <c r="ES17" s="198"/>
      <c r="ET17" s="198"/>
      <c r="EU17" s="198"/>
      <c r="EV17" s="198"/>
      <c r="EW17" s="198"/>
      <c r="EX17" s="198"/>
      <c r="EY17" s="198"/>
      <c r="EZ17" s="198"/>
      <c r="FA17" s="198"/>
      <c r="FB17" s="198"/>
      <c r="FC17" s="198"/>
      <c r="FD17" s="198"/>
      <c r="FE17" s="198"/>
      <c r="FF17" s="198"/>
      <c r="FG17" s="198"/>
      <c r="FH17" s="198"/>
      <c r="FI17" s="198"/>
      <c r="FJ17" s="198"/>
      <c r="FK17" s="198"/>
      <c r="FL17" s="198"/>
      <c r="FM17" s="198"/>
      <c r="FN17" s="198"/>
      <c r="FO17" s="198"/>
      <c r="FP17" s="198"/>
      <c r="FQ17" s="198"/>
      <c r="FR17" s="198"/>
      <c r="FS17" s="198"/>
      <c r="FT17" s="198"/>
      <c r="FU17" s="198"/>
      <c r="FV17" s="198"/>
      <c r="FW17" s="198"/>
      <c r="FX17" s="198"/>
      <c r="FY17" s="198"/>
      <c r="FZ17" s="198"/>
      <c r="GA17" s="198"/>
      <c r="GB17" s="198"/>
      <c r="GC17" s="198"/>
      <c r="GD17" s="198"/>
      <c r="GE17" s="198"/>
      <c r="GF17" s="198"/>
      <c r="GG17" s="198"/>
      <c r="GH17" s="198"/>
      <c r="GI17" s="198"/>
      <c r="GJ17" s="198"/>
      <c r="GK17" s="198"/>
      <c r="GL17" s="198"/>
      <c r="GM17" s="198"/>
      <c r="GN17" s="198"/>
      <c r="GO17" s="198"/>
      <c r="GP17" s="198"/>
      <c r="GQ17" s="198"/>
      <c r="GR17" s="198"/>
      <c r="GS17" s="198"/>
      <c r="GT17" s="198"/>
      <c r="GU17" s="198"/>
      <c r="GV17" s="198"/>
      <c r="GW17" s="198"/>
      <c r="GX17" s="198"/>
      <c r="GY17" s="198"/>
      <c r="GZ17" s="198"/>
      <c r="HA17" s="198"/>
      <c r="HB17" s="198"/>
      <c r="HC17" s="198"/>
      <c r="HD17" s="198"/>
      <c r="HE17" s="198"/>
      <c r="HF17" s="198"/>
      <c r="HG17" s="198"/>
      <c r="HH17" s="198"/>
      <c r="HI17" s="198"/>
      <c r="HJ17" s="198"/>
      <c r="HK17" s="198"/>
      <c r="HL17" s="198"/>
      <c r="HM17" s="198"/>
      <c r="HN17" s="198"/>
      <c r="HO17" s="198"/>
      <c r="HP17" s="198"/>
      <c r="HQ17" s="198"/>
      <c r="HR17" s="198"/>
      <c r="HS17" s="198"/>
      <c r="HT17" s="198"/>
      <c r="HU17" s="198"/>
      <c r="HV17" s="198"/>
      <c r="HW17" s="198"/>
      <c r="HX17" s="198"/>
      <c r="HY17" s="198"/>
      <c r="HZ17" s="198"/>
      <c r="IA17" s="198"/>
      <c r="IB17" s="198"/>
      <c r="IC17" s="198"/>
      <c r="ID17" s="198"/>
      <c r="IE17" s="198"/>
      <c r="IF17" s="198"/>
      <c r="IG17" s="198"/>
      <c r="IH17" s="198"/>
      <c r="II17" s="198"/>
      <c r="IJ17" s="198"/>
      <c r="IK17" s="198"/>
      <c r="IL17" s="198"/>
      <c r="IM17" s="198"/>
      <c r="IN17" s="198"/>
      <c r="IO17" s="198"/>
      <c r="IP17" s="198"/>
      <c r="IQ17" s="198"/>
      <c r="IR17" s="198"/>
      <c r="IS17" s="198"/>
      <c r="IT17" s="198"/>
      <c r="IU17" s="198"/>
      <c r="IV17" s="198"/>
    </row>
    <row r="18" s="199" customFormat="true" ht="12.75" hidden="false" customHeight="true" outlineLevel="0" collapsed="false">
      <c r="A18" s="157" t="n">
        <f aca="false">IF(Eingabe!A22="","",Eingabe!A22)</f>
        <v>15</v>
      </c>
      <c r="B18" s="157"/>
      <c r="C18" s="157"/>
      <c r="D18" s="158" t="str">
        <f aca="false">IF(Eingabe!B22="","",Eingabe!B22)</f>
        <v/>
      </c>
      <c r="E18" s="158"/>
      <c r="F18" s="158"/>
      <c r="G18" s="158"/>
      <c r="H18" s="159" t="str">
        <f aca="false">IF(Eingabe!C22="","",Eingabe!C22)</f>
        <v/>
      </c>
      <c r="I18" s="159"/>
      <c r="J18" s="159"/>
      <c r="K18" s="159"/>
      <c r="L18" s="160" t="str">
        <f aca="false">IF(Eingabe!D22="","",Eingabe!D22)</f>
        <v/>
      </c>
      <c r="M18" s="160"/>
      <c r="N18" s="160"/>
      <c r="O18" s="160"/>
      <c r="P18" s="160"/>
      <c r="Q18" s="160"/>
      <c r="R18" s="160"/>
      <c r="S18" s="160"/>
      <c r="T18" s="160"/>
      <c r="U18" s="160"/>
      <c r="V18" s="160"/>
      <c r="W18" s="160"/>
      <c r="X18" s="160"/>
      <c r="Y18" s="160"/>
      <c r="Z18" s="160"/>
      <c r="AA18" s="160"/>
      <c r="AB18" s="160"/>
      <c r="AC18" s="160"/>
      <c r="AD18" s="160"/>
      <c r="AE18" s="160"/>
      <c r="AF18" s="160"/>
      <c r="AG18" s="160"/>
      <c r="AH18" s="200" t="str">
        <f aca="false">IF(Eingabe!F22&amp;Eingabe!G22="","",Eingabe!F22&amp;"  /  "&amp;Eingabe!G22)</f>
        <v/>
      </c>
      <c r="AI18" s="200"/>
      <c r="AJ18" s="200"/>
      <c r="AK18" s="200"/>
      <c r="AL18" s="200"/>
      <c r="AM18" s="200"/>
      <c r="AN18" s="200"/>
      <c r="AO18" s="200"/>
      <c r="AP18" s="200"/>
      <c r="AQ18" s="200"/>
      <c r="AR18" s="200"/>
      <c r="AS18" s="200"/>
      <c r="AT18" s="200"/>
      <c r="AU18" s="200"/>
      <c r="AV18" s="200"/>
      <c r="AW18" s="200"/>
      <c r="AX18" s="200"/>
      <c r="AY18" s="200"/>
      <c r="AZ18" s="200"/>
      <c r="BA18" s="200"/>
      <c r="BB18" s="200"/>
      <c r="BC18" s="200"/>
      <c r="BD18" s="200"/>
      <c r="BE18" s="201" t="str">
        <f aca="false">IF(Eingabe!I22="","",Eingabe!I22)</f>
        <v/>
      </c>
      <c r="BF18" s="201"/>
      <c r="BG18" s="201"/>
      <c r="BH18" s="201"/>
      <c r="BI18" s="201"/>
      <c r="BJ18" s="202" t="str">
        <f aca="false">IF(Eingabe!I22="","",Eingabe!I22*Eingabe!B22)</f>
        <v/>
      </c>
      <c r="BK18" s="202"/>
      <c r="BL18" s="202"/>
      <c r="BM18" s="202"/>
      <c r="BN18" s="202"/>
      <c r="BO18" s="198"/>
      <c r="BP18" s="198"/>
      <c r="BQ18" s="198"/>
      <c r="BR18" s="198"/>
      <c r="BS18" s="198"/>
      <c r="BT18" s="198"/>
      <c r="BU18" s="198"/>
      <c r="BV18" s="198"/>
      <c r="BW18" s="198"/>
      <c r="BX18" s="198"/>
      <c r="BY18" s="198"/>
      <c r="BZ18" s="198"/>
      <c r="CA18" s="198"/>
      <c r="CB18" s="198"/>
      <c r="CC18" s="198"/>
      <c r="CD18" s="198"/>
      <c r="CE18" s="198"/>
      <c r="CF18" s="198"/>
      <c r="CG18" s="198"/>
      <c r="CH18" s="198"/>
      <c r="CI18" s="198"/>
      <c r="CJ18" s="198"/>
      <c r="CK18" s="198"/>
      <c r="CL18" s="198"/>
      <c r="CM18" s="198"/>
      <c r="CN18" s="198"/>
      <c r="CO18" s="198"/>
      <c r="CP18" s="198"/>
      <c r="CQ18" s="198"/>
      <c r="CR18" s="198"/>
      <c r="CS18" s="198"/>
      <c r="CT18" s="198"/>
      <c r="CU18" s="198"/>
      <c r="CV18" s="198"/>
      <c r="CW18" s="198"/>
      <c r="CX18" s="198"/>
      <c r="CY18" s="198"/>
      <c r="CZ18" s="198"/>
      <c r="DA18" s="198"/>
      <c r="DB18" s="198"/>
      <c r="DC18" s="198"/>
      <c r="DD18" s="198"/>
      <c r="DE18" s="198"/>
      <c r="DF18" s="198"/>
      <c r="DG18" s="198"/>
      <c r="DH18" s="198"/>
      <c r="DI18" s="198"/>
      <c r="DJ18" s="198"/>
      <c r="DK18" s="198"/>
      <c r="DL18" s="198"/>
      <c r="DM18" s="198"/>
      <c r="DN18" s="198"/>
      <c r="DO18" s="198"/>
      <c r="DP18" s="198"/>
      <c r="DQ18" s="198"/>
      <c r="DR18" s="198"/>
      <c r="DS18" s="198"/>
      <c r="DT18" s="198"/>
      <c r="DU18" s="198"/>
      <c r="DV18" s="198"/>
      <c r="DW18" s="198"/>
      <c r="DX18" s="198"/>
      <c r="DY18" s="198"/>
      <c r="DZ18" s="198"/>
      <c r="EA18" s="198"/>
      <c r="EB18" s="198"/>
      <c r="EC18" s="198"/>
      <c r="ED18" s="198"/>
      <c r="EE18" s="198"/>
      <c r="EF18" s="198"/>
      <c r="EG18" s="198"/>
      <c r="EH18" s="198"/>
      <c r="EI18" s="198"/>
      <c r="EJ18" s="198"/>
      <c r="EK18" s="198"/>
      <c r="EL18" s="198"/>
      <c r="EM18" s="198"/>
      <c r="EN18" s="198"/>
      <c r="EO18" s="198"/>
      <c r="EP18" s="198"/>
      <c r="EQ18" s="198"/>
      <c r="ER18" s="198"/>
      <c r="ES18" s="198"/>
      <c r="ET18" s="198"/>
      <c r="EU18" s="198"/>
      <c r="EV18" s="198"/>
      <c r="EW18" s="198"/>
      <c r="EX18" s="198"/>
      <c r="EY18" s="198"/>
      <c r="EZ18" s="198"/>
      <c r="FA18" s="198"/>
      <c r="FB18" s="198"/>
      <c r="FC18" s="198"/>
      <c r="FD18" s="198"/>
      <c r="FE18" s="198"/>
      <c r="FF18" s="198"/>
      <c r="FG18" s="198"/>
      <c r="FH18" s="198"/>
      <c r="FI18" s="198"/>
      <c r="FJ18" s="198"/>
      <c r="FK18" s="198"/>
      <c r="FL18" s="198"/>
      <c r="FM18" s="198"/>
      <c r="FN18" s="198"/>
      <c r="FO18" s="198"/>
      <c r="FP18" s="198"/>
      <c r="FQ18" s="198"/>
      <c r="FR18" s="198"/>
      <c r="FS18" s="198"/>
      <c r="FT18" s="198"/>
      <c r="FU18" s="198"/>
      <c r="FV18" s="198"/>
      <c r="FW18" s="198"/>
      <c r="FX18" s="198"/>
      <c r="FY18" s="198"/>
      <c r="FZ18" s="198"/>
      <c r="GA18" s="198"/>
      <c r="GB18" s="198"/>
      <c r="GC18" s="198"/>
      <c r="GD18" s="198"/>
      <c r="GE18" s="198"/>
      <c r="GF18" s="198"/>
      <c r="GG18" s="198"/>
      <c r="GH18" s="198"/>
      <c r="GI18" s="198"/>
      <c r="GJ18" s="198"/>
      <c r="GK18" s="198"/>
      <c r="GL18" s="198"/>
      <c r="GM18" s="198"/>
      <c r="GN18" s="198"/>
      <c r="GO18" s="198"/>
      <c r="GP18" s="198"/>
      <c r="GQ18" s="198"/>
      <c r="GR18" s="198"/>
      <c r="GS18" s="198"/>
      <c r="GT18" s="198"/>
      <c r="GU18" s="198"/>
      <c r="GV18" s="198"/>
      <c r="GW18" s="198"/>
      <c r="GX18" s="198"/>
      <c r="GY18" s="198"/>
      <c r="GZ18" s="198"/>
      <c r="HA18" s="198"/>
      <c r="HB18" s="198"/>
      <c r="HC18" s="198"/>
      <c r="HD18" s="198"/>
      <c r="HE18" s="198"/>
      <c r="HF18" s="198"/>
      <c r="HG18" s="198"/>
      <c r="HH18" s="198"/>
      <c r="HI18" s="198"/>
      <c r="HJ18" s="198"/>
      <c r="HK18" s="198"/>
      <c r="HL18" s="198"/>
      <c r="HM18" s="198"/>
      <c r="HN18" s="198"/>
      <c r="HO18" s="198"/>
      <c r="HP18" s="198"/>
      <c r="HQ18" s="198"/>
      <c r="HR18" s="198"/>
      <c r="HS18" s="198"/>
      <c r="HT18" s="198"/>
      <c r="HU18" s="198"/>
      <c r="HV18" s="198"/>
      <c r="HW18" s="198"/>
      <c r="HX18" s="198"/>
      <c r="HY18" s="198"/>
      <c r="HZ18" s="198"/>
      <c r="IA18" s="198"/>
      <c r="IB18" s="198"/>
      <c r="IC18" s="198"/>
      <c r="ID18" s="198"/>
      <c r="IE18" s="198"/>
      <c r="IF18" s="198"/>
      <c r="IG18" s="198"/>
      <c r="IH18" s="198"/>
      <c r="II18" s="198"/>
      <c r="IJ18" s="198"/>
      <c r="IK18" s="198"/>
      <c r="IL18" s="198"/>
      <c r="IM18" s="198"/>
      <c r="IN18" s="198"/>
      <c r="IO18" s="198"/>
      <c r="IP18" s="198"/>
      <c r="IQ18" s="198"/>
      <c r="IR18" s="198"/>
      <c r="IS18" s="198"/>
      <c r="IT18" s="198"/>
      <c r="IU18" s="198"/>
      <c r="IV18" s="198"/>
    </row>
    <row r="19" s="199" customFormat="true" ht="12.75" hidden="false" customHeight="true" outlineLevel="0" collapsed="false">
      <c r="A19" s="157" t="n">
        <f aca="false">IF(Eingabe!A23="","",Eingabe!A23)</f>
        <v>16</v>
      </c>
      <c r="B19" s="157"/>
      <c r="C19" s="157"/>
      <c r="D19" s="158" t="str">
        <f aca="false">IF(Eingabe!B23="","",Eingabe!B23)</f>
        <v/>
      </c>
      <c r="E19" s="158"/>
      <c r="F19" s="158"/>
      <c r="G19" s="158"/>
      <c r="H19" s="159" t="str">
        <f aca="false">IF(Eingabe!C23="","",Eingabe!C23)</f>
        <v/>
      </c>
      <c r="I19" s="159"/>
      <c r="J19" s="159"/>
      <c r="K19" s="159"/>
      <c r="L19" s="160" t="str">
        <f aca="false">IF(Eingabe!D23="","",Eingabe!D23)</f>
        <v/>
      </c>
      <c r="M19" s="160"/>
      <c r="N19" s="160"/>
      <c r="O19" s="160"/>
      <c r="P19" s="160"/>
      <c r="Q19" s="160"/>
      <c r="R19" s="160"/>
      <c r="S19" s="160"/>
      <c r="T19" s="160"/>
      <c r="U19" s="160"/>
      <c r="V19" s="160"/>
      <c r="W19" s="160"/>
      <c r="X19" s="160"/>
      <c r="Y19" s="160"/>
      <c r="Z19" s="160"/>
      <c r="AA19" s="160"/>
      <c r="AB19" s="160"/>
      <c r="AC19" s="160"/>
      <c r="AD19" s="160"/>
      <c r="AE19" s="160"/>
      <c r="AF19" s="160"/>
      <c r="AG19" s="160"/>
      <c r="AH19" s="200" t="str">
        <f aca="false">IF(Eingabe!F23&amp;Eingabe!G23="","",Eingabe!F23&amp;"  /  "&amp;Eingabe!G23)</f>
        <v/>
      </c>
      <c r="AI19" s="200"/>
      <c r="AJ19" s="200"/>
      <c r="AK19" s="200"/>
      <c r="AL19" s="200"/>
      <c r="AM19" s="200"/>
      <c r="AN19" s="200"/>
      <c r="AO19" s="200"/>
      <c r="AP19" s="200"/>
      <c r="AQ19" s="200"/>
      <c r="AR19" s="200"/>
      <c r="AS19" s="200"/>
      <c r="AT19" s="200"/>
      <c r="AU19" s="200"/>
      <c r="AV19" s="200"/>
      <c r="AW19" s="200"/>
      <c r="AX19" s="200"/>
      <c r="AY19" s="200"/>
      <c r="AZ19" s="200"/>
      <c r="BA19" s="200"/>
      <c r="BB19" s="200"/>
      <c r="BC19" s="200"/>
      <c r="BD19" s="200"/>
      <c r="BE19" s="201" t="str">
        <f aca="false">IF(Eingabe!I23="","",Eingabe!I23)</f>
        <v/>
      </c>
      <c r="BF19" s="201"/>
      <c r="BG19" s="201"/>
      <c r="BH19" s="201"/>
      <c r="BI19" s="201"/>
      <c r="BJ19" s="202" t="str">
        <f aca="false">IF(Eingabe!I23="","",Eingabe!I23*Eingabe!B23)</f>
        <v/>
      </c>
      <c r="BK19" s="202"/>
      <c r="BL19" s="202"/>
      <c r="BM19" s="202"/>
      <c r="BN19" s="202"/>
      <c r="BO19" s="198"/>
      <c r="BP19" s="198"/>
      <c r="BQ19" s="198"/>
      <c r="BR19" s="198"/>
      <c r="BS19" s="198"/>
      <c r="BT19" s="198"/>
      <c r="BU19" s="198"/>
      <c r="BV19" s="198"/>
      <c r="BW19" s="198"/>
      <c r="BX19" s="198"/>
      <c r="BY19" s="198"/>
      <c r="BZ19" s="198"/>
      <c r="CA19" s="198"/>
      <c r="CB19" s="198"/>
      <c r="CC19" s="198"/>
      <c r="CD19" s="198"/>
      <c r="CE19" s="198"/>
      <c r="CF19" s="198"/>
      <c r="CG19" s="198"/>
      <c r="CH19" s="198"/>
      <c r="CI19" s="198"/>
      <c r="CJ19" s="198"/>
      <c r="CK19" s="198"/>
      <c r="CL19" s="198"/>
      <c r="CM19" s="198"/>
      <c r="CN19" s="198"/>
      <c r="CO19" s="198"/>
      <c r="CP19" s="198"/>
      <c r="CQ19" s="198"/>
      <c r="CR19" s="198"/>
      <c r="CS19" s="198"/>
      <c r="CT19" s="198"/>
      <c r="CU19" s="198"/>
      <c r="CV19" s="198"/>
      <c r="CW19" s="198"/>
      <c r="CX19" s="198"/>
      <c r="CY19" s="198"/>
      <c r="CZ19" s="198"/>
      <c r="DA19" s="198"/>
      <c r="DB19" s="198"/>
      <c r="DC19" s="198"/>
      <c r="DD19" s="198"/>
      <c r="DE19" s="198"/>
      <c r="DF19" s="198"/>
      <c r="DG19" s="198"/>
      <c r="DH19" s="198"/>
      <c r="DI19" s="198"/>
      <c r="DJ19" s="198"/>
      <c r="DK19" s="198"/>
      <c r="DL19" s="198"/>
      <c r="DM19" s="198"/>
      <c r="DN19" s="198"/>
      <c r="DO19" s="198"/>
      <c r="DP19" s="198"/>
      <c r="DQ19" s="198"/>
      <c r="DR19" s="198"/>
      <c r="DS19" s="198"/>
      <c r="DT19" s="198"/>
      <c r="DU19" s="198"/>
      <c r="DV19" s="198"/>
      <c r="DW19" s="198"/>
      <c r="DX19" s="198"/>
      <c r="DY19" s="198"/>
      <c r="DZ19" s="198"/>
      <c r="EA19" s="198"/>
      <c r="EB19" s="198"/>
      <c r="EC19" s="198"/>
      <c r="ED19" s="198"/>
      <c r="EE19" s="198"/>
      <c r="EF19" s="198"/>
      <c r="EG19" s="198"/>
      <c r="EH19" s="198"/>
      <c r="EI19" s="198"/>
      <c r="EJ19" s="198"/>
      <c r="EK19" s="198"/>
      <c r="EL19" s="198"/>
      <c r="EM19" s="198"/>
      <c r="EN19" s="198"/>
      <c r="EO19" s="198"/>
      <c r="EP19" s="198"/>
      <c r="EQ19" s="198"/>
      <c r="ER19" s="198"/>
      <c r="ES19" s="198"/>
      <c r="ET19" s="198"/>
      <c r="EU19" s="198"/>
      <c r="EV19" s="198"/>
      <c r="EW19" s="198"/>
      <c r="EX19" s="198"/>
      <c r="EY19" s="198"/>
      <c r="EZ19" s="198"/>
      <c r="FA19" s="198"/>
      <c r="FB19" s="198"/>
      <c r="FC19" s="198"/>
      <c r="FD19" s="198"/>
      <c r="FE19" s="198"/>
      <c r="FF19" s="198"/>
      <c r="FG19" s="198"/>
      <c r="FH19" s="198"/>
      <c r="FI19" s="198"/>
      <c r="FJ19" s="198"/>
      <c r="FK19" s="198"/>
      <c r="FL19" s="198"/>
      <c r="FM19" s="198"/>
      <c r="FN19" s="198"/>
      <c r="FO19" s="198"/>
      <c r="FP19" s="198"/>
      <c r="FQ19" s="198"/>
      <c r="FR19" s="198"/>
      <c r="FS19" s="198"/>
      <c r="FT19" s="198"/>
      <c r="FU19" s="198"/>
      <c r="FV19" s="198"/>
      <c r="FW19" s="198"/>
      <c r="FX19" s="198"/>
      <c r="FY19" s="198"/>
      <c r="FZ19" s="198"/>
      <c r="GA19" s="198"/>
      <c r="GB19" s="198"/>
      <c r="GC19" s="198"/>
      <c r="GD19" s="198"/>
      <c r="GE19" s="198"/>
      <c r="GF19" s="198"/>
      <c r="GG19" s="198"/>
      <c r="GH19" s="198"/>
      <c r="GI19" s="198"/>
      <c r="GJ19" s="198"/>
      <c r="GK19" s="198"/>
      <c r="GL19" s="198"/>
      <c r="GM19" s="198"/>
      <c r="GN19" s="198"/>
      <c r="GO19" s="198"/>
      <c r="GP19" s="198"/>
      <c r="GQ19" s="198"/>
      <c r="GR19" s="198"/>
      <c r="GS19" s="198"/>
      <c r="GT19" s="198"/>
      <c r="GU19" s="198"/>
      <c r="GV19" s="198"/>
      <c r="GW19" s="198"/>
      <c r="GX19" s="198"/>
      <c r="GY19" s="198"/>
      <c r="GZ19" s="198"/>
      <c r="HA19" s="198"/>
      <c r="HB19" s="198"/>
      <c r="HC19" s="198"/>
      <c r="HD19" s="198"/>
      <c r="HE19" s="198"/>
      <c r="HF19" s="198"/>
      <c r="HG19" s="198"/>
      <c r="HH19" s="198"/>
      <c r="HI19" s="198"/>
      <c r="HJ19" s="198"/>
      <c r="HK19" s="198"/>
      <c r="HL19" s="198"/>
      <c r="HM19" s="198"/>
      <c r="HN19" s="198"/>
      <c r="HO19" s="198"/>
      <c r="HP19" s="198"/>
      <c r="HQ19" s="198"/>
      <c r="HR19" s="198"/>
      <c r="HS19" s="198"/>
      <c r="HT19" s="198"/>
      <c r="HU19" s="198"/>
      <c r="HV19" s="198"/>
      <c r="HW19" s="198"/>
      <c r="HX19" s="198"/>
      <c r="HY19" s="198"/>
      <c r="HZ19" s="198"/>
      <c r="IA19" s="198"/>
      <c r="IB19" s="198"/>
      <c r="IC19" s="198"/>
      <c r="ID19" s="198"/>
      <c r="IE19" s="198"/>
      <c r="IF19" s="198"/>
      <c r="IG19" s="198"/>
      <c r="IH19" s="198"/>
      <c r="II19" s="198"/>
      <c r="IJ19" s="198"/>
      <c r="IK19" s="198"/>
      <c r="IL19" s="198"/>
      <c r="IM19" s="198"/>
      <c r="IN19" s="198"/>
      <c r="IO19" s="198"/>
      <c r="IP19" s="198"/>
      <c r="IQ19" s="198"/>
      <c r="IR19" s="198"/>
      <c r="IS19" s="198"/>
      <c r="IT19" s="198"/>
      <c r="IU19" s="198"/>
      <c r="IV19" s="198"/>
    </row>
    <row r="20" s="199" customFormat="true" ht="12.75" hidden="false" customHeight="true" outlineLevel="0" collapsed="false">
      <c r="A20" s="157" t="n">
        <f aca="false">IF(Eingabe!A24="","",Eingabe!A24)</f>
        <v>17</v>
      </c>
      <c r="B20" s="157"/>
      <c r="C20" s="157"/>
      <c r="D20" s="158" t="str">
        <f aca="false">IF(Eingabe!B24="","",Eingabe!B24)</f>
        <v/>
      </c>
      <c r="E20" s="158"/>
      <c r="F20" s="158"/>
      <c r="G20" s="158"/>
      <c r="H20" s="159" t="str">
        <f aca="false">IF(Eingabe!C24="","",Eingabe!C24)</f>
        <v/>
      </c>
      <c r="I20" s="159"/>
      <c r="J20" s="159"/>
      <c r="K20" s="159"/>
      <c r="L20" s="160" t="str">
        <f aca="false">IF(Eingabe!D24="","",Eingabe!D24)</f>
        <v/>
      </c>
      <c r="M20" s="160"/>
      <c r="N20" s="160"/>
      <c r="O20" s="160"/>
      <c r="P20" s="160"/>
      <c r="Q20" s="160"/>
      <c r="R20" s="160"/>
      <c r="S20" s="160"/>
      <c r="T20" s="160"/>
      <c r="U20" s="160"/>
      <c r="V20" s="160"/>
      <c r="W20" s="160"/>
      <c r="X20" s="160"/>
      <c r="Y20" s="160"/>
      <c r="Z20" s="160"/>
      <c r="AA20" s="160"/>
      <c r="AB20" s="160"/>
      <c r="AC20" s="160"/>
      <c r="AD20" s="160"/>
      <c r="AE20" s="160"/>
      <c r="AF20" s="160"/>
      <c r="AG20" s="160"/>
      <c r="AH20" s="200" t="str">
        <f aca="false">IF(Eingabe!F24&amp;Eingabe!G24="","",Eingabe!F24&amp;"  /  "&amp;Eingabe!G24)</f>
        <v/>
      </c>
      <c r="AI20" s="200"/>
      <c r="AJ20" s="200"/>
      <c r="AK20" s="200"/>
      <c r="AL20" s="200"/>
      <c r="AM20" s="200"/>
      <c r="AN20" s="200"/>
      <c r="AO20" s="200"/>
      <c r="AP20" s="200"/>
      <c r="AQ20" s="200"/>
      <c r="AR20" s="200"/>
      <c r="AS20" s="200"/>
      <c r="AT20" s="200"/>
      <c r="AU20" s="200"/>
      <c r="AV20" s="200"/>
      <c r="AW20" s="200"/>
      <c r="AX20" s="200"/>
      <c r="AY20" s="200"/>
      <c r="AZ20" s="200"/>
      <c r="BA20" s="200"/>
      <c r="BB20" s="200"/>
      <c r="BC20" s="200"/>
      <c r="BD20" s="200"/>
      <c r="BE20" s="201" t="str">
        <f aca="false">IF(Eingabe!I24="","",Eingabe!I24)</f>
        <v/>
      </c>
      <c r="BF20" s="201"/>
      <c r="BG20" s="201"/>
      <c r="BH20" s="201"/>
      <c r="BI20" s="201"/>
      <c r="BJ20" s="202" t="str">
        <f aca="false">IF(Eingabe!I24="","",Eingabe!I24*Eingabe!B24)</f>
        <v/>
      </c>
      <c r="BK20" s="202"/>
      <c r="BL20" s="202"/>
      <c r="BM20" s="202"/>
      <c r="BN20" s="202"/>
      <c r="BO20" s="198"/>
      <c r="BP20" s="198"/>
      <c r="BQ20" s="198"/>
      <c r="BR20" s="198"/>
      <c r="BS20" s="198"/>
      <c r="BT20" s="198"/>
      <c r="BU20" s="198"/>
      <c r="BV20" s="198"/>
      <c r="BW20" s="198"/>
      <c r="BX20" s="198"/>
      <c r="BY20" s="198"/>
      <c r="BZ20" s="198"/>
      <c r="CA20" s="198"/>
      <c r="CB20" s="198"/>
      <c r="CC20" s="198"/>
      <c r="CD20" s="198"/>
      <c r="CE20" s="198"/>
      <c r="CF20" s="198"/>
      <c r="CG20" s="198"/>
      <c r="CH20" s="198"/>
      <c r="CI20" s="198"/>
      <c r="CJ20" s="198"/>
      <c r="CK20" s="198"/>
      <c r="CL20" s="198"/>
      <c r="CM20" s="198"/>
      <c r="CN20" s="198"/>
      <c r="CO20" s="198"/>
      <c r="CP20" s="198"/>
      <c r="CQ20" s="198"/>
      <c r="CR20" s="198"/>
      <c r="CS20" s="198"/>
      <c r="CT20" s="198"/>
      <c r="CU20" s="198"/>
      <c r="CV20" s="198"/>
      <c r="CW20" s="198"/>
      <c r="CX20" s="198"/>
      <c r="CY20" s="198"/>
      <c r="CZ20" s="198"/>
      <c r="DA20" s="198"/>
      <c r="DB20" s="198"/>
      <c r="DC20" s="198"/>
      <c r="DD20" s="198"/>
      <c r="DE20" s="198"/>
      <c r="DF20" s="198"/>
      <c r="DG20" s="198"/>
      <c r="DH20" s="198"/>
      <c r="DI20" s="198"/>
      <c r="DJ20" s="198"/>
      <c r="DK20" s="198"/>
      <c r="DL20" s="198"/>
      <c r="DM20" s="198"/>
      <c r="DN20" s="198"/>
      <c r="DO20" s="198"/>
      <c r="DP20" s="198"/>
      <c r="DQ20" s="198"/>
      <c r="DR20" s="198"/>
      <c r="DS20" s="198"/>
      <c r="DT20" s="198"/>
      <c r="DU20" s="198"/>
      <c r="DV20" s="198"/>
      <c r="DW20" s="198"/>
      <c r="DX20" s="198"/>
      <c r="DY20" s="198"/>
      <c r="DZ20" s="198"/>
      <c r="EA20" s="198"/>
      <c r="EB20" s="198"/>
      <c r="EC20" s="198"/>
      <c r="ED20" s="198"/>
      <c r="EE20" s="198"/>
      <c r="EF20" s="198"/>
      <c r="EG20" s="198"/>
      <c r="EH20" s="198"/>
      <c r="EI20" s="198"/>
      <c r="EJ20" s="198"/>
      <c r="EK20" s="198"/>
      <c r="EL20" s="198"/>
      <c r="EM20" s="198"/>
      <c r="EN20" s="198"/>
      <c r="EO20" s="198"/>
      <c r="EP20" s="198"/>
      <c r="EQ20" s="198"/>
      <c r="ER20" s="198"/>
      <c r="ES20" s="198"/>
      <c r="ET20" s="198"/>
      <c r="EU20" s="198"/>
      <c r="EV20" s="198"/>
      <c r="EW20" s="198"/>
      <c r="EX20" s="198"/>
      <c r="EY20" s="198"/>
      <c r="EZ20" s="198"/>
      <c r="FA20" s="198"/>
      <c r="FB20" s="198"/>
      <c r="FC20" s="198"/>
      <c r="FD20" s="198"/>
      <c r="FE20" s="198"/>
      <c r="FF20" s="198"/>
      <c r="FG20" s="198"/>
      <c r="FH20" s="198"/>
      <c r="FI20" s="198"/>
      <c r="FJ20" s="198"/>
      <c r="FK20" s="198"/>
      <c r="FL20" s="198"/>
      <c r="FM20" s="198"/>
      <c r="FN20" s="198"/>
      <c r="FO20" s="198"/>
      <c r="FP20" s="198"/>
      <c r="FQ20" s="198"/>
      <c r="FR20" s="198"/>
      <c r="FS20" s="198"/>
      <c r="FT20" s="198"/>
      <c r="FU20" s="198"/>
      <c r="FV20" s="198"/>
      <c r="FW20" s="198"/>
      <c r="FX20" s="198"/>
      <c r="FY20" s="198"/>
      <c r="FZ20" s="198"/>
      <c r="GA20" s="198"/>
      <c r="GB20" s="198"/>
      <c r="GC20" s="198"/>
      <c r="GD20" s="198"/>
      <c r="GE20" s="198"/>
      <c r="GF20" s="198"/>
      <c r="GG20" s="198"/>
      <c r="GH20" s="198"/>
      <c r="GI20" s="198"/>
      <c r="GJ20" s="198"/>
      <c r="GK20" s="198"/>
      <c r="GL20" s="198"/>
      <c r="GM20" s="198"/>
      <c r="GN20" s="198"/>
      <c r="GO20" s="198"/>
      <c r="GP20" s="198"/>
      <c r="GQ20" s="198"/>
      <c r="GR20" s="198"/>
      <c r="GS20" s="198"/>
      <c r="GT20" s="198"/>
      <c r="GU20" s="198"/>
      <c r="GV20" s="198"/>
      <c r="GW20" s="198"/>
      <c r="GX20" s="198"/>
      <c r="GY20" s="198"/>
      <c r="GZ20" s="198"/>
      <c r="HA20" s="198"/>
      <c r="HB20" s="198"/>
      <c r="HC20" s="198"/>
      <c r="HD20" s="198"/>
      <c r="HE20" s="198"/>
      <c r="HF20" s="198"/>
      <c r="HG20" s="198"/>
      <c r="HH20" s="198"/>
      <c r="HI20" s="198"/>
      <c r="HJ20" s="198"/>
      <c r="HK20" s="198"/>
      <c r="HL20" s="198"/>
      <c r="HM20" s="198"/>
      <c r="HN20" s="198"/>
      <c r="HO20" s="198"/>
      <c r="HP20" s="198"/>
      <c r="HQ20" s="198"/>
      <c r="HR20" s="198"/>
      <c r="HS20" s="198"/>
      <c r="HT20" s="198"/>
      <c r="HU20" s="198"/>
      <c r="HV20" s="198"/>
      <c r="HW20" s="198"/>
      <c r="HX20" s="198"/>
      <c r="HY20" s="198"/>
      <c r="HZ20" s="198"/>
      <c r="IA20" s="198"/>
      <c r="IB20" s="198"/>
      <c r="IC20" s="198"/>
      <c r="ID20" s="198"/>
      <c r="IE20" s="198"/>
      <c r="IF20" s="198"/>
      <c r="IG20" s="198"/>
      <c r="IH20" s="198"/>
      <c r="II20" s="198"/>
      <c r="IJ20" s="198"/>
      <c r="IK20" s="198"/>
      <c r="IL20" s="198"/>
      <c r="IM20" s="198"/>
      <c r="IN20" s="198"/>
      <c r="IO20" s="198"/>
      <c r="IP20" s="198"/>
      <c r="IQ20" s="198"/>
      <c r="IR20" s="198"/>
      <c r="IS20" s="198"/>
      <c r="IT20" s="198"/>
      <c r="IU20" s="198"/>
      <c r="IV20" s="198"/>
    </row>
    <row r="21" s="199" customFormat="true" ht="12.75" hidden="false" customHeight="true" outlineLevel="0" collapsed="false">
      <c r="A21" s="157" t="n">
        <f aca="false">IF(Eingabe!A25="","",Eingabe!A25)</f>
        <v>18</v>
      </c>
      <c r="B21" s="157"/>
      <c r="C21" s="157"/>
      <c r="D21" s="158" t="str">
        <f aca="false">IF(Eingabe!B25="","",Eingabe!B25)</f>
        <v/>
      </c>
      <c r="E21" s="158"/>
      <c r="F21" s="158"/>
      <c r="G21" s="158"/>
      <c r="H21" s="159" t="str">
        <f aca="false">IF(Eingabe!C25="","",Eingabe!C25)</f>
        <v/>
      </c>
      <c r="I21" s="159"/>
      <c r="J21" s="159"/>
      <c r="K21" s="159"/>
      <c r="L21" s="160" t="str">
        <f aca="false">IF(Eingabe!D25="","",Eingabe!D25)</f>
        <v/>
      </c>
      <c r="M21" s="160"/>
      <c r="N21" s="160"/>
      <c r="O21" s="160"/>
      <c r="P21" s="160"/>
      <c r="Q21" s="160"/>
      <c r="R21" s="160"/>
      <c r="S21" s="160"/>
      <c r="T21" s="160"/>
      <c r="U21" s="160"/>
      <c r="V21" s="160"/>
      <c r="W21" s="160"/>
      <c r="X21" s="160"/>
      <c r="Y21" s="160"/>
      <c r="Z21" s="160"/>
      <c r="AA21" s="160"/>
      <c r="AB21" s="160"/>
      <c r="AC21" s="160"/>
      <c r="AD21" s="160"/>
      <c r="AE21" s="160"/>
      <c r="AF21" s="160"/>
      <c r="AG21" s="160"/>
      <c r="AH21" s="200" t="str">
        <f aca="false">IF(Eingabe!F25&amp;Eingabe!G25="","",Eingabe!F25&amp;"  /  "&amp;Eingabe!G25)</f>
        <v/>
      </c>
      <c r="AI21" s="200"/>
      <c r="AJ21" s="200"/>
      <c r="AK21" s="200"/>
      <c r="AL21" s="200"/>
      <c r="AM21" s="200"/>
      <c r="AN21" s="200"/>
      <c r="AO21" s="200"/>
      <c r="AP21" s="200"/>
      <c r="AQ21" s="200"/>
      <c r="AR21" s="200"/>
      <c r="AS21" s="200"/>
      <c r="AT21" s="200"/>
      <c r="AU21" s="200"/>
      <c r="AV21" s="200"/>
      <c r="AW21" s="200"/>
      <c r="AX21" s="200"/>
      <c r="AY21" s="200"/>
      <c r="AZ21" s="200"/>
      <c r="BA21" s="200"/>
      <c r="BB21" s="200"/>
      <c r="BC21" s="200"/>
      <c r="BD21" s="200"/>
      <c r="BE21" s="201" t="str">
        <f aca="false">IF(Eingabe!I25="","",Eingabe!I25)</f>
        <v/>
      </c>
      <c r="BF21" s="201"/>
      <c r="BG21" s="201"/>
      <c r="BH21" s="201"/>
      <c r="BI21" s="201"/>
      <c r="BJ21" s="202" t="str">
        <f aca="false">IF(Eingabe!I25="","",Eingabe!I25*Eingabe!B25)</f>
        <v/>
      </c>
      <c r="BK21" s="202"/>
      <c r="BL21" s="202"/>
      <c r="BM21" s="202"/>
      <c r="BN21" s="202"/>
      <c r="BO21" s="198"/>
      <c r="BP21" s="198"/>
      <c r="BQ21" s="198"/>
      <c r="BR21" s="198"/>
      <c r="BS21" s="198"/>
      <c r="BT21" s="198"/>
      <c r="BU21" s="198"/>
      <c r="BV21" s="198"/>
      <c r="BW21" s="198"/>
      <c r="BX21" s="198"/>
      <c r="BY21" s="198"/>
      <c r="BZ21" s="198"/>
      <c r="CA21" s="198"/>
      <c r="CB21" s="198"/>
      <c r="CC21" s="198"/>
      <c r="CD21" s="198"/>
      <c r="CE21" s="198"/>
      <c r="CF21" s="198"/>
      <c r="CG21" s="198"/>
      <c r="CH21" s="198"/>
      <c r="CI21" s="198"/>
      <c r="CJ21" s="198"/>
      <c r="CK21" s="198"/>
      <c r="CL21" s="198"/>
      <c r="CM21" s="198"/>
      <c r="CN21" s="198"/>
      <c r="CO21" s="198"/>
      <c r="CP21" s="198"/>
      <c r="CQ21" s="198"/>
      <c r="CR21" s="198"/>
      <c r="CS21" s="198"/>
      <c r="CT21" s="198"/>
      <c r="CU21" s="198"/>
      <c r="CV21" s="198"/>
      <c r="CW21" s="198"/>
      <c r="CX21" s="198"/>
      <c r="CY21" s="198"/>
      <c r="CZ21" s="198"/>
      <c r="DA21" s="198"/>
      <c r="DB21" s="198"/>
      <c r="DC21" s="198"/>
      <c r="DD21" s="198"/>
      <c r="DE21" s="198"/>
      <c r="DF21" s="198"/>
      <c r="DG21" s="198"/>
      <c r="DH21" s="198"/>
      <c r="DI21" s="198"/>
      <c r="DJ21" s="198"/>
      <c r="DK21" s="198"/>
      <c r="DL21" s="198"/>
      <c r="DM21" s="198"/>
      <c r="DN21" s="198"/>
      <c r="DO21" s="198"/>
      <c r="DP21" s="198"/>
      <c r="DQ21" s="198"/>
      <c r="DR21" s="198"/>
      <c r="DS21" s="198"/>
      <c r="DT21" s="198"/>
      <c r="DU21" s="198"/>
      <c r="DV21" s="198"/>
      <c r="DW21" s="198"/>
      <c r="DX21" s="198"/>
      <c r="DY21" s="198"/>
      <c r="DZ21" s="198"/>
      <c r="EA21" s="198"/>
      <c r="EB21" s="198"/>
      <c r="EC21" s="198"/>
      <c r="ED21" s="198"/>
      <c r="EE21" s="198"/>
      <c r="EF21" s="198"/>
      <c r="EG21" s="198"/>
      <c r="EH21" s="198"/>
      <c r="EI21" s="198"/>
      <c r="EJ21" s="198"/>
      <c r="EK21" s="198"/>
      <c r="EL21" s="198"/>
      <c r="EM21" s="198"/>
      <c r="EN21" s="198"/>
      <c r="EO21" s="198"/>
      <c r="EP21" s="198"/>
      <c r="EQ21" s="198"/>
      <c r="ER21" s="198"/>
      <c r="ES21" s="198"/>
      <c r="ET21" s="198"/>
      <c r="EU21" s="198"/>
      <c r="EV21" s="198"/>
      <c r="EW21" s="198"/>
      <c r="EX21" s="198"/>
      <c r="EY21" s="198"/>
      <c r="EZ21" s="198"/>
      <c r="FA21" s="198"/>
      <c r="FB21" s="198"/>
      <c r="FC21" s="198"/>
      <c r="FD21" s="198"/>
      <c r="FE21" s="198"/>
      <c r="FF21" s="198"/>
      <c r="FG21" s="198"/>
      <c r="FH21" s="198"/>
      <c r="FI21" s="198"/>
      <c r="FJ21" s="198"/>
      <c r="FK21" s="198"/>
      <c r="FL21" s="198"/>
      <c r="FM21" s="198"/>
      <c r="FN21" s="198"/>
      <c r="FO21" s="198"/>
      <c r="FP21" s="198"/>
      <c r="FQ21" s="198"/>
      <c r="FR21" s="198"/>
      <c r="FS21" s="198"/>
      <c r="FT21" s="198"/>
      <c r="FU21" s="198"/>
      <c r="FV21" s="198"/>
      <c r="FW21" s="198"/>
      <c r="FX21" s="198"/>
      <c r="FY21" s="198"/>
      <c r="FZ21" s="198"/>
      <c r="GA21" s="198"/>
      <c r="GB21" s="198"/>
      <c r="GC21" s="198"/>
      <c r="GD21" s="198"/>
      <c r="GE21" s="198"/>
      <c r="GF21" s="198"/>
      <c r="GG21" s="198"/>
      <c r="GH21" s="198"/>
      <c r="GI21" s="198"/>
      <c r="GJ21" s="198"/>
      <c r="GK21" s="198"/>
      <c r="GL21" s="198"/>
      <c r="GM21" s="198"/>
      <c r="GN21" s="198"/>
      <c r="GO21" s="198"/>
      <c r="GP21" s="198"/>
      <c r="GQ21" s="198"/>
      <c r="GR21" s="198"/>
      <c r="GS21" s="198"/>
      <c r="GT21" s="198"/>
      <c r="GU21" s="198"/>
      <c r="GV21" s="198"/>
      <c r="GW21" s="198"/>
      <c r="GX21" s="198"/>
      <c r="GY21" s="198"/>
      <c r="GZ21" s="198"/>
      <c r="HA21" s="198"/>
      <c r="HB21" s="198"/>
      <c r="HC21" s="198"/>
      <c r="HD21" s="198"/>
      <c r="HE21" s="198"/>
      <c r="HF21" s="198"/>
      <c r="HG21" s="198"/>
      <c r="HH21" s="198"/>
      <c r="HI21" s="198"/>
      <c r="HJ21" s="198"/>
      <c r="HK21" s="198"/>
      <c r="HL21" s="198"/>
      <c r="HM21" s="198"/>
      <c r="HN21" s="198"/>
      <c r="HO21" s="198"/>
      <c r="HP21" s="198"/>
      <c r="HQ21" s="198"/>
      <c r="HR21" s="198"/>
      <c r="HS21" s="198"/>
      <c r="HT21" s="198"/>
      <c r="HU21" s="198"/>
      <c r="HV21" s="198"/>
      <c r="HW21" s="198"/>
      <c r="HX21" s="198"/>
      <c r="HY21" s="198"/>
      <c r="HZ21" s="198"/>
      <c r="IA21" s="198"/>
      <c r="IB21" s="198"/>
      <c r="IC21" s="198"/>
      <c r="ID21" s="198"/>
      <c r="IE21" s="198"/>
      <c r="IF21" s="198"/>
      <c r="IG21" s="198"/>
      <c r="IH21" s="198"/>
      <c r="II21" s="198"/>
      <c r="IJ21" s="198"/>
      <c r="IK21" s="198"/>
      <c r="IL21" s="198"/>
      <c r="IM21" s="198"/>
      <c r="IN21" s="198"/>
      <c r="IO21" s="198"/>
      <c r="IP21" s="198"/>
      <c r="IQ21" s="198"/>
      <c r="IR21" s="198"/>
      <c r="IS21" s="198"/>
      <c r="IT21" s="198"/>
      <c r="IU21" s="198"/>
      <c r="IV21" s="198"/>
    </row>
    <row r="22" s="199" customFormat="true" ht="12.75" hidden="false" customHeight="true" outlineLevel="0" collapsed="false">
      <c r="A22" s="157" t="n">
        <f aca="false">IF(Eingabe!A26="","",Eingabe!A26)</f>
        <v>19</v>
      </c>
      <c r="B22" s="157"/>
      <c r="C22" s="157"/>
      <c r="D22" s="158" t="str">
        <f aca="false">IF(Eingabe!B26="","",Eingabe!B26)</f>
        <v/>
      </c>
      <c r="E22" s="158"/>
      <c r="F22" s="158"/>
      <c r="G22" s="158"/>
      <c r="H22" s="159" t="str">
        <f aca="false">IF(Eingabe!C26="","",Eingabe!C26)</f>
        <v/>
      </c>
      <c r="I22" s="159"/>
      <c r="J22" s="159"/>
      <c r="K22" s="159"/>
      <c r="L22" s="160" t="str">
        <f aca="false">IF(Eingabe!D26="","",Eingabe!D26)</f>
        <v/>
      </c>
      <c r="M22" s="160"/>
      <c r="N22" s="160"/>
      <c r="O22" s="160"/>
      <c r="P22" s="160"/>
      <c r="Q22" s="160"/>
      <c r="R22" s="160"/>
      <c r="S22" s="160"/>
      <c r="T22" s="160"/>
      <c r="U22" s="160"/>
      <c r="V22" s="160"/>
      <c r="W22" s="160"/>
      <c r="X22" s="160"/>
      <c r="Y22" s="160"/>
      <c r="Z22" s="160"/>
      <c r="AA22" s="160"/>
      <c r="AB22" s="160"/>
      <c r="AC22" s="160"/>
      <c r="AD22" s="160"/>
      <c r="AE22" s="160"/>
      <c r="AF22" s="160"/>
      <c r="AG22" s="160"/>
      <c r="AH22" s="200" t="str">
        <f aca="false">IF(Eingabe!F26&amp;Eingabe!G26="","",Eingabe!F26&amp;"  /  "&amp;Eingabe!G26)</f>
        <v/>
      </c>
      <c r="AI22" s="200"/>
      <c r="AJ22" s="200"/>
      <c r="AK22" s="200"/>
      <c r="AL22" s="200"/>
      <c r="AM22" s="200"/>
      <c r="AN22" s="200"/>
      <c r="AO22" s="200"/>
      <c r="AP22" s="200"/>
      <c r="AQ22" s="200"/>
      <c r="AR22" s="200"/>
      <c r="AS22" s="200"/>
      <c r="AT22" s="200"/>
      <c r="AU22" s="200"/>
      <c r="AV22" s="200"/>
      <c r="AW22" s="200"/>
      <c r="AX22" s="200"/>
      <c r="AY22" s="200"/>
      <c r="AZ22" s="200"/>
      <c r="BA22" s="200"/>
      <c r="BB22" s="200"/>
      <c r="BC22" s="200"/>
      <c r="BD22" s="200"/>
      <c r="BE22" s="201" t="str">
        <f aca="false">IF(Eingabe!I26="","",Eingabe!I26)</f>
        <v/>
      </c>
      <c r="BF22" s="201"/>
      <c r="BG22" s="201"/>
      <c r="BH22" s="201"/>
      <c r="BI22" s="201"/>
      <c r="BJ22" s="202" t="str">
        <f aca="false">IF(Eingabe!I26="","",Eingabe!I26*Eingabe!B26)</f>
        <v/>
      </c>
      <c r="BK22" s="202"/>
      <c r="BL22" s="202"/>
      <c r="BM22" s="202"/>
      <c r="BN22" s="202"/>
      <c r="BO22" s="198"/>
      <c r="BP22" s="198"/>
      <c r="BQ22" s="198"/>
      <c r="BR22" s="198"/>
      <c r="BS22" s="198"/>
      <c r="BT22" s="198"/>
      <c r="BU22" s="198"/>
      <c r="BV22" s="198"/>
      <c r="BW22" s="198"/>
      <c r="BX22" s="198"/>
      <c r="BY22" s="198"/>
      <c r="BZ22" s="198"/>
      <c r="CA22" s="198"/>
      <c r="CB22" s="198"/>
      <c r="CC22" s="198"/>
      <c r="CD22" s="198"/>
      <c r="CE22" s="198"/>
      <c r="CF22" s="198"/>
      <c r="CG22" s="198"/>
      <c r="CH22" s="198"/>
      <c r="CI22" s="198"/>
      <c r="CJ22" s="198"/>
      <c r="CK22" s="198"/>
      <c r="CL22" s="198"/>
      <c r="CM22" s="198"/>
      <c r="CN22" s="198"/>
      <c r="CO22" s="198"/>
      <c r="CP22" s="198"/>
      <c r="CQ22" s="198"/>
      <c r="CR22" s="198"/>
      <c r="CS22" s="198"/>
      <c r="CT22" s="198"/>
      <c r="CU22" s="198"/>
      <c r="CV22" s="198"/>
      <c r="CW22" s="198"/>
      <c r="CX22" s="198"/>
      <c r="CY22" s="198"/>
      <c r="CZ22" s="198"/>
      <c r="DA22" s="198"/>
      <c r="DB22" s="198"/>
      <c r="DC22" s="198"/>
      <c r="DD22" s="198"/>
      <c r="DE22" s="198"/>
      <c r="DF22" s="198"/>
      <c r="DG22" s="198"/>
      <c r="DH22" s="198"/>
      <c r="DI22" s="198"/>
      <c r="DJ22" s="198"/>
      <c r="DK22" s="198"/>
      <c r="DL22" s="198"/>
      <c r="DM22" s="198"/>
      <c r="DN22" s="198"/>
      <c r="DO22" s="198"/>
      <c r="DP22" s="198"/>
      <c r="DQ22" s="198"/>
      <c r="DR22" s="198"/>
      <c r="DS22" s="198"/>
      <c r="DT22" s="198"/>
      <c r="DU22" s="198"/>
      <c r="DV22" s="198"/>
      <c r="DW22" s="198"/>
      <c r="DX22" s="198"/>
      <c r="DY22" s="198"/>
      <c r="DZ22" s="198"/>
      <c r="EA22" s="198"/>
      <c r="EB22" s="198"/>
      <c r="EC22" s="198"/>
      <c r="ED22" s="198"/>
      <c r="EE22" s="198"/>
      <c r="EF22" s="198"/>
      <c r="EG22" s="198"/>
      <c r="EH22" s="198"/>
      <c r="EI22" s="198"/>
      <c r="EJ22" s="198"/>
      <c r="EK22" s="198"/>
      <c r="EL22" s="198"/>
      <c r="EM22" s="198"/>
      <c r="EN22" s="198"/>
      <c r="EO22" s="198"/>
      <c r="EP22" s="198"/>
      <c r="EQ22" s="198"/>
      <c r="ER22" s="198"/>
      <c r="ES22" s="198"/>
      <c r="ET22" s="198"/>
      <c r="EU22" s="198"/>
      <c r="EV22" s="198"/>
      <c r="EW22" s="198"/>
      <c r="EX22" s="198"/>
      <c r="EY22" s="198"/>
      <c r="EZ22" s="198"/>
      <c r="FA22" s="198"/>
      <c r="FB22" s="198"/>
      <c r="FC22" s="198"/>
      <c r="FD22" s="198"/>
      <c r="FE22" s="198"/>
      <c r="FF22" s="198"/>
      <c r="FG22" s="198"/>
      <c r="FH22" s="198"/>
      <c r="FI22" s="198"/>
      <c r="FJ22" s="198"/>
      <c r="FK22" s="198"/>
      <c r="FL22" s="198"/>
      <c r="FM22" s="198"/>
      <c r="FN22" s="198"/>
      <c r="FO22" s="198"/>
      <c r="FP22" s="198"/>
      <c r="FQ22" s="198"/>
      <c r="FR22" s="198"/>
      <c r="FS22" s="198"/>
      <c r="FT22" s="198"/>
      <c r="FU22" s="198"/>
      <c r="FV22" s="198"/>
      <c r="FW22" s="198"/>
      <c r="FX22" s="198"/>
      <c r="FY22" s="198"/>
      <c r="FZ22" s="198"/>
      <c r="GA22" s="198"/>
      <c r="GB22" s="198"/>
      <c r="GC22" s="198"/>
      <c r="GD22" s="198"/>
      <c r="GE22" s="198"/>
      <c r="GF22" s="198"/>
      <c r="GG22" s="198"/>
      <c r="GH22" s="198"/>
      <c r="GI22" s="198"/>
      <c r="GJ22" s="198"/>
      <c r="GK22" s="198"/>
      <c r="GL22" s="198"/>
      <c r="GM22" s="198"/>
      <c r="GN22" s="198"/>
      <c r="GO22" s="198"/>
      <c r="GP22" s="198"/>
      <c r="GQ22" s="198"/>
      <c r="GR22" s="198"/>
      <c r="GS22" s="198"/>
      <c r="GT22" s="198"/>
      <c r="GU22" s="198"/>
      <c r="GV22" s="198"/>
      <c r="GW22" s="198"/>
      <c r="GX22" s="198"/>
      <c r="GY22" s="198"/>
      <c r="GZ22" s="198"/>
      <c r="HA22" s="198"/>
      <c r="HB22" s="198"/>
      <c r="HC22" s="198"/>
      <c r="HD22" s="198"/>
      <c r="HE22" s="198"/>
      <c r="HF22" s="198"/>
      <c r="HG22" s="198"/>
      <c r="HH22" s="198"/>
      <c r="HI22" s="198"/>
      <c r="HJ22" s="198"/>
      <c r="HK22" s="198"/>
      <c r="HL22" s="198"/>
      <c r="HM22" s="198"/>
      <c r="HN22" s="198"/>
      <c r="HO22" s="198"/>
      <c r="HP22" s="198"/>
      <c r="HQ22" s="198"/>
      <c r="HR22" s="198"/>
      <c r="HS22" s="198"/>
      <c r="HT22" s="198"/>
      <c r="HU22" s="198"/>
      <c r="HV22" s="198"/>
      <c r="HW22" s="198"/>
      <c r="HX22" s="198"/>
      <c r="HY22" s="198"/>
      <c r="HZ22" s="198"/>
      <c r="IA22" s="198"/>
      <c r="IB22" s="198"/>
      <c r="IC22" s="198"/>
      <c r="ID22" s="198"/>
      <c r="IE22" s="198"/>
      <c r="IF22" s="198"/>
      <c r="IG22" s="198"/>
      <c r="IH22" s="198"/>
      <c r="II22" s="198"/>
      <c r="IJ22" s="198"/>
      <c r="IK22" s="198"/>
      <c r="IL22" s="198"/>
      <c r="IM22" s="198"/>
      <c r="IN22" s="198"/>
      <c r="IO22" s="198"/>
      <c r="IP22" s="198"/>
      <c r="IQ22" s="198"/>
      <c r="IR22" s="198"/>
      <c r="IS22" s="198"/>
      <c r="IT22" s="198"/>
      <c r="IU22" s="198"/>
      <c r="IV22" s="198"/>
    </row>
    <row r="23" s="199" customFormat="true" ht="12.75" hidden="false" customHeight="true" outlineLevel="0" collapsed="false">
      <c r="A23" s="157" t="n">
        <f aca="false">IF(Eingabe!A27="","",Eingabe!A27)</f>
        <v>20</v>
      </c>
      <c r="B23" s="157"/>
      <c r="C23" s="157"/>
      <c r="D23" s="158" t="str">
        <f aca="false">IF(Eingabe!B27="","",Eingabe!B27)</f>
        <v/>
      </c>
      <c r="E23" s="158"/>
      <c r="F23" s="158"/>
      <c r="G23" s="158"/>
      <c r="H23" s="159" t="str">
        <f aca="false">IF(Eingabe!C27="","",Eingabe!C27)</f>
        <v/>
      </c>
      <c r="I23" s="159"/>
      <c r="J23" s="159"/>
      <c r="K23" s="159"/>
      <c r="L23" s="160" t="str">
        <f aca="false">IF(Eingabe!D27="","",Eingabe!D27)</f>
        <v/>
      </c>
      <c r="M23" s="160"/>
      <c r="N23" s="160"/>
      <c r="O23" s="160"/>
      <c r="P23" s="160"/>
      <c r="Q23" s="160"/>
      <c r="R23" s="160"/>
      <c r="S23" s="160"/>
      <c r="T23" s="160"/>
      <c r="U23" s="160"/>
      <c r="V23" s="160"/>
      <c r="W23" s="160"/>
      <c r="X23" s="160"/>
      <c r="Y23" s="160"/>
      <c r="Z23" s="160"/>
      <c r="AA23" s="160"/>
      <c r="AB23" s="160"/>
      <c r="AC23" s="160"/>
      <c r="AD23" s="160"/>
      <c r="AE23" s="160"/>
      <c r="AF23" s="160"/>
      <c r="AG23" s="160"/>
      <c r="AH23" s="200" t="str">
        <f aca="false">IF(Eingabe!F27&amp;Eingabe!G27="","",Eingabe!F27&amp;"  /  "&amp;Eingabe!G27)</f>
        <v/>
      </c>
      <c r="AI23" s="200"/>
      <c r="AJ23" s="200"/>
      <c r="AK23" s="200"/>
      <c r="AL23" s="200"/>
      <c r="AM23" s="200"/>
      <c r="AN23" s="200"/>
      <c r="AO23" s="200"/>
      <c r="AP23" s="200"/>
      <c r="AQ23" s="200"/>
      <c r="AR23" s="200"/>
      <c r="AS23" s="200"/>
      <c r="AT23" s="200"/>
      <c r="AU23" s="200"/>
      <c r="AV23" s="200"/>
      <c r="AW23" s="200"/>
      <c r="AX23" s="200"/>
      <c r="AY23" s="200"/>
      <c r="AZ23" s="200"/>
      <c r="BA23" s="200"/>
      <c r="BB23" s="200"/>
      <c r="BC23" s="200"/>
      <c r="BD23" s="200"/>
      <c r="BE23" s="201" t="str">
        <f aca="false">IF(Eingabe!I27="","",Eingabe!I27)</f>
        <v/>
      </c>
      <c r="BF23" s="201"/>
      <c r="BG23" s="201"/>
      <c r="BH23" s="201"/>
      <c r="BI23" s="201"/>
      <c r="BJ23" s="202" t="str">
        <f aca="false">IF(Eingabe!I27="","",Eingabe!I27*Eingabe!B27)</f>
        <v/>
      </c>
      <c r="BK23" s="202"/>
      <c r="BL23" s="202"/>
      <c r="BM23" s="202"/>
      <c r="BN23" s="202"/>
      <c r="BO23" s="198"/>
      <c r="BP23" s="198"/>
      <c r="BQ23" s="198"/>
      <c r="BR23" s="198"/>
      <c r="BS23" s="198"/>
      <c r="BT23" s="198"/>
      <c r="BU23" s="198"/>
      <c r="BV23" s="198"/>
      <c r="BW23" s="198"/>
      <c r="BX23" s="198"/>
      <c r="BY23" s="198"/>
      <c r="BZ23" s="198"/>
      <c r="CA23" s="198"/>
      <c r="CB23" s="198"/>
      <c r="CC23" s="198"/>
      <c r="CD23" s="198"/>
      <c r="CE23" s="198"/>
      <c r="CF23" s="198"/>
      <c r="CG23" s="198"/>
      <c r="CH23" s="198"/>
      <c r="CI23" s="198"/>
      <c r="CJ23" s="198"/>
      <c r="CK23" s="198"/>
      <c r="CL23" s="198"/>
      <c r="CM23" s="198"/>
      <c r="CN23" s="198"/>
      <c r="CO23" s="198"/>
      <c r="CP23" s="198"/>
      <c r="CQ23" s="198"/>
      <c r="CR23" s="198"/>
      <c r="CS23" s="198"/>
      <c r="CT23" s="198"/>
      <c r="CU23" s="198"/>
      <c r="CV23" s="198"/>
      <c r="CW23" s="198"/>
      <c r="CX23" s="198"/>
      <c r="CY23" s="198"/>
      <c r="CZ23" s="198"/>
      <c r="DA23" s="198"/>
      <c r="DB23" s="198"/>
      <c r="DC23" s="198"/>
      <c r="DD23" s="198"/>
      <c r="DE23" s="198"/>
      <c r="DF23" s="198"/>
      <c r="DG23" s="198"/>
      <c r="DH23" s="198"/>
      <c r="DI23" s="198"/>
      <c r="DJ23" s="198"/>
      <c r="DK23" s="198"/>
      <c r="DL23" s="198"/>
      <c r="DM23" s="198"/>
      <c r="DN23" s="198"/>
      <c r="DO23" s="198"/>
      <c r="DP23" s="198"/>
      <c r="DQ23" s="198"/>
      <c r="DR23" s="198"/>
      <c r="DS23" s="198"/>
      <c r="DT23" s="198"/>
      <c r="DU23" s="198"/>
      <c r="DV23" s="198"/>
      <c r="DW23" s="198"/>
      <c r="DX23" s="198"/>
      <c r="DY23" s="198"/>
      <c r="DZ23" s="198"/>
      <c r="EA23" s="198"/>
      <c r="EB23" s="198"/>
      <c r="EC23" s="198"/>
      <c r="ED23" s="198"/>
      <c r="EE23" s="198"/>
      <c r="EF23" s="198"/>
      <c r="EG23" s="198"/>
      <c r="EH23" s="198"/>
      <c r="EI23" s="198"/>
      <c r="EJ23" s="198"/>
      <c r="EK23" s="198"/>
      <c r="EL23" s="198"/>
      <c r="EM23" s="198"/>
      <c r="EN23" s="198"/>
      <c r="EO23" s="198"/>
      <c r="EP23" s="198"/>
      <c r="EQ23" s="198"/>
      <c r="ER23" s="198"/>
      <c r="ES23" s="198"/>
      <c r="ET23" s="198"/>
      <c r="EU23" s="198"/>
      <c r="EV23" s="198"/>
      <c r="EW23" s="198"/>
      <c r="EX23" s="198"/>
      <c r="EY23" s="198"/>
      <c r="EZ23" s="198"/>
      <c r="FA23" s="198"/>
      <c r="FB23" s="198"/>
      <c r="FC23" s="198"/>
      <c r="FD23" s="198"/>
      <c r="FE23" s="198"/>
      <c r="FF23" s="198"/>
      <c r="FG23" s="198"/>
      <c r="FH23" s="198"/>
      <c r="FI23" s="198"/>
      <c r="FJ23" s="198"/>
      <c r="FK23" s="198"/>
      <c r="FL23" s="198"/>
      <c r="FM23" s="198"/>
      <c r="FN23" s="198"/>
      <c r="FO23" s="198"/>
      <c r="FP23" s="198"/>
      <c r="FQ23" s="198"/>
      <c r="FR23" s="198"/>
      <c r="FS23" s="198"/>
      <c r="FT23" s="198"/>
      <c r="FU23" s="198"/>
      <c r="FV23" s="198"/>
      <c r="FW23" s="198"/>
      <c r="FX23" s="198"/>
      <c r="FY23" s="198"/>
      <c r="FZ23" s="198"/>
      <c r="GA23" s="198"/>
      <c r="GB23" s="198"/>
      <c r="GC23" s="198"/>
      <c r="GD23" s="198"/>
      <c r="GE23" s="198"/>
      <c r="GF23" s="198"/>
      <c r="GG23" s="198"/>
      <c r="GH23" s="198"/>
      <c r="GI23" s="198"/>
      <c r="GJ23" s="198"/>
      <c r="GK23" s="198"/>
      <c r="GL23" s="198"/>
      <c r="GM23" s="198"/>
      <c r="GN23" s="198"/>
      <c r="GO23" s="198"/>
      <c r="GP23" s="198"/>
      <c r="GQ23" s="198"/>
      <c r="GR23" s="198"/>
      <c r="GS23" s="198"/>
      <c r="GT23" s="198"/>
      <c r="GU23" s="198"/>
      <c r="GV23" s="198"/>
      <c r="GW23" s="198"/>
      <c r="GX23" s="198"/>
      <c r="GY23" s="198"/>
      <c r="GZ23" s="198"/>
      <c r="HA23" s="198"/>
      <c r="HB23" s="198"/>
      <c r="HC23" s="198"/>
      <c r="HD23" s="198"/>
      <c r="HE23" s="198"/>
      <c r="HF23" s="198"/>
      <c r="HG23" s="198"/>
      <c r="HH23" s="198"/>
      <c r="HI23" s="198"/>
      <c r="HJ23" s="198"/>
      <c r="HK23" s="198"/>
      <c r="HL23" s="198"/>
      <c r="HM23" s="198"/>
      <c r="HN23" s="198"/>
      <c r="HO23" s="198"/>
      <c r="HP23" s="198"/>
      <c r="HQ23" s="198"/>
      <c r="HR23" s="198"/>
      <c r="HS23" s="198"/>
      <c r="HT23" s="198"/>
      <c r="HU23" s="198"/>
      <c r="HV23" s="198"/>
      <c r="HW23" s="198"/>
      <c r="HX23" s="198"/>
      <c r="HY23" s="198"/>
      <c r="HZ23" s="198"/>
      <c r="IA23" s="198"/>
      <c r="IB23" s="198"/>
      <c r="IC23" s="198"/>
      <c r="ID23" s="198"/>
      <c r="IE23" s="198"/>
      <c r="IF23" s="198"/>
      <c r="IG23" s="198"/>
      <c r="IH23" s="198"/>
      <c r="II23" s="198"/>
      <c r="IJ23" s="198"/>
      <c r="IK23" s="198"/>
      <c r="IL23" s="198"/>
      <c r="IM23" s="198"/>
      <c r="IN23" s="198"/>
      <c r="IO23" s="198"/>
      <c r="IP23" s="198"/>
      <c r="IQ23" s="198"/>
      <c r="IR23" s="198"/>
      <c r="IS23" s="198"/>
      <c r="IT23" s="198"/>
      <c r="IU23" s="198"/>
      <c r="IV23" s="198"/>
    </row>
    <row r="24" s="199" customFormat="true" ht="12.75" hidden="false" customHeight="true" outlineLevel="0" collapsed="false">
      <c r="A24" s="157" t="n">
        <f aca="false">IF(Eingabe!A28="","",Eingabe!A28)</f>
        <v>21</v>
      </c>
      <c r="B24" s="157"/>
      <c r="C24" s="157"/>
      <c r="D24" s="158" t="str">
        <f aca="false">IF(Eingabe!B28="","",Eingabe!B28)</f>
        <v/>
      </c>
      <c r="E24" s="158"/>
      <c r="F24" s="158"/>
      <c r="G24" s="158"/>
      <c r="H24" s="159" t="str">
        <f aca="false">IF(Eingabe!C28="","",Eingabe!C28)</f>
        <v/>
      </c>
      <c r="I24" s="159"/>
      <c r="J24" s="159"/>
      <c r="K24" s="159"/>
      <c r="L24" s="160" t="str">
        <f aca="false">IF(Eingabe!D28="","",Eingabe!D28)</f>
        <v/>
      </c>
      <c r="M24" s="160"/>
      <c r="N24" s="160"/>
      <c r="O24" s="160"/>
      <c r="P24" s="160"/>
      <c r="Q24" s="160"/>
      <c r="R24" s="160"/>
      <c r="S24" s="160"/>
      <c r="T24" s="160"/>
      <c r="U24" s="160"/>
      <c r="V24" s="160"/>
      <c r="W24" s="160"/>
      <c r="X24" s="160"/>
      <c r="Y24" s="160"/>
      <c r="Z24" s="160"/>
      <c r="AA24" s="160"/>
      <c r="AB24" s="160"/>
      <c r="AC24" s="160"/>
      <c r="AD24" s="160"/>
      <c r="AE24" s="160"/>
      <c r="AF24" s="160"/>
      <c r="AG24" s="160"/>
      <c r="AH24" s="200" t="str">
        <f aca="false">IF(Eingabe!F28&amp;Eingabe!G28="","",Eingabe!F28&amp;"  /  "&amp;Eingabe!G28)</f>
        <v/>
      </c>
      <c r="AI24" s="200"/>
      <c r="AJ24" s="200"/>
      <c r="AK24" s="200"/>
      <c r="AL24" s="200"/>
      <c r="AM24" s="200"/>
      <c r="AN24" s="200"/>
      <c r="AO24" s="200"/>
      <c r="AP24" s="200"/>
      <c r="AQ24" s="200"/>
      <c r="AR24" s="200"/>
      <c r="AS24" s="200"/>
      <c r="AT24" s="200"/>
      <c r="AU24" s="200"/>
      <c r="AV24" s="200"/>
      <c r="AW24" s="200"/>
      <c r="AX24" s="200"/>
      <c r="AY24" s="200"/>
      <c r="AZ24" s="200"/>
      <c r="BA24" s="200"/>
      <c r="BB24" s="200"/>
      <c r="BC24" s="200"/>
      <c r="BD24" s="200"/>
      <c r="BE24" s="201" t="str">
        <f aca="false">IF(Eingabe!I28="","",Eingabe!I28)</f>
        <v/>
      </c>
      <c r="BF24" s="201"/>
      <c r="BG24" s="201"/>
      <c r="BH24" s="201"/>
      <c r="BI24" s="201"/>
      <c r="BJ24" s="202" t="str">
        <f aca="false">IF(Eingabe!I28="","",Eingabe!I28*Eingabe!B28)</f>
        <v/>
      </c>
      <c r="BK24" s="202"/>
      <c r="BL24" s="202"/>
      <c r="BM24" s="202"/>
      <c r="BN24" s="202"/>
      <c r="BO24" s="198"/>
      <c r="BP24" s="198"/>
      <c r="BQ24" s="198"/>
      <c r="BR24" s="198"/>
      <c r="BS24" s="198"/>
      <c r="BT24" s="198"/>
      <c r="BU24" s="198"/>
      <c r="BV24" s="198"/>
      <c r="BW24" s="198"/>
      <c r="BX24" s="198"/>
      <c r="BY24" s="198"/>
      <c r="BZ24" s="198"/>
      <c r="CA24" s="198"/>
      <c r="CB24" s="198"/>
      <c r="CC24" s="198"/>
      <c r="CD24" s="198"/>
      <c r="CE24" s="198"/>
      <c r="CF24" s="198"/>
      <c r="CG24" s="198"/>
      <c r="CH24" s="198"/>
      <c r="CI24" s="198"/>
      <c r="CJ24" s="198"/>
      <c r="CK24" s="198"/>
      <c r="CL24" s="198"/>
      <c r="CM24" s="198"/>
      <c r="CN24" s="198"/>
      <c r="CO24" s="198"/>
      <c r="CP24" s="198"/>
      <c r="CQ24" s="198"/>
      <c r="CR24" s="198"/>
      <c r="CS24" s="198"/>
      <c r="CT24" s="198"/>
      <c r="CU24" s="198"/>
      <c r="CV24" s="198"/>
      <c r="CW24" s="198"/>
      <c r="CX24" s="198"/>
      <c r="CY24" s="198"/>
      <c r="CZ24" s="198"/>
      <c r="DA24" s="198"/>
      <c r="DB24" s="198"/>
      <c r="DC24" s="198"/>
      <c r="DD24" s="198"/>
      <c r="DE24" s="198"/>
      <c r="DF24" s="198"/>
      <c r="DG24" s="198"/>
      <c r="DH24" s="198"/>
      <c r="DI24" s="198"/>
      <c r="DJ24" s="198"/>
      <c r="DK24" s="198"/>
      <c r="DL24" s="198"/>
      <c r="DM24" s="198"/>
      <c r="DN24" s="198"/>
      <c r="DO24" s="198"/>
      <c r="DP24" s="198"/>
      <c r="DQ24" s="198"/>
      <c r="DR24" s="198"/>
      <c r="DS24" s="198"/>
      <c r="DT24" s="198"/>
      <c r="DU24" s="198"/>
      <c r="DV24" s="198"/>
      <c r="DW24" s="198"/>
      <c r="DX24" s="198"/>
      <c r="DY24" s="198"/>
      <c r="DZ24" s="198"/>
      <c r="EA24" s="198"/>
      <c r="EB24" s="198"/>
      <c r="EC24" s="198"/>
      <c r="ED24" s="198"/>
      <c r="EE24" s="198"/>
      <c r="EF24" s="198"/>
      <c r="EG24" s="198"/>
      <c r="EH24" s="198"/>
      <c r="EI24" s="198"/>
      <c r="EJ24" s="198"/>
      <c r="EK24" s="198"/>
      <c r="EL24" s="198"/>
      <c r="EM24" s="198"/>
      <c r="EN24" s="198"/>
      <c r="EO24" s="198"/>
      <c r="EP24" s="198"/>
      <c r="EQ24" s="198"/>
      <c r="ER24" s="198"/>
      <c r="ES24" s="198"/>
      <c r="ET24" s="198"/>
      <c r="EU24" s="198"/>
      <c r="EV24" s="198"/>
      <c r="EW24" s="198"/>
      <c r="EX24" s="198"/>
      <c r="EY24" s="198"/>
      <c r="EZ24" s="198"/>
      <c r="FA24" s="198"/>
      <c r="FB24" s="198"/>
      <c r="FC24" s="198"/>
      <c r="FD24" s="198"/>
      <c r="FE24" s="198"/>
      <c r="FF24" s="198"/>
      <c r="FG24" s="198"/>
      <c r="FH24" s="198"/>
      <c r="FI24" s="198"/>
      <c r="FJ24" s="198"/>
      <c r="FK24" s="198"/>
      <c r="FL24" s="198"/>
      <c r="FM24" s="198"/>
      <c r="FN24" s="198"/>
      <c r="FO24" s="198"/>
      <c r="FP24" s="198"/>
      <c r="FQ24" s="198"/>
      <c r="FR24" s="198"/>
      <c r="FS24" s="198"/>
      <c r="FT24" s="198"/>
      <c r="FU24" s="198"/>
      <c r="FV24" s="198"/>
      <c r="FW24" s="198"/>
      <c r="FX24" s="198"/>
      <c r="FY24" s="198"/>
      <c r="FZ24" s="198"/>
      <c r="GA24" s="198"/>
      <c r="GB24" s="198"/>
      <c r="GC24" s="198"/>
      <c r="GD24" s="198"/>
      <c r="GE24" s="198"/>
      <c r="GF24" s="198"/>
      <c r="GG24" s="198"/>
      <c r="GH24" s="198"/>
      <c r="GI24" s="198"/>
      <c r="GJ24" s="198"/>
      <c r="GK24" s="198"/>
      <c r="GL24" s="198"/>
      <c r="GM24" s="198"/>
      <c r="GN24" s="198"/>
      <c r="GO24" s="198"/>
      <c r="GP24" s="198"/>
      <c r="GQ24" s="198"/>
      <c r="GR24" s="198"/>
      <c r="GS24" s="198"/>
      <c r="GT24" s="198"/>
      <c r="GU24" s="198"/>
      <c r="GV24" s="198"/>
      <c r="GW24" s="198"/>
      <c r="GX24" s="198"/>
      <c r="GY24" s="198"/>
      <c r="GZ24" s="198"/>
      <c r="HA24" s="198"/>
      <c r="HB24" s="198"/>
      <c r="HC24" s="198"/>
      <c r="HD24" s="198"/>
      <c r="HE24" s="198"/>
      <c r="HF24" s="198"/>
      <c r="HG24" s="198"/>
      <c r="HH24" s="198"/>
      <c r="HI24" s="198"/>
      <c r="HJ24" s="198"/>
      <c r="HK24" s="198"/>
      <c r="HL24" s="198"/>
      <c r="HM24" s="198"/>
      <c r="HN24" s="198"/>
      <c r="HO24" s="198"/>
      <c r="HP24" s="198"/>
      <c r="HQ24" s="198"/>
      <c r="HR24" s="198"/>
      <c r="HS24" s="198"/>
      <c r="HT24" s="198"/>
      <c r="HU24" s="198"/>
      <c r="HV24" s="198"/>
      <c r="HW24" s="198"/>
      <c r="HX24" s="198"/>
      <c r="HY24" s="198"/>
      <c r="HZ24" s="198"/>
      <c r="IA24" s="198"/>
      <c r="IB24" s="198"/>
      <c r="IC24" s="198"/>
      <c r="ID24" s="198"/>
      <c r="IE24" s="198"/>
      <c r="IF24" s="198"/>
      <c r="IG24" s="198"/>
      <c r="IH24" s="198"/>
      <c r="II24" s="198"/>
      <c r="IJ24" s="198"/>
      <c r="IK24" s="198"/>
      <c r="IL24" s="198"/>
      <c r="IM24" s="198"/>
      <c r="IN24" s="198"/>
      <c r="IO24" s="198"/>
      <c r="IP24" s="198"/>
      <c r="IQ24" s="198"/>
      <c r="IR24" s="198"/>
      <c r="IS24" s="198"/>
      <c r="IT24" s="198"/>
      <c r="IU24" s="198"/>
      <c r="IV24" s="198"/>
    </row>
    <row r="25" s="199" customFormat="true" ht="12.75" hidden="false" customHeight="true" outlineLevel="0" collapsed="false">
      <c r="A25" s="157" t="n">
        <f aca="false">IF(Eingabe!A29="","",Eingabe!A29)</f>
        <v>22</v>
      </c>
      <c r="B25" s="157"/>
      <c r="C25" s="157"/>
      <c r="D25" s="158" t="str">
        <f aca="false">IF(Eingabe!B29="","",Eingabe!B29)</f>
        <v/>
      </c>
      <c r="E25" s="158"/>
      <c r="F25" s="158"/>
      <c r="G25" s="158"/>
      <c r="H25" s="159" t="str">
        <f aca="false">IF(Eingabe!C29="","",Eingabe!C29)</f>
        <v/>
      </c>
      <c r="I25" s="159"/>
      <c r="J25" s="159"/>
      <c r="K25" s="159"/>
      <c r="L25" s="160" t="str">
        <f aca="false">IF(Eingabe!D29="","",Eingabe!D29)</f>
        <v/>
      </c>
      <c r="M25" s="160"/>
      <c r="N25" s="160"/>
      <c r="O25" s="160"/>
      <c r="P25" s="160"/>
      <c r="Q25" s="160"/>
      <c r="R25" s="160"/>
      <c r="S25" s="160"/>
      <c r="T25" s="160"/>
      <c r="U25" s="160"/>
      <c r="V25" s="160"/>
      <c r="W25" s="160"/>
      <c r="X25" s="160"/>
      <c r="Y25" s="160"/>
      <c r="Z25" s="160"/>
      <c r="AA25" s="160"/>
      <c r="AB25" s="160"/>
      <c r="AC25" s="160"/>
      <c r="AD25" s="160"/>
      <c r="AE25" s="160"/>
      <c r="AF25" s="160"/>
      <c r="AG25" s="160"/>
      <c r="AH25" s="200" t="str">
        <f aca="false">IF(Eingabe!F29&amp;Eingabe!G29="","",Eingabe!F29&amp;"  /  "&amp;Eingabe!G29)</f>
        <v/>
      </c>
      <c r="AI25" s="200"/>
      <c r="AJ25" s="200"/>
      <c r="AK25" s="200"/>
      <c r="AL25" s="200"/>
      <c r="AM25" s="200"/>
      <c r="AN25" s="200"/>
      <c r="AO25" s="200"/>
      <c r="AP25" s="200"/>
      <c r="AQ25" s="200"/>
      <c r="AR25" s="200"/>
      <c r="AS25" s="200"/>
      <c r="AT25" s="200"/>
      <c r="AU25" s="200"/>
      <c r="AV25" s="200"/>
      <c r="AW25" s="200"/>
      <c r="AX25" s="200"/>
      <c r="AY25" s="200"/>
      <c r="AZ25" s="200"/>
      <c r="BA25" s="200"/>
      <c r="BB25" s="200"/>
      <c r="BC25" s="200"/>
      <c r="BD25" s="200"/>
      <c r="BE25" s="201" t="str">
        <f aca="false">IF(Eingabe!I29="","",Eingabe!I29)</f>
        <v/>
      </c>
      <c r="BF25" s="201"/>
      <c r="BG25" s="201"/>
      <c r="BH25" s="201"/>
      <c r="BI25" s="201"/>
      <c r="BJ25" s="202" t="str">
        <f aca="false">IF(Eingabe!I29="","",Eingabe!I29*Eingabe!B29)</f>
        <v/>
      </c>
      <c r="BK25" s="202"/>
      <c r="BL25" s="202"/>
      <c r="BM25" s="202"/>
      <c r="BN25" s="202"/>
      <c r="BO25" s="198"/>
      <c r="BP25" s="198"/>
      <c r="BQ25" s="198"/>
      <c r="BR25" s="198"/>
      <c r="BS25" s="198"/>
      <c r="BT25" s="198"/>
      <c r="BU25" s="198"/>
      <c r="BV25" s="198"/>
      <c r="BW25" s="198"/>
      <c r="BX25" s="198"/>
      <c r="BY25" s="198"/>
      <c r="BZ25" s="198"/>
      <c r="CA25" s="198"/>
      <c r="CB25" s="198"/>
      <c r="CC25" s="198"/>
      <c r="CD25" s="198"/>
      <c r="CE25" s="198"/>
      <c r="CF25" s="198"/>
      <c r="CG25" s="198"/>
      <c r="CH25" s="198"/>
      <c r="CI25" s="198"/>
      <c r="CJ25" s="198"/>
      <c r="CK25" s="198"/>
      <c r="CL25" s="198"/>
      <c r="CM25" s="198"/>
      <c r="CN25" s="198"/>
      <c r="CO25" s="198"/>
      <c r="CP25" s="198"/>
      <c r="CQ25" s="198"/>
      <c r="CR25" s="198"/>
      <c r="CS25" s="198"/>
      <c r="CT25" s="198"/>
      <c r="CU25" s="198"/>
      <c r="CV25" s="198"/>
      <c r="CW25" s="198"/>
      <c r="CX25" s="198"/>
      <c r="CY25" s="198"/>
      <c r="CZ25" s="198"/>
      <c r="DA25" s="198"/>
      <c r="DB25" s="198"/>
      <c r="DC25" s="198"/>
      <c r="DD25" s="198"/>
      <c r="DE25" s="198"/>
      <c r="DF25" s="198"/>
      <c r="DG25" s="198"/>
      <c r="DH25" s="198"/>
      <c r="DI25" s="198"/>
      <c r="DJ25" s="198"/>
      <c r="DK25" s="198"/>
      <c r="DL25" s="198"/>
      <c r="DM25" s="198"/>
      <c r="DN25" s="198"/>
      <c r="DO25" s="198"/>
      <c r="DP25" s="198"/>
      <c r="DQ25" s="198"/>
      <c r="DR25" s="198"/>
      <c r="DS25" s="198"/>
      <c r="DT25" s="198"/>
      <c r="DU25" s="198"/>
      <c r="DV25" s="198"/>
      <c r="DW25" s="198"/>
      <c r="DX25" s="198"/>
      <c r="DY25" s="198"/>
      <c r="DZ25" s="198"/>
      <c r="EA25" s="198"/>
      <c r="EB25" s="198"/>
      <c r="EC25" s="198"/>
      <c r="ED25" s="198"/>
      <c r="EE25" s="198"/>
      <c r="EF25" s="198"/>
      <c r="EG25" s="198"/>
      <c r="EH25" s="198"/>
      <c r="EI25" s="198"/>
      <c r="EJ25" s="198"/>
      <c r="EK25" s="198"/>
      <c r="EL25" s="198"/>
      <c r="EM25" s="198"/>
      <c r="EN25" s="198"/>
      <c r="EO25" s="198"/>
      <c r="EP25" s="198"/>
      <c r="EQ25" s="198"/>
      <c r="ER25" s="198"/>
      <c r="ES25" s="198"/>
      <c r="ET25" s="198"/>
      <c r="EU25" s="198"/>
      <c r="EV25" s="198"/>
      <c r="EW25" s="198"/>
      <c r="EX25" s="198"/>
      <c r="EY25" s="198"/>
      <c r="EZ25" s="198"/>
      <c r="FA25" s="198"/>
      <c r="FB25" s="198"/>
      <c r="FC25" s="198"/>
      <c r="FD25" s="198"/>
      <c r="FE25" s="198"/>
      <c r="FF25" s="198"/>
      <c r="FG25" s="198"/>
      <c r="FH25" s="198"/>
      <c r="FI25" s="198"/>
      <c r="FJ25" s="198"/>
      <c r="FK25" s="198"/>
      <c r="FL25" s="198"/>
      <c r="FM25" s="198"/>
      <c r="FN25" s="198"/>
      <c r="FO25" s="198"/>
      <c r="FP25" s="198"/>
      <c r="FQ25" s="198"/>
      <c r="FR25" s="198"/>
      <c r="FS25" s="198"/>
      <c r="FT25" s="198"/>
      <c r="FU25" s="198"/>
      <c r="FV25" s="198"/>
      <c r="FW25" s="198"/>
      <c r="FX25" s="198"/>
      <c r="FY25" s="198"/>
      <c r="FZ25" s="198"/>
      <c r="GA25" s="198"/>
      <c r="GB25" s="198"/>
      <c r="GC25" s="198"/>
      <c r="GD25" s="198"/>
      <c r="GE25" s="198"/>
      <c r="GF25" s="198"/>
      <c r="GG25" s="198"/>
      <c r="GH25" s="198"/>
      <c r="GI25" s="198"/>
      <c r="GJ25" s="198"/>
      <c r="GK25" s="198"/>
      <c r="GL25" s="198"/>
      <c r="GM25" s="198"/>
      <c r="GN25" s="198"/>
      <c r="GO25" s="198"/>
      <c r="GP25" s="198"/>
      <c r="GQ25" s="198"/>
      <c r="GR25" s="198"/>
      <c r="GS25" s="198"/>
      <c r="GT25" s="198"/>
      <c r="GU25" s="198"/>
      <c r="GV25" s="198"/>
      <c r="GW25" s="198"/>
      <c r="GX25" s="198"/>
      <c r="GY25" s="198"/>
      <c r="GZ25" s="198"/>
      <c r="HA25" s="198"/>
      <c r="HB25" s="198"/>
      <c r="HC25" s="198"/>
      <c r="HD25" s="198"/>
      <c r="HE25" s="198"/>
      <c r="HF25" s="198"/>
      <c r="HG25" s="198"/>
      <c r="HH25" s="198"/>
      <c r="HI25" s="198"/>
      <c r="HJ25" s="198"/>
      <c r="HK25" s="198"/>
      <c r="HL25" s="198"/>
      <c r="HM25" s="198"/>
      <c r="HN25" s="198"/>
      <c r="HO25" s="198"/>
      <c r="HP25" s="198"/>
      <c r="HQ25" s="198"/>
      <c r="HR25" s="198"/>
      <c r="HS25" s="198"/>
      <c r="HT25" s="198"/>
      <c r="HU25" s="198"/>
      <c r="HV25" s="198"/>
      <c r="HW25" s="198"/>
      <c r="HX25" s="198"/>
      <c r="HY25" s="198"/>
      <c r="HZ25" s="198"/>
      <c r="IA25" s="198"/>
      <c r="IB25" s="198"/>
      <c r="IC25" s="198"/>
      <c r="ID25" s="198"/>
      <c r="IE25" s="198"/>
      <c r="IF25" s="198"/>
      <c r="IG25" s="198"/>
      <c r="IH25" s="198"/>
      <c r="II25" s="198"/>
      <c r="IJ25" s="198"/>
      <c r="IK25" s="198"/>
      <c r="IL25" s="198"/>
      <c r="IM25" s="198"/>
      <c r="IN25" s="198"/>
      <c r="IO25" s="198"/>
      <c r="IP25" s="198"/>
      <c r="IQ25" s="198"/>
      <c r="IR25" s="198"/>
      <c r="IS25" s="198"/>
      <c r="IT25" s="198"/>
      <c r="IU25" s="198"/>
      <c r="IV25" s="198"/>
    </row>
    <row r="26" s="199" customFormat="true" ht="12.75" hidden="false" customHeight="true" outlineLevel="0" collapsed="false">
      <c r="A26" s="157" t="n">
        <f aca="false">IF(Eingabe!A30="","",Eingabe!A30)</f>
        <v>23</v>
      </c>
      <c r="B26" s="157"/>
      <c r="C26" s="157"/>
      <c r="D26" s="158" t="str">
        <f aca="false">IF(Eingabe!B30="","",Eingabe!B30)</f>
        <v/>
      </c>
      <c r="E26" s="158"/>
      <c r="F26" s="158"/>
      <c r="G26" s="158"/>
      <c r="H26" s="159" t="str">
        <f aca="false">IF(Eingabe!C30="","",Eingabe!C30)</f>
        <v/>
      </c>
      <c r="I26" s="159"/>
      <c r="J26" s="159"/>
      <c r="K26" s="159"/>
      <c r="L26" s="160" t="str">
        <f aca="false">IF(Eingabe!D30="","",Eingabe!D30)</f>
        <v/>
      </c>
      <c r="M26" s="160"/>
      <c r="N26" s="160"/>
      <c r="O26" s="160"/>
      <c r="P26" s="160"/>
      <c r="Q26" s="160"/>
      <c r="R26" s="160"/>
      <c r="S26" s="160"/>
      <c r="T26" s="160"/>
      <c r="U26" s="160"/>
      <c r="V26" s="160"/>
      <c r="W26" s="160"/>
      <c r="X26" s="160"/>
      <c r="Y26" s="160"/>
      <c r="Z26" s="160"/>
      <c r="AA26" s="160"/>
      <c r="AB26" s="160"/>
      <c r="AC26" s="160"/>
      <c r="AD26" s="160"/>
      <c r="AE26" s="160"/>
      <c r="AF26" s="160"/>
      <c r="AG26" s="160"/>
      <c r="AH26" s="200" t="str">
        <f aca="false">IF(Eingabe!F30&amp;Eingabe!G30="","",Eingabe!F30&amp;"  /  "&amp;Eingabe!G30)</f>
        <v/>
      </c>
      <c r="AI26" s="200"/>
      <c r="AJ26" s="200"/>
      <c r="AK26" s="200"/>
      <c r="AL26" s="200"/>
      <c r="AM26" s="200"/>
      <c r="AN26" s="200"/>
      <c r="AO26" s="200"/>
      <c r="AP26" s="200"/>
      <c r="AQ26" s="200"/>
      <c r="AR26" s="200"/>
      <c r="AS26" s="200"/>
      <c r="AT26" s="200"/>
      <c r="AU26" s="200"/>
      <c r="AV26" s="200"/>
      <c r="AW26" s="200"/>
      <c r="AX26" s="200"/>
      <c r="AY26" s="200"/>
      <c r="AZ26" s="200"/>
      <c r="BA26" s="200"/>
      <c r="BB26" s="200"/>
      <c r="BC26" s="200"/>
      <c r="BD26" s="200"/>
      <c r="BE26" s="201" t="str">
        <f aca="false">IF(Eingabe!I30="","",Eingabe!I30)</f>
        <v/>
      </c>
      <c r="BF26" s="201"/>
      <c r="BG26" s="201"/>
      <c r="BH26" s="201"/>
      <c r="BI26" s="201"/>
      <c r="BJ26" s="202" t="str">
        <f aca="false">IF(Eingabe!I30="","",Eingabe!I30*Eingabe!B30)</f>
        <v/>
      </c>
      <c r="BK26" s="202"/>
      <c r="BL26" s="202"/>
      <c r="BM26" s="202"/>
      <c r="BN26" s="202"/>
      <c r="BO26" s="198"/>
      <c r="BP26" s="198"/>
      <c r="BQ26" s="198"/>
      <c r="BR26" s="198"/>
      <c r="BS26" s="198"/>
      <c r="BT26" s="198"/>
      <c r="BU26" s="198"/>
      <c r="BV26" s="198"/>
      <c r="BW26" s="198"/>
      <c r="BX26" s="198"/>
      <c r="BY26" s="198"/>
      <c r="BZ26" s="198"/>
      <c r="CA26" s="198"/>
      <c r="CB26" s="198"/>
      <c r="CC26" s="198"/>
      <c r="CD26" s="198"/>
      <c r="CE26" s="198"/>
      <c r="CF26" s="198"/>
      <c r="CG26" s="198"/>
      <c r="CH26" s="198"/>
      <c r="CI26" s="198"/>
      <c r="CJ26" s="198"/>
      <c r="CK26" s="198"/>
      <c r="CL26" s="198"/>
      <c r="CM26" s="198"/>
      <c r="CN26" s="198"/>
      <c r="CO26" s="198"/>
      <c r="CP26" s="198"/>
      <c r="CQ26" s="198"/>
      <c r="CR26" s="198"/>
      <c r="CS26" s="198"/>
      <c r="CT26" s="198"/>
      <c r="CU26" s="198"/>
      <c r="CV26" s="198"/>
      <c r="CW26" s="198"/>
      <c r="CX26" s="198"/>
      <c r="CY26" s="198"/>
      <c r="CZ26" s="198"/>
      <c r="DA26" s="198"/>
      <c r="DB26" s="198"/>
      <c r="DC26" s="198"/>
      <c r="DD26" s="198"/>
      <c r="DE26" s="198"/>
      <c r="DF26" s="198"/>
      <c r="DG26" s="198"/>
      <c r="DH26" s="198"/>
      <c r="DI26" s="198"/>
      <c r="DJ26" s="198"/>
      <c r="DK26" s="198"/>
      <c r="DL26" s="198"/>
      <c r="DM26" s="198"/>
      <c r="DN26" s="198"/>
      <c r="DO26" s="198"/>
      <c r="DP26" s="198"/>
      <c r="DQ26" s="198"/>
      <c r="DR26" s="198"/>
      <c r="DS26" s="198"/>
      <c r="DT26" s="198"/>
      <c r="DU26" s="198"/>
      <c r="DV26" s="198"/>
      <c r="DW26" s="198"/>
      <c r="DX26" s="198"/>
      <c r="DY26" s="198"/>
      <c r="DZ26" s="198"/>
      <c r="EA26" s="198"/>
      <c r="EB26" s="198"/>
      <c r="EC26" s="198"/>
      <c r="ED26" s="198"/>
      <c r="EE26" s="198"/>
      <c r="EF26" s="198"/>
      <c r="EG26" s="198"/>
      <c r="EH26" s="198"/>
      <c r="EI26" s="198"/>
      <c r="EJ26" s="198"/>
      <c r="EK26" s="198"/>
      <c r="EL26" s="198"/>
      <c r="EM26" s="198"/>
      <c r="EN26" s="198"/>
      <c r="EO26" s="198"/>
      <c r="EP26" s="198"/>
      <c r="EQ26" s="198"/>
      <c r="ER26" s="198"/>
      <c r="ES26" s="198"/>
      <c r="ET26" s="198"/>
      <c r="EU26" s="198"/>
      <c r="EV26" s="198"/>
      <c r="EW26" s="198"/>
      <c r="EX26" s="198"/>
      <c r="EY26" s="198"/>
      <c r="EZ26" s="198"/>
      <c r="FA26" s="198"/>
      <c r="FB26" s="198"/>
      <c r="FC26" s="198"/>
      <c r="FD26" s="198"/>
      <c r="FE26" s="198"/>
      <c r="FF26" s="198"/>
      <c r="FG26" s="198"/>
      <c r="FH26" s="198"/>
      <c r="FI26" s="198"/>
      <c r="FJ26" s="198"/>
      <c r="FK26" s="198"/>
      <c r="FL26" s="198"/>
      <c r="FM26" s="198"/>
      <c r="FN26" s="198"/>
      <c r="FO26" s="198"/>
      <c r="FP26" s="198"/>
      <c r="FQ26" s="198"/>
      <c r="FR26" s="198"/>
      <c r="FS26" s="198"/>
      <c r="FT26" s="198"/>
      <c r="FU26" s="198"/>
      <c r="FV26" s="198"/>
      <c r="FW26" s="198"/>
      <c r="FX26" s="198"/>
      <c r="FY26" s="198"/>
      <c r="FZ26" s="198"/>
      <c r="GA26" s="198"/>
      <c r="GB26" s="198"/>
      <c r="GC26" s="198"/>
      <c r="GD26" s="198"/>
      <c r="GE26" s="198"/>
      <c r="GF26" s="198"/>
      <c r="GG26" s="198"/>
      <c r="GH26" s="198"/>
      <c r="GI26" s="198"/>
      <c r="GJ26" s="198"/>
      <c r="GK26" s="198"/>
      <c r="GL26" s="198"/>
      <c r="GM26" s="198"/>
      <c r="GN26" s="198"/>
      <c r="GO26" s="198"/>
      <c r="GP26" s="198"/>
      <c r="GQ26" s="198"/>
      <c r="GR26" s="198"/>
      <c r="GS26" s="198"/>
      <c r="GT26" s="198"/>
      <c r="GU26" s="198"/>
      <c r="GV26" s="198"/>
      <c r="GW26" s="198"/>
      <c r="GX26" s="198"/>
      <c r="GY26" s="198"/>
      <c r="GZ26" s="198"/>
      <c r="HA26" s="198"/>
      <c r="HB26" s="198"/>
      <c r="HC26" s="198"/>
      <c r="HD26" s="198"/>
      <c r="HE26" s="198"/>
      <c r="HF26" s="198"/>
      <c r="HG26" s="198"/>
      <c r="HH26" s="198"/>
      <c r="HI26" s="198"/>
      <c r="HJ26" s="198"/>
      <c r="HK26" s="198"/>
      <c r="HL26" s="198"/>
      <c r="HM26" s="198"/>
      <c r="HN26" s="198"/>
      <c r="HO26" s="198"/>
      <c r="HP26" s="198"/>
      <c r="HQ26" s="198"/>
      <c r="HR26" s="198"/>
      <c r="HS26" s="198"/>
      <c r="HT26" s="198"/>
      <c r="HU26" s="198"/>
      <c r="HV26" s="198"/>
      <c r="HW26" s="198"/>
      <c r="HX26" s="198"/>
      <c r="HY26" s="198"/>
      <c r="HZ26" s="198"/>
      <c r="IA26" s="198"/>
      <c r="IB26" s="198"/>
      <c r="IC26" s="198"/>
      <c r="ID26" s="198"/>
      <c r="IE26" s="198"/>
      <c r="IF26" s="198"/>
      <c r="IG26" s="198"/>
      <c r="IH26" s="198"/>
      <c r="II26" s="198"/>
      <c r="IJ26" s="198"/>
      <c r="IK26" s="198"/>
      <c r="IL26" s="198"/>
      <c r="IM26" s="198"/>
      <c r="IN26" s="198"/>
      <c r="IO26" s="198"/>
      <c r="IP26" s="198"/>
      <c r="IQ26" s="198"/>
      <c r="IR26" s="198"/>
      <c r="IS26" s="198"/>
      <c r="IT26" s="198"/>
      <c r="IU26" s="198"/>
      <c r="IV26" s="198"/>
    </row>
    <row r="27" s="199" customFormat="true" ht="12.75" hidden="false" customHeight="true" outlineLevel="0" collapsed="false">
      <c r="A27" s="157" t="n">
        <f aca="false">IF(Eingabe!A31="","",Eingabe!A31)</f>
        <v>24</v>
      </c>
      <c r="B27" s="157"/>
      <c r="C27" s="157"/>
      <c r="D27" s="158" t="str">
        <f aca="false">IF(Eingabe!B31="","",Eingabe!B31)</f>
        <v/>
      </c>
      <c r="E27" s="158"/>
      <c r="F27" s="158"/>
      <c r="G27" s="158"/>
      <c r="H27" s="159" t="str">
        <f aca="false">IF(Eingabe!C31="","",Eingabe!C31)</f>
        <v/>
      </c>
      <c r="I27" s="159"/>
      <c r="J27" s="159"/>
      <c r="K27" s="159"/>
      <c r="L27" s="160" t="str">
        <f aca="false">IF(Eingabe!D31="","",Eingabe!D31)</f>
        <v/>
      </c>
      <c r="M27" s="160"/>
      <c r="N27" s="160"/>
      <c r="O27" s="160"/>
      <c r="P27" s="160"/>
      <c r="Q27" s="160"/>
      <c r="R27" s="160"/>
      <c r="S27" s="160"/>
      <c r="T27" s="160"/>
      <c r="U27" s="160"/>
      <c r="V27" s="160"/>
      <c r="W27" s="160"/>
      <c r="X27" s="160"/>
      <c r="Y27" s="160"/>
      <c r="Z27" s="160"/>
      <c r="AA27" s="160"/>
      <c r="AB27" s="160"/>
      <c r="AC27" s="160"/>
      <c r="AD27" s="160"/>
      <c r="AE27" s="160"/>
      <c r="AF27" s="160"/>
      <c r="AG27" s="160"/>
      <c r="AH27" s="200" t="str">
        <f aca="false">IF(Eingabe!F31&amp;Eingabe!G31="","",Eingabe!F31&amp;"  /  "&amp;Eingabe!G31)</f>
        <v/>
      </c>
      <c r="AI27" s="200"/>
      <c r="AJ27" s="200"/>
      <c r="AK27" s="200"/>
      <c r="AL27" s="200"/>
      <c r="AM27" s="200"/>
      <c r="AN27" s="200"/>
      <c r="AO27" s="200"/>
      <c r="AP27" s="200"/>
      <c r="AQ27" s="200"/>
      <c r="AR27" s="200"/>
      <c r="AS27" s="200"/>
      <c r="AT27" s="200"/>
      <c r="AU27" s="200"/>
      <c r="AV27" s="200"/>
      <c r="AW27" s="200"/>
      <c r="AX27" s="200"/>
      <c r="AY27" s="200"/>
      <c r="AZ27" s="200"/>
      <c r="BA27" s="200"/>
      <c r="BB27" s="200"/>
      <c r="BC27" s="200"/>
      <c r="BD27" s="200"/>
      <c r="BE27" s="201" t="str">
        <f aca="false">IF(Eingabe!I31="","",Eingabe!I31)</f>
        <v/>
      </c>
      <c r="BF27" s="201"/>
      <c r="BG27" s="201"/>
      <c r="BH27" s="201"/>
      <c r="BI27" s="201"/>
      <c r="BJ27" s="202" t="str">
        <f aca="false">IF(Eingabe!I31="","",Eingabe!I31*Eingabe!B31)</f>
        <v/>
      </c>
      <c r="BK27" s="202"/>
      <c r="BL27" s="202"/>
      <c r="BM27" s="202"/>
      <c r="BN27" s="202"/>
      <c r="BO27" s="198"/>
      <c r="BP27" s="198"/>
      <c r="BQ27" s="198"/>
      <c r="BR27" s="198"/>
      <c r="BS27" s="198"/>
      <c r="BT27" s="198"/>
      <c r="BU27" s="198"/>
      <c r="BV27" s="198"/>
      <c r="BW27" s="198"/>
      <c r="BX27" s="198"/>
      <c r="BY27" s="198"/>
      <c r="BZ27" s="198"/>
      <c r="CA27" s="198"/>
      <c r="CB27" s="198"/>
      <c r="CC27" s="198"/>
      <c r="CD27" s="198"/>
      <c r="CE27" s="198"/>
      <c r="CF27" s="198"/>
      <c r="CG27" s="198"/>
      <c r="CH27" s="198"/>
      <c r="CI27" s="198"/>
      <c r="CJ27" s="198"/>
      <c r="CK27" s="198"/>
      <c r="CL27" s="198"/>
      <c r="CM27" s="198"/>
      <c r="CN27" s="198"/>
      <c r="CO27" s="198"/>
      <c r="CP27" s="198"/>
      <c r="CQ27" s="198"/>
      <c r="CR27" s="198"/>
      <c r="CS27" s="198"/>
      <c r="CT27" s="198"/>
      <c r="CU27" s="198"/>
      <c r="CV27" s="198"/>
      <c r="CW27" s="198"/>
      <c r="CX27" s="198"/>
      <c r="CY27" s="198"/>
      <c r="CZ27" s="198"/>
      <c r="DA27" s="198"/>
      <c r="DB27" s="198"/>
      <c r="DC27" s="198"/>
      <c r="DD27" s="198"/>
      <c r="DE27" s="198"/>
      <c r="DF27" s="198"/>
      <c r="DG27" s="198"/>
      <c r="DH27" s="198"/>
      <c r="DI27" s="198"/>
      <c r="DJ27" s="198"/>
      <c r="DK27" s="198"/>
      <c r="DL27" s="198"/>
      <c r="DM27" s="198"/>
      <c r="DN27" s="198"/>
      <c r="DO27" s="198"/>
      <c r="DP27" s="198"/>
      <c r="DQ27" s="198"/>
      <c r="DR27" s="198"/>
      <c r="DS27" s="198"/>
      <c r="DT27" s="198"/>
      <c r="DU27" s="198"/>
      <c r="DV27" s="198"/>
      <c r="DW27" s="198"/>
      <c r="DX27" s="198"/>
      <c r="DY27" s="198"/>
      <c r="DZ27" s="198"/>
      <c r="EA27" s="198"/>
      <c r="EB27" s="198"/>
      <c r="EC27" s="198"/>
      <c r="ED27" s="198"/>
      <c r="EE27" s="198"/>
      <c r="EF27" s="198"/>
      <c r="EG27" s="198"/>
      <c r="EH27" s="198"/>
      <c r="EI27" s="198"/>
      <c r="EJ27" s="198"/>
      <c r="EK27" s="198"/>
      <c r="EL27" s="198"/>
      <c r="EM27" s="198"/>
      <c r="EN27" s="198"/>
      <c r="EO27" s="198"/>
      <c r="EP27" s="198"/>
      <c r="EQ27" s="198"/>
      <c r="ER27" s="198"/>
      <c r="ES27" s="198"/>
      <c r="ET27" s="198"/>
      <c r="EU27" s="198"/>
      <c r="EV27" s="198"/>
      <c r="EW27" s="198"/>
      <c r="EX27" s="198"/>
      <c r="EY27" s="198"/>
      <c r="EZ27" s="198"/>
      <c r="FA27" s="198"/>
      <c r="FB27" s="198"/>
      <c r="FC27" s="198"/>
      <c r="FD27" s="198"/>
      <c r="FE27" s="198"/>
      <c r="FF27" s="198"/>
      <c r="FG27" s="198"/>
      <c r="FH27" s="198"/>
      <c r="FI27" s="198"/>
      <c r="FJ27" s="198"/>
      <c r="FK27" s="198"/>
      <c r="FL27" s="198"/>
      <c r="FM27" s="198"/>
      <c r="FN27" s="198"/>
      <c r="FO27" s="198"/>
      <c r="FP27" s="198"/>
      <c r="FQ27" s="198"/>
      <c r="FR27" s="198"/>
      <c r="FS27" s="198"/>
      <c r="FT27" s="198"/>
      <c r="FU27" s="198"/>
      <c r="FV27" s="198"/>
      <c r="FW27" s="198"/>
      <c r="FX27" s="198"/>
      <c r="FY27" s="198"/>
      <c r="FZ27" s="198"/>
      <c r="GA27" s="198"/>
      <c r="GB27" s="198"/>
      <c r="GC27" s="198"/>
      <c r="GD27" s="198"/>
      <c r="GE27" s="198"/>
      <c r="GF27" s="198"/>
      <c r="GG27" s="198"/>
      <c r="GH27" s="198"/>
      <c r="GI27" s="198"/>
      <c r="GJ27" s="198"/>
      <c r="GK27" s="198"/>
      <c r="GL27" s="198"/>
      <c r="GM27" s="198"/>
      <c r="GN27" s="198"/>
      <c r="GO27" s="198"/>
      <c r="GP27" s="198"/>
      <c r="GQ27" s="198"/>
      <c r="GR27" s="198"/>
      <c r="GS27" s="198"/>
      <c r="GT27" s="198"/>
      <c r="GU27" s="198"/>
      <c r="GV27" s="198"/>
      <c r="GW27" s="198"/>
      <c r="GX27" s="198"/>
      <c r="GY27" s="198"/>
      <c r="GZ27" s="198"/>
      <c r="HA27" s="198"/>
      <c r="HB27" s="198"/>
      <c r="HC27" s="198"/>
      <c r="HD27" s="198"/>
      <c r="HE27" s="198"/>
      <c r="HF27" s="198"/>
      <c r="HG27" s="198"/>
      <c r="HH27" s="198"/>
      <c r="HI27" s="198"/>
      <c r="HJ27" s="198"/>
      <c r="HK27" s="198"/>
      <c r="HL27" s="198"/>
      <c r="HM27" s="198"/>
      <c r="HN27" s="198"/>
      <c r="HO27" s="198"/>
      <c r="HP27" s="198"/>
      <c r="HQ27" s="198"/>
      <c r="HR27" s="198"/>
      <c r="HS27" s="198"/>
      <c r="HT27" s="198"/>
      <c r="HU27" s="198"/>
      <c r="HV27" s="198"/>
      <c r="HW27" s="198"/>
      <c r="HX27" s="198"/>
      <c r="HY27" s="198"/>
      <c r="HZ27" s="198"/>
      <c r="IA27" s="198"/>
      <c r="IB27" s="198"/>
      <c r="IC27" s="198"/>
      <c r="ID27" s="198"/>
      <c r="IE27" s="198"/>
      <c r="IF27" s="198"/>
      <c r="IG27" s="198"/>
      <c r="IH27" s="198"/>
      <c r="II27" s="198"/>
      <c r="IJ27" s="198"/>
      <c r="IK27" s="198"/>
      <c r="IL27" s="198"/>
      <c r="IM27" s="198"/>
      <c r="IN27" s="198"/>
      <c r="IO27" s="198"/>
      <c r="IP27" s="198"/>
      <c r="IQ27" s="198"/>
      <c r="IR27" s="198"/>
      <c r="IS27" s="198"/>
      <c r="IT27" s="198"/>
      <c r="IU27" s="198"/>
      <c r="IV27" s="198"/>
    </row>
    <row r="28" s="199" customFormat="true" ht="12.75" hidden="false" customHeight="true" outlineLevel="0" collapsed="false">
      <c r="A28" s="157" t="n">
        <f aca="false">IF(Eingabe!A32="","",Eingabe!A32)</f>
        <v>25</v>
      </c>
      <c r="B28" s="157"/>
      <c r="C28" s="157"/>
      <c r="D28" s="158" t="str">
        <f aca="false">IF(Eingabe!B32="","",Eingabe!B32)</f>
        <v/>
      </c>
      <c r="E28" s="158"/>
      <c r="F28" s="158"/>
      <c r="G28" s="158"/>
      <c r="H28" s="159" t="str">
        <f aca="false">IF(Eingabe!C32="","",Eingabe!C32)</f>
        <v/>
      </c>
      <c r="I28" s="159"/>
      <c r="J28" s="159"/>
      <c r="K28" s="159"/>
      <c r="L28" s="160" t="str">
        <f aca="false">IF(Eingabe!D32="","",Eingabe!D32)</f>
        <v/>
      </c>
      <c r="M28" s="160"/>
      <c r="N28" s="160"/>
      <c r="O28" s="160"/>
      <c r="P28" s="160"/>
      <c r="Q28" s="160"/>
      <c r="R28" s="160"/>
      <c r="S28" s="160"/>
      <c r="T28" s="160"/>
      <c r="U28" s="160"/>
      <c r="V28" s="160"/>
      <c r="W28" s="160"/>
      <c r="X28" s="160"/>
      <c r="Y28" s="160"/>
      <c r="Z28" s="160"/>
      <c r="AA28" s="160"/>
      <c r="AB28" s="160"/>
      <c r="AC28" s="160"/>
      <c r="AD28" s="160"/>
      <c r="AE28" s="160"/>
      <c r="AF28" s="160"/>
      <c r="AG28" s="160"/>
      <c r="AH28" s="200" t="str">
        <f aca="false">IF(Eingabe!F32&amp;Eingabe!G32="","",Eingabe!F32&amp;"  /  "&amp;Eingabe!G32)</f>
        <v/>
      </c>
      <c r="AI28" s="200"/>
      <c r="AJ28" s="200"/>
      <c r="AK28" s="200"/>
      <c r="AL28" s="200"/>
      <c r="AM28" s="200"/>
      <c r="AN28" s="200"/>
      <c r="AO28" s="200"/>
      <c r="AP28" s="200"/>
      <c r="AQ28" s="200"/>
      <c r="AR28" s="200"/>
      <c r="AS28" s="200"/>
      <c r="AT28" s="200"/>
      <c r="AU28" s="200"/>
      <c r="AV28" s="200"/>
      <c r="AW28" s="200"/>
      <c r="AX28" s="200"/>
      <c r="AY28" s="200"/>
      <c r="AZ28" s="200"/>
      <c r="BA28" s="200"/>
      <c r="BB28" s="200"/>
      <c r="BC28" s="200"/>
      <c r="BD28" s="200"/>
      <c r="BE28" s="201" t="str">
        <f aca="false">IF(Eingabe!I32="","",Eingabe!I32)</f>
        <v/>
      </c>
      <c r="BF28" s="201"/>
      <c r="BG28" s="201"/>
      <c r="BH28" s="201"/>
      <c r="BI28" s="201"/>
      <c r="BJ28" s="202" t="str">
        <f aca="false">IF(Eingabe!I32="","",Eingabe!I32*Eingabe!B32)</f>
        <v/>
      </c>
      <c r="BK28" s="202"/>
      <c r="BL28" s="202"/>
      <c r="BM28" s="202"/>
      <c r="BN28" s="202"/>
      <c r="BO28" s="198"/>
      <c r="BP28" s="198"/>
      <c r="BQ28" s="198"/>
      <c r="BR28" s="198"/>
      <c r="BS28" s="198"/>
      <c r="BT28" s="198"/>
      <c r="BU28" s="198"/>
      <c r="BV28" s="198"/>
      <c r="BW28" s="198"/>
      <c r="BX28" s="198"/>
      <c r="BY28" s="198"/>
      <c r="BZ28" s="198"/>
      <c r="CA28" s="198"/>
      <c r="CB28" s="198"/>
      <c r="CC28" s="198"/>
      <c r="CD28" s="198"/>
      <c r="CE28" s="198"/>
      <c r="CF28" s="198"/>
      <c r="CG28" s="198"/>
      <c r="CH28" s="198"/>
      <c r="CI28" s="198"/>
      <c r="CJ28" s="198"/>
      <c r="CK28" s="198"/>
      <c r="CL28" s="198"/>
      <c r="CM28" s="198"/>
      <c r="CN28" s="198"/>
      <c r="CO28" s="198"/>
      <c r="CP28" s="198"/>
      <c r="CQ28" s="198"/>
      <c r="CR28" s="198"/>
      <c r="CS28" s="198"/>
      <c r="CT28" s="198"/>
      <c r="CU28" s="198"/>
      <c r="CV28" s="198"/>
      <c r="CW28" s="198"/>
      <c r="CX28" s="198"/>
      <c r="CY28" s="198"/>
      <c r="CZ28" s="198"/>
      <c r="DA28" s="198"/>
      <c r="DB28" s="198"/>
      <c r="DC28" s="198"/>
      <c r="DD28" s="198"/>
      <c r="DE28" s="198"/>
      <c r="DF28" s="198"/>
      <c r="DG28" s="198"/>
      <c r="DH28" s="198"/>
      <c r="DI28" s="198"/>
      <c r="DJ28" s="198"/>
      <c r="DK28" s="198"/>
      <c r="DL28" s="198"/>
      <c r="DM28" s="198"/>
      <c r="DN28" s="198"/>
      <c r="DO28" s="198"/>
      <c r="DP28" s="198"/>
      <c r="DQ28" s="198"/>
      <c r="DR28" s="198"/>
      <c r="DS28" s="198"/>
      <c r="DT28" s="198"/>
      <c r="DU28" s="198"/>
      <c r="DV28" s="198"/>
      <c r="DW28" s="198"/>
      <c r="DX28" s="198"/>
      <c r="DY28" s="198"/>
      <c r="DZ28" s="198"/>
      <c r="EA28" s="198"/>
      <c r="EB28" s="198"/>
      <c r="EC28" s="198"/>
      <c r="ED28" s="198"/>
      <c r="EE28" s="198"/>
      <c r="EF28" s="198"/>
      <c r="EG28" s="198"/>
      <c r="EH28" s="198"/>
      <c r="EI28" s="198"/>
      <c r="EJ28" s="198"/>
      <c r="EK28" s="198"/>
      <c r="EL28" s="198"/>
      <c r="EM28" s="198"/>
      <c r="EN28" s="198"/>
      <c r="EO28" s="198"/>
      <c r="EP28" s="198"/>
      <c r="EQ28" s="198"/>
      <c r="ER28" s="198"/>
      <c r="ES28" s="198"/>
      <c r="ET28" s="198"/>
      <c r="EU28" s="198"/>
      <c r="EV28" s="198"/>
      <c r="EW28" s="198"/>
      <c r="EX28" s="198"/>
      <c r="EY28" s="198"/>
      <c r="EZ28" s="198"/>
      <c r="FA28" s="198"/>
      <c r="FB28" s="198"/>
      <c r="FC28" s="198"/>
      <c r="FD28" s="198"/>
      <c r="FE28" s="198"/>
      <c r="FF28" s="198"/>
      <c r="FG28" s="198"/>
      <c r="FH28" s="198"/>
      <c r="FI28" s="198"/>
      <c r="FJ28" s="198"/>
      <c r="FK28" s="198"/>
      <c r="FL28" s="198"/>
      <c r="FM28" s="198"/>
      <c r="FN28" s="198"/>
      <c r="FO28" s="198"/>
      <c r="FP28" s="198"/>
      <c r="FQ28" s="198"/>
      <c r="FR28" s="198"/>
      <c r="FS28" s="198"/>
      <c r="FT28" s="198"/>
      <c r="FU28" s="198"/>
      <c r="FV28" s="198"/>
      <c r="FW28" s="198"/>
      <c r="FX28" s="198"/>
      <c r="FY28" s="198"/>
      <c r="FZ28" s="198"/>
      <c r="GA28" s="198"/>
      <c r="GB28" s="198"/>
      <c r="GC28" s="198"/>
      <c r="GD28" s="198"/>
      <c r="GE28" s="198"/>
      <c r="GF28" s="198"/>
      <c r="GG28" s="198"/>
      <c r="GH28" s="198"/>
      <c r="GI28" s="198"/>
      <c r="GJ28" s="198"/>
      <c r="GK28" s="198"/>
      <c r="GL28" s="198"/>
      <c r="GM28" s="198"/>
      <c r="GN28" s="198"/>
      <c r="GO28" s="198"/>
      <c r="GP28" s="198"/>
      <c r="GQ28" s="198"/>
      <c r="GR28" s="198"/>
      <c r="GS28" s="198"/>
      <c r="GT28" s="198"/>
      <c r="GU28" s="198"/>
      <c r="GV28" s="198"/>
      <c r="GW28" s="198"/>
      <c r="GX28" s="198"/>
      <c r="GY28" s="198"/>
      <c r="GZ28" s="198"/>
      <c r="HA28" s="198"/>
      <c r="HB28" s="198"/>
      <c r="HC28" s="198"/>
      <c r="HD28" s="198"/>
      <c r="HE28" s="198"/>
      <c r="HF28" s="198"/>
      <c r="HG28" s="198"/>
      <c r="HH28" s="198"/>
      <c r="HI28" s="198"/>
      <c r="HJ28" s="198"/>
      <c r="HK28" s="198"/>
      <c r="HL28" s="198"/>
      <c r="HM28" s="198"/>
      <c r="HN28" s="198"/>
      <c r="HO28" s="198"/>
      <c r="HP28" s="198"/>
      <c r="HQ28" s="198"/>
      <c r="HR28" s="198"/>
      <c r="HS28" s="198"/>
      <c r="HT28" s="198"/>
      <c r="HU28" s="198"/>
      <c r="HV28" s="198"/>
      <c r="HW28" s="198"/>
      <c r="HX28" s="198"/>
      <c r="HY28" s="198"/>
      <c r="HZ28" s="198"/>
      <c r="IA28" s="198"/>
      <c r="IB28" s="198"/>
      <c r="IC28" s="198"/>
      <c r="ID28" s="198"/>
      <c r="IE28" s="198"/>
      <c r="IF28" s="198"/>
      <c r="IG28" s="198"/>
      <c r="IH28" s="198"/>
      <c r="II28" s="198"/>
      <c r="IJ28" s="198"/>
      <c r="IK28" s="198"/>
      <c r="IL28" s="198"/>
      <c r="IM28" s="198"/>
      <c r="IN28" s="198"/>
      <c r="IO28" s="198"/>
      <c r="IP28" s="198"/>
      <c r="IQ28" s="198"/>
      <c r="IR28" s="198"/>
      <c r="IS28" s="198"/>
      <c r="IT28" s="198"/>
      <c r="IU28" s="198"/>
      <c r="IV28" s="198"/>
    </row>
    <row r="29" s="199" customFormat="true" ht="12.75" hidden="false" customHeight="true" outlineLevel="0" collapsed="false">
      <c r="A29" s="157" t="n">
        <f aca="false">IF(Eingabe!A33="","",Eingabe!A33)</f>
        <v>26</v>
      </c>
      <c r="B29" s="157"/>
      <c r="C29" s="157"/>
      <c r="D29" s="158" t="str">
        <f aca="false">IF(Eingabe!B33="","",Eingabe!B33)</f>
        <v/>
      </c>
      <c r="E29" s="158"/>
      <c r="F29" s="158"/>
      <c r="G29" s="158"/>
      <c r="H29" s="159" t="str">
        <f aca="false">IF(Eingabe!C33="","",Eingabe!C33)</f>
        <v/>
      </c>
      <c r="I29" s="159"/>
      <c r="J29" s="159"/>
      <c r="K29" s="159"/>
      <c r="L29" s="160" t="str">
        <f aca="false">IF(Eingabe!D33="","",Eingabe!D33)</f>
        <v/>
      </c>
      <c r="M29" s="160"/>
      <c r="N29" s="160"/>
      <c r="O29" s="160"/>
      <c r="P29" s="160"/>
      <c r="Q29" s="160"/>
      <c r="R29" s="160"/>
      <c r="S29" s="160"/>
      <c r="T29" s="160"/>
      <c r="U29" s="160"/>
      <c r="V29" s="160"/>
      <c r="W29" s="160"/>
      <c r="X29" s="160"/>
      <c r="Y29" s="160"/>
      <c r="Z29" s="160"/>
      <c r="AA29" s="160"/>
      <c r="AB29" s="160"/>
      <c r="AC29" s="160"/>
      <c r="AD29" s="160"/>
      <c r="AE29" s="160"/>
      <c r="AF29" s="160"/>
      <c r="AG29" s="160"/>
      <c r="AH29" s="200" t="str">
        <f aca="false">IF(Eingabe!F33&amp;Eingabe!G33="","",Eingabe!F33&amp;"  /  "&amp;Eingabe!G33)</f>
        <v/>
      </c>
      <c r="AI29" s="200"/>
      <c r="AJ29" s="200"/>
      <c r="AK29" s="200"/>
      <c r="AL29" s="200"/>
      <c r="AM29" s="200"/>
      <c r="AN29" s="200"/>
      <c r="AO29" s="200"/>
      <c r="AP29" s="200"/>
      <c r="AQ29" s="200"/>
      <c r="AR29" s="200"/>
      <c r="AS29" s="200"/>
      <c r="AT29" s="200"/>
      <c r="AU29" s="200"/>
      <c r="AV29" s="200"/>
      <c r="AW29" s="200"/>
      <c r="AX29" s="200"/>
      <c r="AY29" s="200"/>
      <c r="AZ29" s="200"/>
      <c r="BA29" s="200"/>
      <c r="BB29" s="200"/>
      <c r="BC29" s="200"/>
      <c r="BD29" s="200"/>
      <c r="BE29" s="201" t="str">
        <f aca="false">IF(Eingabe!I33="","",Eingabe!I33)</f>
        <v/>
      </c>
      <c r="BF29" s="201"/>
      <c r="BG29" s="201"/>
      <c r="BH29" s="201"/>
      <c r="BI29" s="201"/>
      <c r="BJ29" s="202" t="str">
        <f aca="false">IF(Eingabe!I33="","",Eingabe!I33*Eingabe!B33)</f>
        <v/>
      </c>
      <c r="BK29" s="202"/>
      <c r="BL29" s="202"/>
      <c r="BM29" s="202"/>
      <c r="BN29" s="202"/>
      <c r="BO29" s="198"/>
      <c r="BP29" s="198"/>
      <c r="BQ29" s="198"/>
      <c r="BR29" s="198"/>
      <c r="BS29" s="198"/>
      <c r="BT29" s="198"/>
      <c r="BU29" s="198"/>
      <c r="BV29" s="198"/>
      <c r="BW29" s="198"/>
      <c r="BX29" s="198"/>
      <c r="BY29" s="198"/>
      <c r="BZ29" s="198"/>
      <c r="CA29" s="198"/>
      <c r="CB29" s="198"/>
      <c r="CC29" s="198"/>
      <c r="CD29" s="198"/>
      <c r="CE29" s="198"/>
      <c r="CF29" s="198"/>
      <c r="CG29" s="198"/>
      <c r="CH29" s="198"/>
      <c r="CI29" s="198"/>
      <c r="CJ29" s="198"/>
      <c r="CK29" s="198"/>
      <c r="CL29" s="198"/>
      <c r="CM29" s="198"/>
      <c r="CN29" s="198"/>
      <c r="CO29" s="198"/>
      <c r="CP29" s="198"/>
      <c r="CQ29" s="198"/>
      <c r="CR29" s="198"/>
      <c r="CS29" s="198"/>
      <c r="CT29" s="198"/>
      <c r="CU29" s="198"/>
      <c r="CV29" s="198"/>
      <c r="CW29" s="198"/>
      <c r="CX29" s="198"/>
      <c r="CY29" s="198"/>
      <c r="CZ29" s="198"/>
      <c r="DA29" s="198"/>
      <c r="DB29" s="198"/>
      <c r="DC29" s="198"/>
      <c r="DD29" s="198"/>
      <c r="DE29" s="198"/>
      <c r="DF29" s="198"/>
      <c r="DG29" s="198"/>
      <c r="DH29" s="198"/>
      <c r="DI29" s="198"/>
      <c r="DJ29" s="198"/>
      <c r="DK29" s="198"/>
      <c r="DL29" s="198"/>
      <c r="DM29" s="198"/>
      <c r="DN29" s="198"/>
      <c r="DO29" s="198"/>
      <c r="DP29" s="198"/>
      <c r="DQ29" s="198"/>
      <c r="DR29" s="198"/>
      <c r="DS29" s="198"/>
      <c r="DT29" s="198"/>
      <c r="DU29" s="198"/>
      <c r="DV29" s="198"/>
      <c r="DW29" s="198"/>
      <c r="DX29" s="198"/>
      <c r="DY29" s="198"/>
      <c r="DZ29" s="198"/>
      <c r="EA29" s="198"/>
      <c r="EB29" s="198"/>
      <c r="EC29" s="198"/>
      <c r="ED29" s="198"/>
      <c r="EE29" s="198"/>
      <c r="EF29" s="198"/>
      <c r="EG29" s="198"/>
      <c r="EH29" s="198"/>
      <c r="EI29" s="198"/>
      <c r="EJ29" s="198"/>
      <c r="EK29" s="198"/>
      <c r="EL29" s="198"/>
      <c r="EM29" s="198"/>
      <c r="EN29" s="198"/>
      <c r="EO29" s="198"/>
      <c r="EP29" s="198"/>
      <c r="EQ29" s="198"/>
      <c r="ER29" s="198"/>
      <c r="ES29" s="198"/>
      <c r="ET29" s="198"/>
      <c r="EU29" s="198"/>
      <c r="EV29" s="198"/>
      <c r="EW29" s="198"/>
      <c r="EX29" s="198"/>
      <c r="EY29" s="198"/>
      <c r="EZ29" s="198"/>
      <c r="FA29" s="198"/>
      <c r="FB29" s="198"/>
      <c r="FC29" s="198"/>
      <c r="FD29" s="198"/>
      <c r="FE29" s="198"/>
      <c r="FF29" s="198"/>
      <c r="FG29" s="198"/>
      <c r="FH29" s="198"/>
      <c r="FI29" s="198"/>
      <c r="FJ29" s="198"/>
      <c r="FK29" s="198"/>
      <c r="FL29" s="198"/>
      <c r="FM29" s="198"/>
      <c r="FN29" s="198"/>
      <c r="FO29" s="198"/>
      <c r="FP29" s="198"/>
      <c r="FQ29" s="198"/>
      <c r="FR29" s="198"/>
      <c r="FS29" s="198"/>
      <c r="FT29" s="198"/>
      <c r="FU29" s="198"/>
      <c r="FV29" s="198"/>
      <c r="FW29" s="198"/>
      <c r="FX29" s="198"/>
      <c r="FY29" s="198"/>
      <c r="FZ29" s="198"/>
      <c r="GA29" s="198"/>
      <c r="GB29" s="198"/>
      <c r="GC29" s="198"/>
      <c r="GD29" s="198"/>
      <c r="GE29" s="198"/>
      <c r="GF29" s="198"/>
      <c r="GG29" s="198"/>
      <c r="GH29" s="198"/>
      <c r="GI29" s="198"/>
      <c r="GJ29" s="198"/>
      <c r="GK29" s="198"/>
      <c r="GL29" s="198"/>
      <c r="GM29" s="198"/>
      <c r="GN29" s="198"/>
      <c r="GO29" s="198"/>
      <c r="GP29" s="198"/>
      <c r="GQ29" s="198"/>
      <c r="GR29" s="198"/>
      <c r="GS29" s="198"/>
      <c r="GT29" s="198"/>
      <c r="GU29" s="198"/>
      <c r="GV29" s="198"/>
      <c r="GW29" s="198"/>
      <c r="GX29" s="198"/>
      <c r="GY29" s="198"/>
      <c r="GZ29" s="198"/>
      <c r="HA29" s="198"/>
      <c r="HB29" s="198"/>
      <c r="HC29" s="198"/>
      <c r="HD29" s="198"/>
      <c r="HE29" s="198"/>
      <c r="HF29" s="198"/>
      <c r="HG29" s="198"/>
      <c r="HH29" s="198"/>
      <c r="HI29" s="198"/>
      <c r="HJ29" s="198"/>
      <c r="HK29" s="198"/>
      <c r="HL29" s="198"/>
      <c r="HM29" s="198"/>
      <c r="HN29" s="198"/>
      <c r="HO29" s="198"/>
      <c r="HP29" s="198"/>
      <c r="HQ29" s="198"/>
      <c r="HR29" s="198"/>
      <c r="HS29" s="198"/>
      <c r="HT29" s="198"/>
      <c r="HU29" s="198"/>
      <c r="HV29" s="198"/>
      <c r="HW29" s="198"/>
      <c r="HX29" s="198"/>
      <c r="HY29" s="198"/>
      <c r="HZ29" s="198"/>
      <c r="IA29" s="198"/>
      <c r="IB29" s="198"/>
      <c r="IC29" s="198"/>
      <c r="ID29" s="198"/>
      <c r="IE29" s="198"/>
      <c r="IF29" s="198"/>
      <c r="IG29" s="198"/>
      <c r="IH29" s="198"/>
      <c r="II29" s="198"/>
      <c r="IJ29" s="198"/>
      <c r="IK29" s="198"/>
      <c r="IL29" s="198"/>
      <c r="IM29" s="198"/>
      <c r="IN29" s="198"/>
      <c r="IO29" s="198"/>
      <c r="IP29" s="198"/>
      <c r="IQ29" s="198"/>
      <c r="IR29" s="198"/>
      <c r="IS29" s="198"/>
      <c r="IT29" s="198"/>
      <c r="IU29" s="198"/>
      <c r="IV29" s="198"/>
    </row>
    <row r="30" s="199" customFormat="true" ht="12.75" hidden="false" customHeight="true" outlineLevel="0" collapsed="false">
      <c r="A30" s="157" t="n">
        <f aca="false">IF(Eingabe!A34="","",Eingabe!A34)</f>
        <v>27</v>
      </c>
      <c r="B30" s="157"/>
      <c r="C30" s="157"/>
      <c r="D30" s="158" t="str">
        <f aca="false">IF(Eingabe!B34="","",Eingabe!B34)</f>
        <v/>
      </c>
      <c r="E30" s="158"/>
      <c r="F30" s="158"/>
      <c r="G30" s="158"/>
      <c r="H30" s="159" t="str">
        <f aca="false">IF(Eingabe!C34="","",Eingabe!C34)</f>
        <v/>
      </c>
      <c r="I30" s="159"/>
      <c r="J30" s="159"/>
      <c r="K30" s="159"/>
      <c r="L30" s="160" t="str">
        <f aca="false">IF(Eingabe!D34="","",Eingabe!D34)</f>
        <v/>
      </c>
      <c r="M30" s="160"/>
      <c r="N30" s="160"/>
      <c r="O30" s="160"/>
      <c r="P30" s="160"/>
      <c r="Q30" s="160"/>
      <c r="R30" s="160"/>
      <c r="S30" s="160"/>
      <c r="T30" s="160"/>
      <c r="U30" s="160"/>
      <c r="V30" s="160"/>
      <c r="W30" s="160"/>
      <c r="X30" s="160"/>
      <c r="Y30" s="160"/>
      <c r="Z30" s="160"/>
      <c r="AA30" s="160"/>
      <c r="AB30" s="160"/>
      <c r="AC30" s="160"/>
      <c r="AD30" s="160"/>
      <c r="AE30" s="160"/>
      <c r="AF30" s="160"/>
      <c r="AG30" s="160"/>
      <c r="AH30" s="200" t="str">
        <f aca="false">IF(Eingabe!F34&amp;Eingabe!G34="","",Eingabe!F34&amp;"  /  "&amp;Eingabe!G34)</f>
        <v/>
      </c>
      <c r="AI30" s="200"/>
      <c r="AJ30" s="200"/>
      <c r="AK30" s="200"/>
      <c r="AL30" s="200"/>
      <c r="AM30" s="200"/>
      <c r="AN30" s="200"/>
      <c r="AO30" s="200"/>
      <c r="AP30" s="200"/>
      <c r="AQ30" s="200"/>
      <c r="AR30" s="200"/>
      <c r="AS30" s="200"/>
      <c r="AT30" s="200"/>
      <c r="AU30" s="200"/>
      <c r="AV30" s="200"/>
      <c r="AW30" s="200"/>
      <c r="AX30" s="200"/>
      <c r="AY30" s="200"/>
      <c r="AZ30" s="200"/>
      <c r="BA30" s="200"/>
      <c r="BB30" s="200"/>
      <c r="BC30" s="200"/>
      <c r="BD30" s="200"/>
      <c r="BE30" s="201" t="str">
        <f aca="false">IF(Eingabe!I34="","",Eingabe!I34)</f>
        <v/>
      </c>
      <c r="BF30" s="201"/>
      <c r="BG30" s="201"/>
      <c r="BH30" s="201"/>
      <c r="BI30" s="201"/>
      <c r="BJ30" s="202" t="str">
        <f aca="false">IF(Eingabe!I34="","",Eingabe!I34*Eingabe!B34)</f>
        <v/>
      </c>
      <c r="BK30" s="202"/>
      <c r="BL30" s="202"/>
      <c r="BM30" s="202"/>
      <c r="BN30" s="202"/>
      <c r="BO30" s="198"/>
      <c r="BP30" s="198"/>
      <c r="BQ30" s="198"/>
      <c r="BR30" s="198"/>
      <c r="BS30" s="198"/>
      <c r="BT30" s="198"/>
      <c r="BU30" s="198"/>
      <c r="BV30" s="198"/>
      <c r="BW30" s="198"/>
      <c r="BX30" s="198"/>
      <c r="BY30" s="198"/>
      <c r="BZ30" s="198"/>
      <c r="CA30" s="198"/>
      <c r="CB30" s="198"/>
      <c r="CC30" s="198"/>
      <c r="CD30" s="198"/>
      <c r="CE30" s="198"/>
      <c r="CF30" s="198"/>
      <c r="CG30" s="198"/>
      <c r="CH30" s="198"/>
      <c r="CI30" s="198"/>
      <c r="CJ30" s="198"/>
      <c r="CK30" s="198"/>
      <c r="CL30" s="198"/>
      <c r="CM30" s="198"/>
      <c r="CN30" s="198"/>
      <c r="CO30" s="198"/>
      <c r="CP30" s="198"/>
      <c r="CQ30" s="198"/>
      <c r="CR30" s="198"/>
      <c r="CS30" s="198"/>
      <c r="CT30" s="198"/>
      <c r="CU30" s="198"/>
      <c r="CV30" s="198"/>
      <c r="CW30" s="198"/>
      <c r="CX30" s="198"/>
      <c r="CY30" s="198"/>
      <c r="CZ30" s="198"/>
      <c r="DA30" s="198"/>
      <c r="DB30" s="198"/>
      <c r="DC30" s="198"/>
      <c r="DD30" s="198"/>
      <c r="DE30" s="198"/>
      <c r="DF30" s="198"/>
      <c r="DG30" s="198"/>
      <c r="DH30" s="198"/>
      <c r="DI30" s="198"/>
      <c r="DJ30" s="198"/>
      <c r="DK30" s="198"/>
      <c r="DL30" s="198"/>
      <c r="DM30" s="198"/>
      <c r="DN30" s="198"/>
      <c r="DO30" s="198"/>
      <c r="DP30" s="198"/>
      <c r="DQ30" s="198"/>
      <c r="DR30" s="198"/>
      <c r="DS30" s="198"/>
      <c r="DT30" s="198"/>
      <c r="DU30" s="198"/>
      <c r="DV30" s="198"/>
      <c r="DW30" s="198"/>
      <c r="DX30" s="198"/>
      <c r="DY30" s="198"/>
      <c r="DZ30" s="198"/>
      <c r="EA30" s="198"/>
      <c r="EB30" s="198"/>
      <c r="EC30" s="198"/>
      <c r="ED30" s="198"/>
      <c r="EE30" s="198"/>
      <c r="EF30" s="198"/>
      <c r="EG30" s="198"/>
      <c r="EH30" s="198"/>
      <c r="EI30" s="198"/>
      <c r="EJ30" s="198"/>
      <c r="EK30" s="198"/>
      <c r="EL30" s="198"/>
      <c r="EM30" s="198"/>
      <c r="EN30" s="198"/>
      <c r="EO30" s="198"/>
      <c r="EP30" s="198"/>
      <c r="EQ30" s="198"/>
      <c r="ER30" s="198"/>
      <c r="ES30" s="198"/>
      <c r="ET30" s="198"/>
      <c r="EU30" s="198"/>
      <c r="EV30" s="198"/>
      <c r="EW30" s="198"/>
      <c r="EX30" s="198"/>
      <c r="EY30" s="198"/>
      <c r="EZ30" s="198"/>
      <c r="FA30" s="198"/>
      <c r="FB30" s="198"/>
      <c r="FC30" s="198"/>
      <c r="FD30" s="198"/>
      <c r="FE30" s="198"/>
      <c r="FF30" s="198"/>
      <c r="FG30" s="198"/>
      <c r="FH30" s="198"/>
      <c r="FI30" s="198"/>
      <c r="FJ30" s="198"/>
      <c r="FK30" s="198"/>
      <c r="FL30" s="198"/>
      <c r="FM30" s="198"/>
      <c r="FN30" s="198"/>
      <c r="FO30" s="198"/>
      <c r="FP30" s="198"/>
      <c r="FQ30" s="198"/>
      <c r="FR30" s="198"/>
      <c r="FS30" s="198"/>
      <c r="FT30" s="198"/>
      <c r="FU30" s="198"/>
      <c r="FV30" s="198"/>
      <c r="FW30" s="198"/>
      <c r="FX30" s="198"/>
      <c r="FY30" s="198"/>
      <c r="FZ30" s="198"/>
      <c r="GA30" s="198"/>
      <c r="GB30" s="198"/>
      <c r="GC30" s="198"/>
      <c r="GD30" s="198"/>
      <c r="GE30" s="198"/>
      <c r="GF30" s="198"/>
      <c r="GG30" s="198"/>
      <c r="GH30" s="198"/>
      <c r="GI30" s="198"/>
      <c r="GJ30" s="198"/>
      <c r="GK30" s="198"/>
      <c r="GL30" s="198"/>
      <c r="GM30" s="198"/>
      <c r="GN30" s="198"/>
      <c r="GO30" s="198"/>
      <c r="GP30" s="198"/>
      <c r="GQ30" s="198"/>
      <c r="GR30" s="198"/>
      <c r="GS30" s="198"/>
      <c r="GT30" s="198"/>
      <c r="GU30" s="198"/>
      <c r="GV30" s="198"/>
      <c r="GW30" s="198"/>
      <c r="GX30" s="198"/>
      <c r="GY30" s="198"/>
      <c r="GZ30" s="198"/>
      <c r="HA30" s="198"/>
      <c r="HB30" s="198"/>
      <c r="HC30" s="198"/>
      <c r="HD30" s="198"/>
      <c r="HE30" s="198"/>
      <c r="HF30" s="198"/>
      <c r="HG30" s="198"/>
      <c r="HH30" s="198"/>
      <c r="HI30" s="198"/>
      <c r="HJ30" s="198"/>
      <c r="HK30" s="198"/>
      <c r="HL30" s="198"/>
      <c r="HM30" s="198"/>
      <c r="HN30" s="198"/>
      <c r="HO30" s="198"/>
      <c r="HP30" s="198"/>
      <c r="HQ30" s="198"/>
      <c r="HR30" s="198"/>
      <c r="HS30" s="198"/>
      <c r="HT30" s="198"/>
      <c r="HU30" s="198"/>
      <c r="HV30" s="198"/>
      <c r="HW30" s="198"/>
      <c r="HX30" s="198"/>
      <c r="HY30" s="198"/>
      <c r="HZ30" s="198"/>
      <c r="IA30" s="198"/>
      <c r="IB30" s="198"/>
      <c r="IC30" s="198"/>
      <c r="ID30" s="198"/>
      <c r="IE30" s="198"/>
      <c r="IF30" s="198"/>
      <c r="IG30" s="198"/>
      <c r="IH30" s="198"/>
      <c r="II30" s="198"/>
      <c r="IJ30" s="198"/>
      <c r="IK30" s="198"/>
      <c r="IL30" s="198"/>
      <c r="IM30" s="198"/>
      <c r="IN30" s="198"/>
      <c r="IO30" s="198"/>
      <c r="IP30" s="198"/>
      <c r="IQ30" s="198"/>
      <c r="IR30" s="198"/>
      <c r="IS30" s="198"/>
      <c r="IT30" s="198"/>
      <c r="IU30" s="198"/>
      <c r="IV30" s="198"/>
    </row>
    <row r="31" s="199" customFormat="true" ht="12.75" hidden="false" customHeight="true" outlineLevel="0" collapsed="false">
      <c r="A31" s="157" t="n">
        <f aca="false">IF(Eingabe!A35="","",Eingabe!A35)</f>
        <v>28</v>
      </c>
      <c r="B31" s="157"/>
      <c r="C31" s="157"/>
      <c r="D31" s="158" t="str">
        <f aca="false">IF(Eingabe!B35="","",Eingabe!B35)</f>
        <v/>
      </c>
      <c r="E31" s="158"/>
      <c r="F31" s="158"/>
      <c r="G31" s="158"/>
      <c r="H31" s="159" t="str">
        <f aca="false">IF(Eingabe!C35="","",Eingabe!C35)</f>
        <v/>
      </c>
      <c r="I31" s="159"/>
      <c r="J31" s="159"/>
      <c r="K31" s="159"/>
      <c r="L31" s="160" t="str">
        <f aca="false">IF(Eingabe!D35="","",Eingabe!D35)</f>
        <v/>
      </c>
      <c r="M31" s="160"/>
      <c r="N31" s="160"/>
      <c r="O31" s="160"/>
      <c r="P31" s="160"/>
      <c r="Q31" s="160"/>
      <c r="R31" s="160"/>
      <c r="S31" s="160"/>
      <c r="T31" s="160"/>
      <c r="U31" s="160"/>
      <c r="V31" s="160"/>
      <c r="W31" s="160"/>
      <c r="X31" s="160"/>
      <c r="Y31" s="160"/>
      <c r="Z31" s="160"/>
      <c r="AA31" s="160"/>
      <c r="AB31" s="160"/>
      <c r="AC31" s="160"/>
      <c r="AD31" s="160"/>
      <c r="AE31" s="160"/>
      <c r="AF31" s="160"/>
      <c r="AG31" s="160"/>
      <c r="AH31" s="200" t="str">
        <f aca="false">IF(Eingabe!F35&amp;Eingabe!G35="","",Eingabe!F35&amp;"  /  "&amp;Eingabe!G35)</f>
        <v/>
      </c>
      <c r="AI31" s="200"/>
      <c r="AJ31" s="200"/>
      <c r="AK31" s="200"/>
      <c r="AL31" s="200"/>
      <c r="AM31" s="200"/>
      <c r="AN31" s="200"/>
      <c r="AO31" s="200"/>
      <c r="AP31" s="200"/>
      <c r="AQ31" s="200"/>
      <c r="AR31" s="200"/>
      <c r="AS31" s="200"/>
      <c r="AT31" s="200"/>
      <c r="AU31" s="200"/>
      <c r="AV31" s="200"/>
      <c r="AW31" s="200"/>
      <c r="AX31" s="200"/>
      <c r="AY31" s="200"/>
      <c r="AZ31" s="200"/>
      <c r="BA31" s="200"/>
      <c r="BB31" s="200"/>
      <c r="BC31" s="200"/>
      <c r="BD31" s="200"/>
      <c r="BE31" s="201" t="str">
        <f aca="false">IF(Eingabe!I35="","",Eingabe!I35)</f>
        <v/>
      </c>
      <c r="BF31" s="201"/>
      <c r="BG31" s="201"/>
      <c r="BH31" s="201"/>
      <c r="BI31" s="201"/>
      <c r="BJ31" s="202" t="str">
        <f aca="false">IF(Eingabe!I35="","",Eingabe!I35*Eingabe!B35)</f>
        <v/>
      </c>
      <c r="BK31" s="202"/>
      <c r="BL31" s="202"/>
      <c r="BM31" s="202"/>
      <c r="BN31" s="202"/>
      <c r="BO31" s="198"/>
      <c r="BP31" s="198"/>
      <c r="BQ31" s="198"/>
      <c r="BR31" s="198"/>
      <c r="BS31" s="198"/>
      <c r="BT31" s="198"/>
      <c r="BU31" s="198"/>
      <c r="BV31" s="198"/>
      <c r="BW31" s="198"/>
      <c r="BX31" s="198"/>
      <c r="BY31" s="198"/>
      <c r="BZ31" s="198"/>
      <c r="CA31" s="198"/>
      <c r="CB31" s="198"/>
      <c r="CC31" s="198"/>
      <c r="CD31" s="198"/>
      <c r="CE31" s="198"/>
      <c r="CF31" s="198"/>
      <c r="CG31" s="198"/>
      <c r="CH31" s="198"/>
      <c r="CI31" s="198"/>
      <c r="CJ31" s="198"/>
      <c r="CK31" s="198"/>
      <c r="CL31" s="198"/>
      <c r="CM31" s="198"/>
      <c r="CN31" s="198"/>
      <c r="CO31" s="198"/>
      <c r="CP31" s="198"/>
      <c r="CQ31" s="198"/>
      <c r="CR31" s="198"/>
      <c r="CS31" s="198"/>
      <c r="CT31" s="198"/>
      <c r="CU31" s="198"/>
      <c r="CV31" s="198"/>
      <c r="CW31" s="198"/>
      <c r="CX31" s="198"/>
      <c r="CY31" s="198"/>
      <c r="CZ31" s="198"/>
      <c r="DA31" s="198"/>
      <c r="DB31" s="198"/>
      <c r="DC31" s="198"/>
      <c r="DD31" s="198"/>
      <c r="DE31" s="198"/>
      <c r="DF31" s="198"/>
      <c r="DG31" s="198"/>
      <c r="DH31" s="198"/>
      <c r="DI31" s="198"/>
      <c r="DJ31" s="198"/>
      <c r="DK31" s="198"/>
      <c r="DL31" s="198"/>
      <c r="DM31" s="198"/>
      <c r="DN31" s="198"/>
      <c r="DO31" s="198"/>
      <c r="DP31" s="198"/>
      <c r="DQ31" s="198"/>
      <c r="DR31" s="198"/>
      <c r="DS31" s="198"/>
      <c r="DT31" s="198"/>
      <c r="DU31" s="198"/>
      <c r="DV31" s="198"/>
      <c r="DW31" s="198"/>
      <c r="DX31" s="198"/>
      <c r="DY31" s="198"/>
      <c r="DZ31" s="198"/>
      <c r="EA31" s="198"/>
      <c r="EB31" s="198"/>
      <c r="EC31" s="198"/>
      <c r="ED31" s="198"/>
      <c r="EE31" s="198"/>
      <c r="EF31" s="198"/>
      <c r="EG31" s="198"/>
      <c r="EH31" s="198"/>
      <c r="EI31" s="198"/>
      <c r="EJ31" s="198"/>
      <c r="EK31" s="198"/>
      <c r="EL31" s="198"/>
      <c r="EM31" s="198"/>
      <c r="EN31" s="198"/>
      <c r="EO31" s="198"/>
      <c r="EP31" s="198"/>
      <c r="EQ31" s="198"/>
      <c r="ER31" s="198"/>
      <c r="ES31" s="198"/>
      <c r="ET31" s="198"/>
      <c r="EU31" s="198"/>
      <c r="EV31" s="198"/>
      <c r="EW31" s="198"/>
      <c r="EX31" s="198"/>
      <c r="EY31" s="198"/>
      <c r="EZ31" s="198"/>
      <c r="FA31" s="198"/>
      <c r="FB31" s="198"/>
      <c r="FC31" s="198"/>
      <c r="FD31" s="198"/>
      <c r="FE31" s="198"/>
      <c r="FF31" s="198"/>
      <c r="FG31" s="198"/>
      <c r="FH31" s="198"/>
      <c r="FI31" s="198"/>
      <c r="FJ31" s="198"/>
      <c r="FK31" s="198"/>
      <c r="FL31" s="198"/>
      <c r="FM31" s="198"/>
      <c r="FN31" s="198"/>
      <c r="FO31" s="198"/>
      <c r="FP31" s="198"/>
      <c r="FQ31" s="198"/>
      <c r="FR31" s="198"/>
      <c r="FS31" s="198"/>
      <c r="FT31" s="198"/>
      <c r="FU31" s="198"/>
      <c r="FV31" s="198"/>
      <c r="FW31" s="198"/>
      <c r="FX31" s="198"/>
      <c r="FY31" s="198"/>
      <c r="FZ31" s="198"/>
      <c r="GA31" s="198"/>
      <c r="GB31" s="198"/>
      <c r="GC31" s="198"/>
      <c r="GD31" s="198"/>
      <c r="GE31" s="198"/>
      <c r="GF31" s="198"/>
      <c r="GG31" s="198"/>
      <c r="GH31" s="198"/>
      <c r="GI31" s="198"/>
      <c r="GJ31" s="198"/>
      <c r="GK31" s="198"/>
      <c r="GL31" s="198"/>
      <c r="GM31" s="198"/>
      <c r="GN31" s="198"/>
      <c r="GO31" s="198"/>
      <c r="GP31" s="198"/>
      <c r="GQ31" s="198"/>
      <c r="GR31" s="198"/>
      <c r="GS31" s="198"/>
      <c r="GT31" s="198"/>
      <c r="GU31" s="198"/>
      <c r="GV31" s="198"/>
      <c r="GW31" s="198"/>
      <c r="GX31" s="198"/>
      <c r="GY31" s="198"/>
      <c r="GZ31" s="198"/>
      <c r="HA31" s="198"/>
      <c r="HB31" s="198"/>
      <c r="HC31" s="198"/>
      <c r="HD31" s="198"/>
      <c r="HE31" s="198"/>
      <c r="HF31" s="198"/>
      <c r="HG31" s="198"/>
      <c r="HH31" s="198"/>
      <c r="HI31" s="198"/>
      <c r="HJ31" s="198"/>
      <c r="HK31" s="198"/>
      <c r="HL31" s="198"/>
      <c r="HM31" s="198"/>
      <c r="HN31" s="198"/>
      <c r="HO31" s="198"/>
      <c r="HP31" s="198"/>
      <c r="HQ31" s="198"/>
      <c r="HR31" s="198"/>
      <c r="HS31" s="198"/>
      <c r="HT31" s="198"/>
      <c r="HU31" s="198"/>
      <c r="HV31" s="198"/>
      <c r="HW31" s="198"/>
      <c r="HX31" s="198"/>
      <c r="HY31" s="198"/>
      <c r="HZ31" s="198"/>
      <c r="IA31" s="198"/>
      <c r="IB31" s="198"/>
      <c r="IC31" s="198"/>
      <c r="ID31" s="198"/>
      <c r="IE31" s="198"/>
      <c r="IF31" s="198"/>
      <c r="IG31" s="198"/>
      <c r="IH31" s="198"/>
      <c r="II31" s="198"/>
      <c r="IJ31" s="198"/>
      <c r="IK31" s="198"/>
      <c r="IL31" s="198"/>
      <c r="IM31" s="198"/>
      <c r="IN31" s="198"/>
      <c r="IO31" s="198"/>
      <c r="IP31" s="198"/>
      <c r="IQ31" s="198"/>
      <c r="IR31" s="198"/>
      <c r="IS31" s="198"/>
      <c r="IT31" s="198"/>
      <c r="IU31" s="198"/>
      <c r="IV31" s="198"/>
    </row>
    <row r="32" s="199" customFormat="true" ht="12.75" hidden="false" customHeight="true" outlineLevel="0" collapsed="false">
      <c r="A32" s="157" t="n">
        <f aca="false">IF(Eingabe!A36="","",Eingabe!A36)</f>
        <v>29</v>
      </c>
      <c r="B32" s="157"/>
      <c r="C32" s="157"/>
      <c r="D32" s="158" t="str">
        <f aca="false">IF(Eingabe!B36="","",Eingabe!B36)</f>
        <v/>
      </c>
      <c r="E32" s="158"/>
      <c r="F32" s="158"/>
      <c r="G32" s="158"/>
      <c r="H32" s="159" t="str">
        <f aca="false">IF(Eingabe!C36="","",Eingabe!C36)</f>
        <v/>
      </c>
      <c r="I32" s="159"/>
      <c r="J32" s="159"/>
      <c r="K32" s="159"/>
      <c r="L32" s="160" t="str">
        <f aca="false">IF(Eingabe!D36="","",Eingabe!D36)</f>
        <v/>
      </c>
      <c r="M32" s="160"/>
      <c r="N32" s="160"/>
      <c r="O32" s="160"/>
      <c r="P32" s="160"/>
      <c r="Q32" s="160"/>
      <c r="R32" s="160"/>
      <c r="S32" s="160"/>
      <c r="T32" s="160"/>
      <c r="U32" s="160"/>
      <c r="V32" s="160"/>
      <c r="W32" s="160"/>
      <c r="X32" s="160"/>
      <c r="Y32" s="160"/>
      <c r="Z32" s="160"/>
      <c r="AA32" s="160"/>
      <c r="AB32" s="160"/>
      <c r="AC32" s="160"/>
      <c r="AD32" s="160"/>
      <c r="AE32" s="160"/>
      <c r="AF32" s="160"/>
      <c r="AG32" s="160"/>
      <c r="AH32" s="200" t="str">
        <f aca="false">IF(Eingabe!F36&amp;Eingabe!G36="","",Eingabe!F36&amp;"  /  "&amp;Eingabe!G36)</f>
        <v/>
      </c>
      <c r="AI32" s="200"/>
      <c r="AJ32" s="200"/>
      <c r="AK32" s="200"/>
      <c r="AL32" s="200"/>
      <c r="AM32" s="200"/>
      <c r="AN32" s="200"/>
      <c r="AO32" s="200"/>
      <c r="AP32" s="200"/>
      <c r="AQ32" s="200"/>
      <c r="AR32" s="200"/>
      <c r="AS32" s="200"/>
      <c r="AT32" s="200"/>
      <c r="AU32" s="200"/>
      <c r="AV32" s="200"/>
      <c r="AW32" s="200"/>
      <c r="AX32" s="200"/>
      <c r="AY32" s="200"/>
      <c r="AZ32" s="200"/>
      <c r="BA32" s="200"/>
      <c r="BB32" s="200"/>
      <c r="BC32" s="200"/>
      <c r="BD32" s="200"/>
      <c r="BE32" s="201" t="str">
        <f aca="false">IF(Eingabe!I36="","",Eingabe!I36)</f>
        <v/>
      </c>
      <c r="BF32" s="201"/>
      <c r="BG32" s="201"/>
      <c r="BH32" s="201"/>
      <c r="BI32" s="201"/>
      <c r="BJ32" s="202" t="str">
        <f aca="false">IF(Eingabe!I36="","",Eingabe!I36*Eingabe!B36)</f>
        <v/>
      </c>
      <c r="BK32" s="202"/>
      <c r="BL32" s="202"/>
      <c r="BM32" s="202"/>
      <c r="BN32" s="202"/>
      <c r="BO32" s="198"/>
      <c r="BP32" s="198"/>
      <c r="BQ32" s="198"/>
      <c r="BR32" s="198"/>
      <c r="BS32" s="198"/>
      <c r="BT32" s="198"/>
      <c r="BU32" s="198"/>
      <c r="BV32" s="198"/>
      <c r="BW32" s="198"/>
      <c r="BX32" s="198"/>
      <c r="BY32" s="198"/>
      <c r="BZ32" s="198"/>
      <c r="CA32" s="198"/>
      <c r="CB32" s="198"/>
      <c r="CC32" s="198"/>
      <c r="CD32" s="198"/>
      <c r="CE32" s="198"/>
      <c r="CF32" s="198"/>
      <c r="CG32" s="198"/>
      <c r="CH32" s="198"/>
      <c r="CI32" s="198"/>
      <c r="CJ32" s="198"/>
      <c r="CK32" s="198"/>
      <c r="CL32" s="198"/>
      <c r="CM32" s="198"/>
      <c r="CN32" s="198"/>
      <c r="CO32" s="198"/>
      <c r="CP32" s="198"/>
      <c r="CQ32" s="198"/>
      <c r="CR32" s="198"/>
      <c r="CS32" s="198"/>
      <c r="CT32" s="198"/>
      <c r="CU32" s="198"/>
      <c r="CV32" s="198"/>
      <c r="CW32" s="198"/>
      <c r="CX32" s="198"/>
      <c r="CY32" s="198"/>
      <c r="CZ32" s="198"/>
      <c r="DA32" s="198"/>
      <c r="DB32" s="198"/>
      <c r="DC32" s="198"/>
      <c r="DD32" s="198"/>
      <c r="DE32" s="198"/>
      <c r="DF32" s="198"/>
      <c r="DG32" s="198"/>
      <c r="DH32" s="198"/>
      <c r="DI32" s="198"/>
      <c r="DJ32" s="198"/>
      <c r="DK32" s="198"/>
      <c r="DL32" s="198"/>
      <c r="DM32" s="198"/>
      <c r="DN32" s="198"/>
      <c r="DO32" s="198"/>
      <c r="DP32" s="198"/>
      <c r="DQ32" s="198"/>
      <c r="DR32" s="198"/>
      <c r="DS32" s="198"/>
      <c r="DT32" s="198"/>
      <c r="DU32" s="198"/>
      <c r="DV32" s="198"/>
      <c r="DW32" s="198"/>
      <c r="DX32" s="198"/>
      <c r="DY32" s="198"/>
      <c r="DZ32" s="198"/>
      <c r="EA32" s="198"/>
      <c r="EB32" s="198"/>
      <c r="EC32" s="198"/>
      <c r="ED32" s="198"/>
      <c r="EE32" s="198"/>
      <c r="EF32" s="198"/>
      <c r="EG32" s="198"/>
      <c r="EH32" s="198"/>
      <c r="EI32" s="198"/>
      <c r="EJ32" s="198"/>
      <c r="EK32" s="198"/>
      <c r="EL32" s="198"/>
      <c r="EM32" s="198"/>
      <c r="EN32" s="198"/>
      <c r="EO32" s="198"/>
      <c r="EP32" s="198"/>
      <c r="EQ32" s="198"/>
      <c r="ER32" s="198"/>
      <c r="ES32" s="198"/>
      <c r="ET32" s="198"/>
      <c r="EU32" s="198"/>
      <c r="EV32" s="198"/>
      <c r="EW32" s="198"/>
      <c r="EX32" s="198"/>
      <c r="EY32" s="198"/>
      <c r="EZ32" s="198"/>
      <c r="FA32" s="198"/>
      <c r="FB32" s="198"/>
      <c r="FC32" s="198"/>
      <c r="FD32" s="198"/>
      <c r="FE32" s="198"/>
      <c r="FF32" s="198"/>
      <c r="FG32" s="198"/>
      <c r="FH32" s="198"/>
      <c r="FI32" s="198"/>
      <c r="FJ32" s="198"/>
      <c r="FK32" s="198"/>
      <c r="FL32" s="198"/>
      <c r="FM32" s="198"/>
      <c r="FN32" s="198"/>
      <c r="FO32" s="198"/>
      <c r="FP32" s="198"/>
      <c r="FQ32" s="198"/>
      <c r="FR32" s="198"/>
      <c r="FS32" s="198"/>
      <c r="FT32" s="198"/>
      <c r="FU32" s="198"/>
      <c r="FV32" s="198"/>
      <c r="FW32" s="198"/>
      <c r="FX32" s="198"/>
      <c r="FY32" s="198"/>
      <c r="FZ32" s="198"/>
      <c r="GA32" s="198"/>
      <c r="GB32" s="198"/>
      <c r="GC32" s="198"/>
      <c r="GD32" s="198"/>
      <c r="GE32" s="198"/>
      <c r="GF32" s="198"/>
      <c r="GG32" s="198"/>
      <c r="GH32" s="198"/>
      <c r="GI32" s="198"/>
      <c r="GJ32" s="198"/>
      <c r="GK32" s="198"/>
      <c r="GL32" s="198"/>
      <c r="GM32" s="198"/>
      <c r="GN32" s="198"/>
      <c r="GO32" s="198"/>
      <c r="GP32" s="198"/>
      <c r="GQ32" s="198"/>
      <c r="GR32" s="198"/>
      <c r="GS32" s="198"/>
      <c r="GT32" s="198"/>
      <c r="GU32" s="198"/>
      <c r="GV32" s="198"/>
      <c r="GW32" s="198"/>
      <c r="GX32" s="198"/>
      <c r="GY32" s="198"/>
      <c r="GZ32" s="198"/>
      <c r="HA32" s="198"/>
      <c r="HB32" s="198"/>
      <c r="HC32" s="198"/>
      <c r="HD32" s="198"/>
      <c r="HE32" s="198"/>
      <c r="HF32" s="198"/>
      <c r="HG32" s="198"/>
      <c r="HH32" s="198"/>
      <c r="HI32" s="198"/>
      <c r="HJ32" s="198"/>
      <c r="HK32" s="198"/>
      <c r="HL32" s="198"/>
      <c r="HM32" s="198"/>
      <c r="HN32" s="198"/>
      <c r="HO32" s="198"/>
      <c r="HP32" s="198"/>
      <c r="HQ32" s="198"/>
      <c r="HR32" s="198"/>
      <c r="HS32" s="198"/>
      <c r="HT32" s="198"/>
      <c r="HU32" s="198"/>
      <c r="HV32" s="198"/>
      <c r="HW32" s="198"/>
      <c r="HX32" s="198"/>
      <c r="HY32" s="198"/>
      <c r="HZ32" s="198"/>
      <c r="IA32" s="198"/>
      <c r="IB32" s="198"/>
      <c r="IC32" s="198"/>
      <c r="ID32" s="198"/>
      <c r="IE32" s="198"/>
      <c r="IF32" s="198"/>
      <c r="IG32" s="198"/>
      <c r="IH32" s="198"/>
      <c r="II32" s="198"/>
      <c r="IJ32" s="198"/>
      <c r="IK32" s="198"/>
      <c r="IL32" s="198"/>
      <c r="IM32" s="198"/>
      <c r="IN32" s="198"/>
      <c r="IO32" s="198"/>
      <c r="IP32" s="198"/>
      <c r="IQ32" s="198"/>
      <c r="IR32" s="198"/>
      <c r="IS32" s="198"/>
      <c r="IT32" s="198"/>
      <c r="IU32" s="198"/>
      <c r="IV32" s="198"/>
    </row>
    <row r="33" s="199" customFormat="true" ht="12.75" hidden="false" customHeight="true" outlineLevel="0" collapsed="false">
      <c r="A33" s="157" t="n">
        <f aca="false">IF(Eingabe!A37="","",Eingabe!A37)</f>
        <v>30</v>
      </c>
      <c r="B33" s="157"/>
      <c r="C33" s="157"/>
      <c r="D33" s="158" t="str">
        <f aca="false">IF(Eingabe!B37="","",Eingabe!B37)</f>
        <v/>
      </c>
      <c r="E33" s="158"/>
      <c r="F33" s="158"/>
      <c r="G33" s="158"/>
      <c r="H33" s="159" t="str">
        <f aca="false">IF(Eingabe!C37="","",Eingabe!C37)</f>
        <v/>
      </c>
      <c r="I33" s="159"/>
      <c r="J33" s="159"/>
      <c r="K33" s="159"/>
      <c r="L33" s="160" t="str">
        <f aca="false">IF(Eingabe!D37="","",Eingabe!D37)</f>
        <v/>
      </c>
      <c r="M33" s="160"/>
      <c r="N33" s="160"/>
      <c r="O33" s="160"/>
      <c r="P33" s="160"/>
      <c r="Q33" s="160"/>
      <c r="R33" s="160"/>
      <c r="S33" s="160"/>
      <c r="T33" s="160"/>
      <c r="U33" s="160"/>
      <c r="V33" s="160"/>
      <c r="W33" s="160"/>
      <c r="X33" s="160"/>
      <c r="Y33" s="160"/>
      <c r="Z33" s="160"/>
      <c r="AA33" s="160"/>
      <c r="AB33" s="160"/>
      <c r="AC33" s="160"/>
      <c r="AD33" s="160"/>
      <c r="AE33" s="160"/>
      <c r="AF33" s="160"/>
      <c r="AG33" s="160"/>
      <c r="AH33" s="200" t="str">
        <f aca="false">IF(Eingabe!F37&amp;Eingabe!G37="","",Eingabe!F37&amp;"  /  "&amp;Eingabe!G37)</f>
        <v/>
      </c>
      <c r="AI33" s="200"/>
      <c r="AJ33" s="200"/>
      <c r="AK33" s="200"/>
      <c r="AL33" s="200"/>
      <c r="AM33" s="200"/>
      <c r="AN33" s="200"/>
      <c r="AO33" s="200"/>
      <c r="AP33" s="200"/>
      <c r="AQ33" s="200"/>
      <c r="AR33" s="200"/>
      <c r="AS33" s="200"/>
      <c r="AT33" s="200"/>
      <c r="AU33" s="200"/>
      <c r="AV33" s="200"/>
      <c r="AW33" s="200"/>
      <c r="AX33" s="200"/>
      <c r="AY33" s="200"/>
      <c r="AZ33" s="200"/>
      <c r="BA33" s="200"/>
      <c r="BB33" s="200"/>
      <c r="BC33" s="200"/>
      <c r="BD33" s="200"/>
      <c r="BE33" s="201" t="str">
        <f aca="false">IF(Eingabe!I37="","",Eingabe!I37)</f>
        <v/>
      </c>
      <c r="BF33" s="201"/>
      <c r="BG33" s="201"/>
      <c r="BH33" s="201"/>
      <c r="BI33" s="201"/>
      <c r="BJ33" s="202" t="str">
        <f aca="false">IF(Eingabe!I37="","",Eingabe!I37*Eingabe!B37)</f>
        <v/>
      </c>
      <c r="BK33" s="202"/>
      <c r="BL33" s="202"/>
      <c r="BM33" s="202"/>
      <c r="BN33" s="202"/>
      <c r="BO33" s="198"/>
      <c r="BP33" s="198"/>
      <c r="BQ33" s="198"/>
      <c r="BR33" s="198"/>
      <c r="BS33" s="198"/>
      <c r="BT33" s="198"/>
      <c r="BU33" s="198"/>
      <c r="BV33" s="198"/>
      <c r="BW33" s="198"/>
      <c r="BX33" s="198"/>
      <c r="BY33" s="198"/>
      <c r="BZ33" s="198"/>
      <c r="CA33" s="198"/>
      <c r="CB33" s="198"/>
      <c r="CC33" s="198"/>
      <c r="CD33" s="198"/>
      <c r="CE33" s="198"/>
      <c r="CF33" s="198"/>
      <c r="CG33" s="198"/>
      <c r="CH33" s="198"/>
      <c r="CI33" s="198"/>
      <c r="CJ33" s="198"/>
      <c r="CK33" s="198"/>
      <c r="CL33" s="198"/>
      <c r="CM33" s="198"/>
      <c r="CN33" s="198"/>
      <c r="CO33" s="198"/>
      <c r="CP33" s="198"/>
      <c r="CQ33" s="198"/>
      <c r="CR33" s="198"/>
      <c r="CS33" s="198"/>
      <c r="CT33" s="198"/>
      <c r="CU33" s="198"/>
      <c r="CV33" s="198"/>
      <c r="CW33" s="198"/>
      <c r="CX33" s="198"/>
      <c r="CY33" s="198"/>
      <c r="CZ33" s="198"/>
      <c r="DA33" s="198"/>
      <c r="DB33" s="198"/>
      <c r="DC33" s="198"/>
      <c r="DD33" s="198"/>
      <c r="DE33" s="198"/>
      <c r="DF33" s="198"/>
      <c r="DG33" s="198"/>
      <c r="DH33" s="198"/>
      <c r="DI33" s="198"/>
      <c r="DJ33" s="198"/>
      <c r="DK33" s="198"/>
      <c r="DL33" s="198"/>
      <c r="DM33" s="198"/>
      <c r="DN33" s="198"/>
      <c r="DO33" s="198"/>
      <c r="DP33" s="198"/>
      <c r="DQ33" s="198"/>
      <c r="DR33" s="198"/>
      <c r="DS33" s="198"/>
      <c r="DT33" s="198"/>
      <c r="DU33" s="198"/>
      <c r="DV33" s="198"/>
      <c r="DW33" s="198"/>
      <c r="DX33" s="198"/>
      <c r="DY33" s="198"/>
      <c r="DZ33" s="198"/>
      <c r="EA33" s="198"/>
      <c r="EB33" s="198"/>
      <c r="EC33" s="198"/>
      <c r="ED33" s="198"/>
      <c r="EE33" s="198"/>
      <c r="EF33" s="198"/>
      <c r="EG33" s="198"/>
      <c r="EH33" s="198"/>
      <c r="EI33" s="198"/>
      <c r="EJ33" s="198"/>
      <c r="EK33" s="198"/>
      <c r="EL33" s="198"/>
      <c r="EM33" s="198"/>
      <c r="EN33" s="198"/>
      <c r="EO33" s="198"/>
      <c r="EP33" s="198"/>
      <c r="EQ33" s="198"/>
      <c r="ER33" s="198"/>
      <c r="ES33" s="198"/>
      <c r="ET33" s="198"/>
      <c r="EU33" s="198"/>
      <c r="EV33" s="198"/>
      <c r="EW33" s="198"/>
      <c r="EX33" s="198"/>
      <c r="EY33" s="198"/>
      <c r="EZ33" s="198"/>
      <c r="FA33" s="198"/>
      <c r="FB33" s="198"/>
      <c r="FC33" s="198"/>
      <c r="FD33" s="198"/>
      <c r="FE33" s="198"/>
      <c r="FF33" s="198"/>
      <c r="FG33" s="198"/>
      <c r="FH33" s="198"/>
      <c r="FI33" s="198"/>
      <c r="FJ33" s="198"/>
      <c r="FK33" s="198"/>
      <c r="FL33" s="198"/>
      <c r="FM33" s="198"/>
      <c r="FN33" s="198"/>
      <c r="FO33" s="198"/>
      <c r="FP33" s="198"/>
      <c r="FQ33" s="198"/>
      <c r="FR33" s="198"/>
      <c r="FS33" s="198"/>
      <c r="FT33" s="198"/>
      <c r="FU33" s="198"/>
      <c r="FV33" s="198"/>
      <c r="FW33" s="198"/>
      <c r="FX33" s="198"/>
      <c r="FY33" s="198"/>
      <c r="FZ33" s="198"/>
      <c r="GA33" s="198"/>
      <c r="GB33" s="198"/>
      <c r="GC33" s="198"/>
      <c r="GD33" s="198"/>
      <c r="GE33" s="198"/>
      <c r="GF33" s="198"/>
      <c r="GG33" s="198"/>
      <c r="GH33" s="198"/>
      <c r="GI33" s="198"/>
      <c r="GJ33" s="198"/>
      <c r="GK33" s="198"/>
      <c r="GL33" s="198"/>
      <c r="GM33" s="198"/>
      <c r="GN33" s="198"/>
      <c r="GO33" s="198"/>
      <c r="GP33" s="198"/>
      <c r="GQ33" s="198"/>
      <c r="GR33" s="198"/>
      <c r="GS33" s="198"/>
      <c r="GT33" s="198"/>
      <c r="GU33" s="198"/>
      <c r="GV33" s="198"/>
      <c r="GW33" s="198"/>
      <c r="GX33" s="198"/>
      <c r="GY33" s="198"/>
      <c r="GZ33" s="198"/>
      <c r="HA33" s="198"/>
      <c r="HB33" s="198"/>
      <c r="HC33" s="198"/>
      <c r="HD33" s="198"/>
      <c r="HE33" s="198"/>
      <c r="HF33" s="198"/>
      <c r="HG33" s="198"/>
      <c r="HH33" s="198"/>
      <c r="HI33" s="198"/>
      <c r="HJ33" s="198"/>
      <c r="HK33" s="198"/>
      <c r="HL33" s="198"/>
      <c r="HM33" s="198"/>
      <c r="HN33" s="198"/>
      <c r="HO33" s="198"/>
      <c r="HP33" s="198"/>
      <c r="HQ33" s="198"/>
      <c r="HR33" s="198"/>
      <c r="HS33" s="198"/>
      <c r="HT33" s="198"/>
      <c r="HU33" s="198"/>
      <c r="HV33" s="198"/>
      <c r="HW33" s="198"/>
      <c r="HX33" s="198"/>
      <c r="HY33" s="198"/>
      <c r="HZ33" s="198"/>
      <c r="IA33" s="198"/>
      <c r="IB33" s="198"/>
      <c r="IC33" s="198"/>
      <c r="ID33" s="198"/>
      <c r="IE33" s="198"/>
      <c r="IF33" s="198"/>
      <c r="IG33" s="198"/>
      <c r="IH33" s="198"/>
      <c r="II33" s="198"/>
      <c r="IJ33" s="198"/>
      <c r="IK33" s="198"/>
      <c r="IL33" s="198"/>
      <c r="IM33" s="198"/>
      <c r="IN33" s="198"/>
      <c r="IO33" s="198"/>
      <c r="IP33" s="198"/>
      <c r="IQ33" s="198"/>
      <c r="IR33" s="198"/>
      <c r="IS33" s="198"/>
      <c r="IT33" s="198"/>
      <c r="IU33" s="198"/>
      <c r="IV33" s="198"/>
    </row>
    <row r="34" s="199" customFormat="true" ht="12.75" hidden="false" customHeight="true" outlineLevel="0" collapsed="false">
      <c r="A34" s="157" t="n">
        <f aca="false">IF(Eingabe!A38="","",Eingabe!A38)</f>
        <v>31</v>
      </c>
      <c r="B34" s="157"/>
      <c r="C34" s="157"/>
      <c r="D34" s="158" t="str">
        <f aca="false">IF(Eingabe!B38="","",Eingabe!B38)</f>
        <v/>
      </c>
      <c r="E34" s="158"/>
      <c r="F34" s="158"/>
      <c r="G34" s="158"/>
      <c r="H34" s="159" t="str">
        <f aca="false">IF(Eingabe!C38="","",Eingabe!C38)</f>
        <v/>
      </c>
      <c r="I34" s="159"/>
      <c r="J34" s="159"/>
      <c r="K34" s="159"/>
      <c r="L34" s="160" t="str">
        <f aca="false">IF(Eingabe!D38="","",Eingabe!D38)</f>
        <v/>
      </c>
      <c r="M34" s="160"/>
      <c r="N34" s="160"/>
      <c r="O34" s="160"/>
      <c r="P34" s="160"/>
      <c r="Q34" s="160"/>
      <c r="R34" s="160"/>
      <c r="S34" s="160"/>
      <c r="T34" s="160"/>
      <c r="U34" s="160"/>
      <c r="V34" s="160"/>
      <c r="W34" s="160"/>
      <c r="X34" s="160"/>
      <c r="Y34" s="160"/>
      <c r="Z34" s="160"/>
      <c r="AA34" s="160"/>
      <c r="AB34" s="160"/>
      <c r="AC34" s="160"/>
      <c r="AD34" s="160"/>
      <c r="AE34" s="160"/>
      <c r="AF34" s="160"/>
      <c r="AG34" s="160"/>
      <c r="AH34" s="200" t="str">
        <f aca="false">IF(Eingabe!F38&amp;Eingabe!G38="","",Eingabe!F38&amp;"  /  "&amp;Eingabe!G38)</f>
        <v/>
      </c>
      <c r="AI34" s="200"/>
      <c r="AJ34" s="200"/>
      <c r="AK34" s="200"/>
      <c r="AL34" s="200"/>
      <c r="AM34" s="200"/>
      <c r="AN34" s="200"/>
      <c r="AO34" s="200"/>
      <c r="AP34" s="200"/>
      <c r="AQ34" s="200"/>
      <c r="AR34" s="200"/>
      <c r="AS34" s="200"/>
      <c r="AT34" s="200"/>
      <c r="AU34" s="200"/>
      <c r="AV34" s="200"/>
      <c r="AW34" s="200"/>
      <c r="AX34" s="200"/>
      <c r="AY34" s="200"/>
      <c r="AZ34" s="200"/>
      <c r="BA34" s="200"/>
      <c r="BB34" s="200"/>
      <c r="BC34" s="200"/>
      <c r="BD34" s="200"/>
      <c r="BE34" s="201" t="str">
        <f aca="false">IF(Eingabe!I38="","",Eingabe!I38)</f>
        <v/>
      </c>
      <c r="BF34" s="201"/>
      <c r="BG34" s="201"/>
      <c r="BH34" s="201"/>
      <c r="BI34" s="201"/>
      <c r="BJ34" s="202" t="str">
        <f aca="false">IF(Eingabe!I38="","",Eingabe!I38*Eingabe!B38)</f>
        <v/>
      </c>
      <c r="BK34" s="202"/>
      <c r="BL34" s="202"/>
      <c r="BM34" s="202"/>
      <c r="BN34" s="202"/>
      <c r="BO34" s="198"/>
      <c r="BP34" s="198"/>
      <c r="BQ34" s="198"/>
      <c r="BR34" s="198"/>
      <c r="BS34" s="198"/>
      <c r="BT34" s="198"/>
      <c r="BU34" s="198"/>
      <c r="BV34" s="198"/>
      <c r="BW34" s="198"/>
      <c r="BX34" s="198"/>
      <c r="BY34" s="198"/>
      <c r="BZ34" s="198"/>
      <c r="CA34" s="198"/>
      <c r="CB34" s="198"/>
      <c r="CC34" s="198"/>
      <c r="CD34" s="198"/>
      <c r="CE34" s="198"/>
      <c r="CF34" s="198"/>
      <c r="CG34" s="198"/>
      <c r="CH34" s="198"/>
      <c r="CI34" s="198"/>
      <c r="CJ34" s="198"/>
      <c r="CK34" s="198"/>
      <c r="CL34" s="198"/>
      <c r="CM34" s="198"/>
      <c r="CN34" s="198"/>
      <c r="CO34" s="198"/>
      <c r="CP34" s="198"/>
      <c r="CQ34" s="198"/>
      <c r="CR34" s="198"/>
      <c r="CS34" s="198"/>
      <c r="CT34" s="198"/>
      <c r="CU34" s="198"/>
      <c r="CV34" s="198"/>
      <c r="CW34" s="198"/>
      <c r="CX34" s="198"/>
      <c r="CY34" s="198"/>
      <c r="CZ34" s="198"/>
      <c r="DA34" s="198"/>
      <c r="DB34" s="198"/>
      <c r="DC34" s="198"/>
      <c r="DD34" s="198"/>
      <c r="DE34" s="198"/>
      <c r="DF34" s="198"/>
      <c r="DG34" s="198"/>
      <c r="DH34" s="198"/>
      <c r="DI34" s="198"/>
      <c r="DJ34" s="198"/>
      <c r="DK34" s="198"/>
      <c r="DL34" s="198"/>
      <c r="DM34" s="198"/>
      <c r="DN34" s="198"/>
      <c r="DO34" s="198"/>
      <c r="DP34" s="198"/>
      <c r="DQ34" s="198"/>
      <c r="DR34" s="198"/>
      <c r="DS34" s="198"/>
      <c r="DT34" s="198"/>
      <c r="DU34" s="198"/>
      <c r="DV34" s="198"/>
      <c r="DW34" s="198"/>
      <c r="DX34" s="198"/>
      <c r="DY34" s="198"/>
      <c r="DZ34" s="198"/>
      <c r="EA34" s="198"/>
      <c r="EB34" s="198"/>
      <c r="EC34" s="198"/>
      <c r="ED34" s="198"/>
      <c r="EE34" s="198"/>
      <c r="EF34" s="198"/>
      <c r="EG34" s="198"/>
      <c r="EH34" s="198"/>
      <c r="EI34" s="198"/>
      <c r="EJ34" s="198"/>
      <c r="EK34" s="198"/>
      <c r="EL34" s="198"/>
      <c r="EM34" s="198"/>
      <c r="EN34" s="198"/>
      <c r="EO34" s="198"/>
      <c r="EP34" s="198"/>
      <c r="EQ34" s="198"/>
      <c r="ER34" s="198"/>
      <c r="ES34" s="198"/>
      <c r="ET34" s="198"/>
      <c r="EU34" s="198"/>
      <c r="EV34" s="198"/>
      <c r="EW34" s="198"/>
      <c r="EX34" s="198"/>
      <c r="EY34" s="198"/>
      <c r="EZ34" s="198"/>
      <c r="FA34" s="198"/>
      <c r="FB34" s="198"/>
      <c r="FC34" s="198"/>
      <c r="FD34" s="198"/>
      <c r="FE34" s="198"/>
      <c r="FF34" s="198"/>
      <c r="FG34" s="198"/>
      <c r="FH34" s="198"/>
      <c r="FI34" s="198"/>
      <c r="FJ34" s="198"/>
      <c r="FK34" s="198"/>
      <c r="FL34" s="198"/>
      <c r="FM34" s="198"/>
      <c r="FN34" s="198"/>
      <c r="FO34" s="198"/>
      <c r="FP34" s="198"/>
      <c r="FQ34" s="198"/>
      <c r="FR34" s="198"/>
      <c r="FS34" s="198"/>
      <c r="FT34" s="198"/>
      <c r="FU34" s="198"/>
      <c r="FV34" s="198"/>
      <c r="FW34" s="198"/>
      <c r="FX34" s="198"/>
      <c r="FY34" s="198"/>
      <c r="FZ34" s="198"/>
      <c r="GA34" s="198"/>
      <c r="GB34" s="198"/>
      <c r="GC34" s="198"/>
      <c r="GD34" s="198"/>
      <c r="GE34" s="198"/>
      <c r="GF34" s="198"/>
      <c r="GG34" s="198"/>
      <c r="GH34" s="198"/>
      <c r="GI34" s="198"/>
      <c r="GJ34" s="198"/>
      <c r="GK34" s="198"/>
      <c r="GL34" s="198"/>
      <c r="GM34" s="198"/>
      <c r="GN34" s="198"/>
      <c r="GO34" s="198"/>
      <c r="GP34" s="198"/>
      <c r="GQ34" s="198"/>
      <c r="GR34" s="198"/>
      <c r="GS34" s="198"/>
      <c r="GT34" s="198"/>
      <c r="GU34" s="198"/>
      <c r="GV34" s="198"/>
      <c r="GW34" s="198"/>
      <c r="GX34" s="198"/>
      <c r="GY34" s="198"/>
      <c r="GZ34" s="198"/>
      <c r="HA34" s="198"/>
      <c r="HB34" s="198"/>
      <c r="HC34" s="198"/>
      <c r="HD34" s="198"/>
      <c r="HE34" s="198"/>
      <c r="HF34" s="198"/>
      <c r="HG34" s="198"/>
      <c r="HH34" s="198"/>
      <c r="HI34" s="198"/>
      <c r="HJ34" s="198"/>
      <c r="HK34" s="198"/>
      <c r="HL34" s="198"/>
      <c r="HM34" s="198"/>
      <c r="HN34" s="198"/>
      <c r="HO34" s="198"/>
      <c r="HP34" s="198"/>
      <c r="HQ34" s="198"/>
      <c r="HR34" s="198"/>
      <c r="HS34" s="198"/>
      <c r="HT34" s="198"/>
      <c r="HU34" s="198"/>
      <c r="HV34" s="198"/>
      <c r="HW34" s="198"/>
      <c r="HX34" s="198"/>
      <c r="HY34" s="198"/>
      <c r="HZ34" s="198"/>
      <c r="IA34" s="198"/>
      <c r="IB34" s="198"/>
      <c r="IC34" s="198"/>
      <c r="ID34" s="198"/>
      <c r="IE34" s="198"/>
      <c r="IF34" s="198"/>
      <c r="IG34" s="198"/>
      <c r="IH34" s="198"/>
      <c r="II34" s="198"/>
      <c r="IJ34" s="198"/>
      <c r="IK34" s="198"/>
      <c r="IL34" s="198"/>
      <c r="IM34" s="198"/>
      <c r="IN34" s="198"/>
      <c r="IO34" s="198"/>
      <c r="IP34" s="198"/>
      <c r="IQ34" s="198"/>
      <c r="IR34" s="198"/>
      <c r="IS34" s="198"/>
      <c r="IT34" s="198"/>
      <c r="IU34" s="198"/>
      <c r="IV34" s="198"/>
    </row>
    <row r="35" s="199" customFormat="true" ht="12.75" hidden="false" customHeight="true" outlineLevel="0" collapsed="false">
      <c r="A35" s="157" t="str">
        <f aca="false">IF(Eingabe!A39="","",Eingabe!A39)</f>
        <v/>
      </c>
      <c r="B35" s="157"/>
      <c r="C35" s="157"/>
      <c r="D35" s="158" t="str">
        <f aca="false">IF(Eingabe!B39="","",Eingabe!B39)</f>
        <v/>
      </c>
      <c r="E35" s="158"/>
      <c r="F35" s="158"/>
      <c r="G35" s="158"/>
      <c r="H35" s="159" t="str">
        <f aca="false">IF(Eingabe!C39="","",Eingabe!C39)</f>
        <v/>
      </c>
      <c r="I35" s="159"/>
      <c r="J35" s="159"/>
      <c r="K35" s="159"/>
      <c r="L35" s="160" t="str">
        <f aca="false">IF(Eingabe!D39="","",Eingabe!D39)</f>
        <v/>
      </c>
      <c r="M35" s="160"/>
      <c r="N35" s="160"/>
      <c r="O35" s="160"/>
      <c r="P35" s="160"/>
      <c r="Q35" s="160"/>
      <c r="R35" s="160"/>
      <c r="S35" s="160"/>
      <c r="T35" s="160"/>
      <c r="U35" s="160"/>
      <c r="V35" s="160"/>
      <c r="W35" s="160"/>
      <c r="X35" s="160"/>
      <c r="Y35" s="160"/>
      <c r="Z35" s="160"/>
      <c r="AA35" s="160"/>
      <c r="AB35" s="160"/>
      <c r="AC35" s="160"/>
      <c r="AD35" s="160"/>
      <c r="AE35" s="160"/>
      <c r="AF35" s="160"/>
      <c r="AG35" s="160"/>
      <c r="AH35" s="200" t="str">
        <f aca="false">IF(Eingabe!F39&amp;Eingabe!G39="","",Eingabe!F39&amp;"  /  "&amp;Eingabe!G39)</f>
        <v/>
      </c>
      <c r="AI35" s="200"/>
      <c r="AJ35" s="200"/>
      <c r="AK35" s="200"/>
      <c r="AL35" s="200"/>
      <c r="AM35" s="200"/>
      <c r="AN35" s="200"/>
      <c r="AO35" s="200"/>
      <c r="AP35" s="200"/>
      <c r="AQ35" s="200"/>
      <c r="AR35" s="200"/>
      <c r="AS35" s="200"/>
      <c r="AT35" s="200"/>
      <c r="AU35" s="200"/>
      <c r="AV35" s="200"/>
      <c r="AW35" s="200"/>
      <c r="AX35" s="200"/>
      <c r="AY35" s="200"/>
      <c r="AZ35" s="200"/>
      <c r="BA35" s="200"/>
      <c r="BB35" s="200"/>
      <c r="BC35" s="200"/>
      <c r="BD35" s="200"/>
      <c r="BE35" s="201" t="str">
        <f aca="false">IF(Eingabe!I39="","",Eingabe!I39)</f>
        <v/>
      </c>
      <c r="BF35" s="201"/>
      <c r="BG35" s="201"/>
      <c r="BH35" s="201"/>
      <c r="BI35" s="201"/>
      <c r="BJ35" s="202" t="str">
        <f aca="false">IF(Eingabe!I39="","",Eingabe!I39*Eingabe!B39)</f>
        <v/>
      </c>
      <c r="BK35" s="202"/>
      <c r="BL35" s="202"/>
      <c r="BM35" s="202"/>
      <c r="BN35" s="202"/>
      <c r="BO35" s="198"/>
      <c r="BP35" s="198"/>
      <c r="BQ35" s="198"/>
      <c r="BR35" s="198"/>
      <c r="BS35" s="198"/>
      <c r="BT35" s="198"/>
      <c r="BU35" s="198"/>
      <c r="BV35" s="198"/>
      <c r="BW35" s="198"/>
      <c r="BX35" s="198"/>
      <c r="BY35" s="198"/>
      <c r="BZ35" s="198"/>
      <c r="CA35" s="198"/>
      <c r="CB35" s="198"/>
      <c r="CC35" s="198"/>
      <c r="CD35" s="198"/>
      <c r="CE35" s="198"/>
      <c r="CF35" s="198"/>
      <c r="CG35" s="198"/>
      <c r="CH35" s="198"/>
      <c r="CI35" s="198"/>
      <c r="CJ35" s="198"/>
      <c r="CK35" s="198"/>
      <c r="CL35" s="198"/>
      <c r="CM35" s="198"/>
      <c r="CN35" s="198"/>
      <c r="CO35" s="198"/>
      <c r="CP35" s="198"/>
      <c r="CQ35" s="198"/>
      <c r="CR35" s="198"/>
      <c r="CS35" s="198"/>
      <c r="CT35" s="198"/>
      <c r="CU35" s="198"/>
      <c r="CV35" s="198"/>
      <c r="CW35" s="198"/>
      <c r="CX35" s="198"/>
      <c r="CY35" s="198"/>
      <c r="CZ35" s="198"/>
      <c r="DA35" s="198"/>
      <c r="DB35" s="198"/>
      <c r="DC35" s="198"/>
      <c r="DD35" s="198"/>
      <c r="DE35" s="198"/>
      <c r="DF35" s="198"/>
      <c r="DG35" s="198"/>
      <c r="DH35" s="198"/>
      <c r="DI35" s="198"/>
      <c r="DJ35" s="198"/>
      <c r="DK35" s="198"/>
      <c r="DL35" s="198"/>
      <c r="DM35" s="198"/>
      <c r="DN35" s="198"/>
      <c r="DO35" s="198"/>
      <c r="DP35" s="198"/>
      <c r="DQ35" s="198"/>
      <c r="DR35" s="198"/>
      <c r="DS35" s="198"/>
      <c r="DT35" s="198"/>
      <c r="DU35" s="198"/>
      <c r="DV35" s="198"/>
      <c r="DW35" s="198"/>
      <c r="DX35" s="198"/>
      <c r="DY35" s="198"/>
      <c r="DZ35" s="198"/>
      <c r="EA35" s="198"/>
      <c r="EB35" s="198"/>
      <c r="EC35" s="198"/>
      <c r="ED35" s="198"/>
      <c r="EE35" s="198"/>
      <c r="EF35" s="198"/>
      <c r="EG35" s="198"/>
      <c r="EH35" s="198"/>
      <c r="EI35" s="198"/>
      <c r="EJ35" s="198"/>
      <c r="EK35" s="198"/>
      <c r="EL35" s="198"/>
      <c r="EM35" s="198"/>
      <c r="EN35" s="198"/>
      <c r="EO35" s="198"/>
      <c r="EP35" s="198"/>
      <c r="EQ35" s="198"/>
      <c r="ER35" s="198"/>
      <c r="ES35" s="198"/>
      <c r="ET35" s="198"/>
      <c r="EU35" s="198"/>
      <c r="EV35" s="198"/>
      <c r="EW35" s="198"/>
      <c r="EX35" s="198"/>
      <c r="EY35" s="198"/>
      <c r="EZ35" s="198"/>
      <c r="FA35" s="198"/>
      <c r="FB35" s="198"/>
      <c r="FC35" s="198"/>
      <c r="FD35" s="198"/>
      <c r="FE35" s="198"/>
      <c r="FF35" s="198"/>
      <c r="FG35" s="198"/>
      <c r="FH35" s="198"/>
      <c r="FI35" s="198"/>
      <c r="FJ35" s="198"/>
      <c r="FK35" s="198"/>
      <c r="FL35" s="198"/>
      <c r="FM35" s="198"/>
      <c r="FN35" s="198"/>
      <c r="FO35" s="198"/>
      <c r="FP35" s="198"/>
      <c r="FQ35" s="198"/>
      <c r="FR35" s="198"/>
      <c r="FS35" s="198"/>
      <c r="FT35" s="198"/>
      <c r="FU35" s="198"/>
      <c r="FV35" s="198"/>
      <c r="FW35" s="198"/>
      <c r="FX35" s="198"/>
      <c r="FY35" s="198"/>
      <c r="FZ35" s="198"/>
      <c r="GA35" s="198"/>
      <c r="GB35" s="198"/>
      <c r="GC35" s="198"/>
      <c r="GD35" s="198"/>
      <c r="GE35" s="198"/>
      <c r="GF35" s="198"/>
      <c r="GG35" s="198"/>
      <c r="GH35" s="198"/>
      <c r="GI35" s="198"/>
      <c r="GJ35" s="198"/>
      <c r="GK35" s="198"/>
      <c r="GL35" s="198"/>
      <c r="GM35" s="198"/>
      <c r="GN35" s="198"/>
      <c r="GO35" s="198"/>
      <c r="GP35" s="198"/>
      <c r="GQ35" s="198"/>
      <c r="GR35" s="198"/>
      <c r="GS35" s="198"/>
      <c r="GT35" s="198"/>
      <c r="GU35" s="198"/>
      <c r="GV35" s="198"/>
      <c r="GW35" s="198"/>
      <c r="GX35" s="198"/>
      <c r="GY35" s="198"/>
      <c r="GZ35" s="198"/>
      <c r="HA35" s="198"/>
      <c r="HB35" s="198"/>
      <c r="HC35" s="198"/>
      <c r="HD35" s="198"/>
      <c r="HE35" s="198"/>
      <c r="HF35" s="198"/>
      <c r="HG35" s="198"/>
      <c r="HH35" s="198"/>
      <c r="HI35" s="198"/>
      <c r="HJ35" s="198"/>
      <c r="HK35" s="198"/>
      <c r="HL35" s="198"/>
      <c r="HM35" s="198"/>
      <c r="HN35" s="198"/>
      <c r="HO35" s="198"/>
      <c r="HP35" s="198"/>
      <c r="HQ35" s="198"/>
      <c r="HR35" s="198"/>
      <c r="HS35" s="198"/>
      <c r="HT35" s="198"/>
      <c r="HU35" s="198"/>
      <c r="HV35" s="198"/>
      <c r="HW35" s="198"/>
      <c r="HX35" s="198"/>
      <c r="HY35" s="198"/>
      <c r="HZ35" s="198"/>
      <c r="IA35" s="198"/>
      <c r="IB35" s="198"/>
      <c r="IC35" s="198"/>
      <c r="ID35" s="198"/>
      <c r="IE35" s="198"/>
      <c r="IF35" s="198"/>
      <c r="IG35" s="198"/>
      <c r="IH35" s="198"/>
      <c r="II35" s="198"/>
      <c r="IJ35" s="198"/>
      <c r="IK35" s="198"/>
      <c r="IL35" s="198"/>
      <c r="IM35" s="198"/>
      <c r="IN35" s="198"/>
      <c r="IO35" s="198"/>
      <c r="IP35" s="198"/>
      <c r="IQ35" s="198"/>
      <c r="IR35" s="198"/>
      <c r="IS35" s="198"/>
      <c r="IT35" s="198"/>
      <c r="IU35" s="198"/>
      <c r="IV35" s="198"/>
    </row>
    <row r="36" s="199" customFormat="true" ht="12.75" hidden="false" customHeight="true" outlineLevel="0" collapsed="false">
      <c r="A36" s="157" t="str">
        <f aca="false">IF(Eingabe!A40="","",Eingabe!A40)</f>
        <v/>
      </c>
      <c r="B36" s="157"/>
      <c r="C36" s="157"/>
      <c r="D36" s="158" t="str">
        <f aca="false">IF(Eingabe!B40="","",Eingabe!B40)</f>
        <v/>
      </c>
      <c r="E36" s="158"/>
      <c r="F36" s="158"/>
      <c r="G36" s="158"/>
      <c r="H36" s="159" t="str">
        <f aca="false">IF(Eingabe!C40="","",Eingabe!C40)</f>
        <v/>
      </c>
      <c r="I36" s="159"/>
      <c r="J36" s="159"/>
      <c r="K36" s="159"/>
      <c r="L36" s="160" t="str">
        <f aca="false">IF(Eingabe!D40="","",Eingabe!D40)</f>
        <v/>
      </c>
      <c r="M36" s="160"/>
      <c r="N36" s="160"/>
      <c r="O36" s="160"/>
      <c r="P36" s="160"/>
      <c r="Q36" s="160"/>
      <c r="R36" s="160"/>
      <c r="S36" s="160"/>
      <c r="T36" s="160"/>
      <c r="U36" s="160"/>
      <c r="V36" s="160"/>
      <c r="W36" s="160"/>
      <c r="X36" s="160"/>
      <c r="Y36" s="160"/>
      <c r="Z36" s="160"/>
      <c r="AA36" s="160"/>
      <c r="AB36" s="160"/>
      <c r="AC36" s="160"/>
      <c r="AD36" s="160"/>
      <c r="AE36" s="160"/>
      <c r="AF36" s="160"/>
      <c r="AG36" s="160"/>
      <c r="AH36" s="200" t="str">
        <f aca="false">IF(Eingabe!F40&amp;Eingabe!G40="","",Eingabe!F40&amp;"  /  "&amp;Eingabe!G40)</f>
        <v/>
      </c>
      <c r="AI36" s="200"/>
      <c r="AJ36" s="200"/>
      <c r="AK36" s="200"/>
      <c r="AL36" s="200"/>
      <c r="AM36" s="200"/>
      <c r="AN36" s="200"/>
      <c r="AO36" s="200"/>
      <c r="AP36" s="200"/>
      <c r="AQ36" s="200"/>
      <c r="AR36" s="200"/>
      <c r="AS36" s="200"/>
      <c r="AT36" s="200"/>
      <c r="AU36" s="200"/>
      <c r="AV36" s="200"/>
      <c r="AW36" s="200"/>
      <c r="AX36" s="200"/>
      <c r="AY36" s="200"/>
      <c r="AZ36" s="200"/>
      <c r="BA36" s="200"/>
      <c r="BB36" s="200"/>
      <c r="BC36" s="200"/>
      <c r="BD36" s="200"/>
      <c r="BE36" s="201" t="str">
        <f aca="false">IF(Eingabe!I40="","",Eingabe!I40)</f>
        <v/>
      </c>
      <c r="BF36" s="201"/>
      <c r="BG36" s="201"/>
      <c r="BH36" s="201"/>
      <c r="BI36" s="201"/>
      <c r="BJ36" s="202" t="str">
        <f aca="false">IF(Eingabe!I40="","",Eingabe!I40*Eingabe!B40)</f>
        <v/>
      </c>
      <c r="BK36" s="202"/>
      <c r="BL36" s="202"/>
      <c r="BM36" s="202"/>
      <c r="BN36" s="202"/>
      <c r="BO36" s="198"/>
      <c r="BP36" s="198"/>
      <c r="BQ36" s="198"/>
      <c r="BR36" s="198"/>
      <c r="BS36" s="198"/>
      <c r="BT36" s="198"/>
      <c r="BU36" s="198"/>
      <c r="BV36" s="198"/>
      <c r="BW36" s="198"/>
      <c r="BX36" s="198"/>
      <c r="BY36" s="198"/>
      <c r="BZ36" s="198"/>
      <c r="CA36" s="198"/>
      <c r="CB36" s="198"/>
      <c r="CC36" s="198"/>
      <c r="CD36" s="198"/>
      <c r="CE36" s="198"/>
      <c r="CF36" s="198"/>
      <c r="CG36" s="198"/>
      <c r="CH36" s="198"/>
      <c r="CI36" s="198"/>
      <c r="CJ36" s="198"/>
      <c r="CK36" s="198"/>
      <c r="CL36" s="198"/>
      <c r="CM36" s="198"/>
      <c r="CN36" s="198"/>
      <c r="CO36" s="198"/>
      <c r="CP36" s="198"/>
      <c r="CQ36" s="198"/>
      <c r="CR36" s="198"/>
      <c r="CS36" s="198"/>
      <c r="CT36" s="198"/>
      <c r="CU36" s="198"/>
      <c r="CV36" s="198"/>
      <c r="CW36" s="198"/>
      <c r="CX36" s="198"/>
      <c r="CY36" s="198"/>
      <c r="CZ36" s="198"/>
      <c r="DA36" s="198"/>
      <c r="DB36" s="198"/>
      <c r="DC36" s="198"/>
      <c r="DD36" s="198"/>
      <c r="DE36" s="198"/>
      <c r="DF36" s="198"/>
      <c r="DG36" s="198"/>
      <c r="DH36" s="198"/>
      <c r="DI36" s="198"/>
      <c r="DJ36" s="198"/>
      <c r="DK36" s="198"/>
      <c r="DL36" s="198"/>
      <c r="DM36" s="198"/>
      <c r="DN36" s="198"/>
      <c r="DO36" s="198"/>
      <c r="DP36" s="198"/>
      <c r="DQ36" s="198"/>
      <c r="DR36" s="198"/>
      <c r="DS36" s="198"/>
      <c r="DT36" s="198"/>
      <c r="DU36" s="198"/>
      <c r="DV36" s="198"/>
      <c r="DW36" s="198"/>
      <c r="DX36" s="198"/>
      <c r="DY36" s="198"/>
      <c r="DZ36" s="198"/>
      <c r="EA36" s="198"/>
      <c r="EB36" s="198"/>
      <c r="EC36" s="198"/>
      <c r="ED36" s="198"/>
      <c r="EE36" s="198"/>
      <c r="EF36" s="198"/>
      <c r="EG36" s="198"/>
      <c r="EH36" s="198"/>
      <c r="EI36" s="198"/>
      <c r="EJ36" s="198"/>
      <c r="EK36" s="198"/>
      <c r="EL36" s="198"/>
      <c r="EM36" s="198"/>
      <c r="EN36" s="198"/>
      <c r="EO36" s="198"/>
      <c r="EP36" s="198"/>
      <c r="EQ36" s="198"/>
      <c r="ER36" s="198"/>
      <c r="ES36" s="198"/>
      <c r="ET36" s="198"/>
      <c r="EU36" s="198"/>
      <c r="EV36" s="198"/>
      <c r="EW36" s="198"/>
      <c r="EX36" s="198"/>
      <c r="EY36" s="198"/>
      <c r="EZ36" s="198"/>
      <c r="FA36" s="198"/>
      <c r="FB36" s="198"/>
      <c r="FC36" s="198"/>
      <c r="FD36" s="198"/>
      <c r="FE36" s="198"/>
      <c r="FF36" s="198"/>
      <c r="FG36" s="198"/>
      <c r="FH36" s="198"/>
      <c r="FI36" s="198"/>
      <c r="FJ36" s="198"/>
      <c r="FK36" s="198"/>
      <c r="FL36" s="198"/>
      <c r="FM36" s="198"/>
      <c r="FN36" s="198"/>
      <c r="FO36" s="198"/>
      <c r="FP36" s="198"/>
      <c r="FQ36" s="198"/>
      <c r="FR36" s="198"/>
      <c r="FS36" s="198"/>
      <c r="FT36" s="198"/>
      <c r="FU36" s="198"/>
      <c r="FV36" s="198"/>
      <c r="FW36" s="198"/>
      <c r="FX36" s="198"/>
      <c r="FY36" s="198"/>
      <c r="FZ36" s="198"/>
      <c r="GA36" s="198"/>
      <c r="GB36" s="198"/>
      <c r="GC36" s="198"/>
      <c r="GD36" s="198"/>
      <c r="GE36" s="198"/>
      <c r="GF36" s="198"/>
      <c r="GG36" s="198"/>
      <c r="GH36" s="198"/>
      <c r="GI36" s="198"/>
      <c r="GJ36" s="198"/>
      <c r="GK36" s="198"/>
      <c r="GL36" s="198"/>
      <c r="GM36" s="198"/>
      <c r="GN36" s="198"/>
      <c r="GO36" s="198"/>
      <c r="GP36" s="198"/>
      <c r="GQ36" s="198"/>
      <c r="GR36" s="198"/>
      <c r="GS36" s="198"/>
      <c r="GT36" s="198"/>
      <c r="GU36" s="198"/>
      <c r="GV36" s="198"/>
      <c r="GW36" s="198"/>
      <c r="GX36" s="198"/>
      <c r="GY36" s="198"/>
      <c r="GZ36" s="198"/>
      <c r="HA36" s="198"/>
      <c r="HB36" s="198"/>
      <c r="HC36" s="198"/>
      <c r="HD36" s="198"/>
      <c r="HE36" s="198"/>
      <c r="HF36" s="198"/>
      <c r="HG36" s="198"/>
      <c r="HH36" s="198"/>
      <c r="HI36" s="198"/>
      <c r="HJ36" s="198"/>
      <c r="HK36" s="198"/>
      <c r="HL36" s="198"/>
      <c r="HM36" s="198"/>
      <c r="HN36" s="198"/>
      <c r="HO36" s="198"/>
      <c r="HP36" s="198"/>
      <c r="HQ36" s="198"/>
      <c r="HR36" s="198"/>
      <c r="HS36" s="198"/>
      <c r="HT36" s="198"/>
      <c r="HU36" s="198"/>
      <c r="HV36" s="198"/>
      <c r="HW36" s="198"/>
      <c r="HX36" s="198"/>
      <c r="HY36" s="198"/>
      <c r="HZ36" s="198"/>
      <c r="IA36" s="198"/>
      <c r="IB36" s="198"/>
      <c r="IC36" s="198"/>
      <c r="ID36" s="198"/>
      <c r="IE36" s="198"/>
      <c r="IF36" s="198"/>
      <c r="IG36" s="198"/>
      <c r="IH36" s="198"/>
      <c r="II36" s="198"/>
      <c r="IJ36" s="198"/>
      <c r="IK36" s="198"/>
      <c r="IL36" s="198"/>
      <c r="IM36" s="198"/>
      <c r="IN36" s="198"/>
      <c r="IO36" s="198"/>
      <c r="IP36" s="198"/>
      <c r="IQ36" s="198"/>
      <c r="IR36" s="198"/>
      <c r="IS36" s="198"/>
      <c r="IT36" s="198"/>
      <c r="IU36" s="198"/>
      <c r="IV36" s="198"/>
    </row>
    <row r="37" s="199" customFormat="true" ht="12.75" hidden="false" customHeight="true" outlineLevel="0" collapsed="false">
      <c r="A37" s="157" t="str">
        <f aca="false">IF(Eingabe!A41="","",Eingabe!A41)</f>
        <v/>
      </c>
      <c r="B37" s="157"/>
      <c r="C37" s="157"/>
      <c r="D37" s="158" t="str">
        <f aca="false">IF(Eingabe!B41="","",Eingabe!B41)</f>
        <v/>
      </c>
      <c r="E37" s="158"/>
      <c r="F37" s="158"/>
      <c r="G37" s="158"/>
      <c r="H37" s="159" t="str">
        <f aca="false">IF(Eingabe!C41="","",Eingabe!C41)</f>
        <v/>
      </c>
      <c r="I37" s="159"/>
      <c r="J37" s="159"/>
      <c r="K37" s="159"/>
      <c r="L37" s="160" t="str">
        <f aca="false">IF(Eingabe!D41="","",Eingabe!D41)</f>
        <v/>
      </c>
      <c r="M37" s="160"/>
      <c r="N37" s="160"/>
      <c r="O37" s="160"/>
      <c r="P37" s="160"/>
      <c r="Q37" s="160"/>
      <c r="R37" s="160"/>
      <c r="S37" s="160"/>
      <c r="T37" s="160"/>
      <c r="U37" s="160"/>
      <c r="V37" s="160"/>
      <c r="W37" s="160"/>
      <c r="X37" s="160"/>
      <c r="Y37" s="160"/>
      <c r="Z37" s="160"/>
      <c r="AA37" s="160"/>
      <c r="AB37" s="160"/>
      <c r="AC37" s="160"/>
      <c r="AD37" s="160"/>
      <c r="AE37" s="160"/>
      <c r="AF37" s="160"/>
      <c r="AG37" s="160"/>
      <c r="AH37" s="200" t="str">
        <f aca="false">IF(Eingabe!F41&amp;Eingabe!G41="","",Eingabe!F41&amp;"  /  "&amp;Eingabe!G41)</f>
        <v/>
      </c>
      <c r="AI37" s="200"/>
      <c r="AJ37" s="200"/>
      <c r="AK37" s="200"/>
      <c r="AL37" s="200"/>
      <c r="AM37" s="200"/>
      <c r="AN37" s="200"/>
      <c r="AO37" s="200"/>
      <c r="AP37" s="200"/>
      <c r="AQ37" s="200"/>
      <c r="AR37" s="200"/>
      <c r="AS37" s="200"/>
      <c r="AT37" s="200"/>
      <c r="AU37" s="200"/>
      <c r="AV37" s="200"/>
      <c r="AW37" s="200"/>
      <c r="AX37" s="200"/>
      <c r="AY37" s="200"/>
      <c r="AZ37" s="200"/>
      <c r="BA37" s="200"/>
      <c r="BB37" s="200"/>
      <c r="BC37" s="200"/>
      <c r="BD37" s="200"/>
      <c r="BE37" s="201" t="str">
        <f aca="false">IF(Eingabe!I41="","",Eingabe!I41)</f>
        <v/>
      </c>
      <c r="BF37" s="201"/>
      <c r="BG37" s="201"/>
      <c r="BH37" s="201"/>
      <c r="BI37" s="201"/>
      <c r="BJ37" s="202" t="str">
        <f aca="false">IF(Eingabe!I41="","",Eingabe!I41*Eingabe!B41)</f>
        <v/>
      </c>
      <c r="BK37" s="202"/>
      <c r="BL37" s="202"/>
      <c r="BM37" s="202"/>
      <c r="BN37" s="202"/>
      <c r="BO37" s="198"/>
      <c r="BP37" s="198"/>
      <c r="BQ37" s="198"/>
      <c r="BR37" s="198"/>
      <c r="BS37" s="198"/>
      <c r="BT37" s="198"/>
      <c r="BU37" s="198"/>
      <c r="BV37" s="198"/>
      <c r="BW37" s="198"/>
      <c r="BX37" s="198"/>
      <c r="BY37" s="198"/>
      <c r="BZ37" s="198"/>
      <c r="CA37" s="198"/>
      <c r="CB37" s="198"/>
      <c r="CC37" s="198"/>
      <c r="CD37" s="198"/>
      <c r="CE37" s="198"/>
      <c r="CF37" s="198"/>
      <c r="CG37" s="198"/>
      <c r="CH37" s="198"/>
      <c r="CI37" s="198"/>
      <c r="CJ37" s="198"/>
      <c r="CK37" s="198"/>
      <c r="CL37" s="198"/>
      <c r="CM37" s="198"/>
      <c r="CN37" s="198"/>
      <c r="CO37" s="198"/>
      <c r="CP37" s="198"/>
      <c r="CQ37" s="198"/>
      <c r="CR37" s="198"/>
      <c r="CS37" s="198"/>
      <c r="CT37" s="198"/>
      <c r="CU37" s="198"/>
      <c r="CV37" s="198"/>
      <c r="CW37" s="198"/>
      <c r="CX37" s="198"/>
      <c r="CY37" s="198"/>
      <c r="CZ37" s="198"/>
      <c r="DA37" s="198"/>
      <c r="DB37" s="198"/>
      <c r="DC37" s="198"/>
      <c r="DD37" s="198"/>
      <c r="DE37" s="198"/>
      <c r="DF37" s="198"/>
      <c r="DG37" s="198"/>
      <c r="DH37" s="198"/>
      <c r="DI37" s="198"/>
      <c r="DJ37" s="198"/>
      <c r="DK37" s="198"/>
      <c r="DL37" s="198"/>
      <c r="DM37" s="198"/>
      <c r="DN37" s="198"/>
      <c r="DO37" s="198"/>
      <c r="DP37" s="198"/>
      <c r="DQ37" s="198"/>
      <c r="DR37" s="198"/>
      <c r="DS37" s="198"/>
      <c r="DT37" s="198"/>
      <c r="DU37" s="198"/>
      <c r="DV37" s="198"/>
      <c r="DW37" s="198"/>
      <c r="DX37" s="198"/>
      <c r="DY37" s="198"/>
      <c r="DZ37" s="198"/>
      <c r="EA37" s="198"/>
      <c r="EB37" s="198"/>
      <c r="EC37" s="198"/>
      <c r="ED37" s="198"/>
      <c r="EE37" s="198"/>
      <c r="EF37" s="198"/>
      <c r="EG37" s="198"/>
      <c r="EH37" s="198"/>
      <c r="EI37" s="198"/>
      <c r="EJ37" s="198"/>
      <c r="EK37" s="198"/>
      <c r="EL37" s="198"/>
      <c r="EM37" s="198"/>
      <c r="EN37" s="198"/>
      <c r="EO37" s="198"/>
      <c r="EP37" s="198"/>
      <c r="EQ37" s="198"/>
      <c r="ER37" s="198"/>
      <c r="ES37" s="198"/>
      <c r="ET37" s="198"/>
      <c r="EU37" s="198"/>
      <c r="EV37" s="198"/>
      <c r="EW37" s="198"/>
      <c r="EX37" s="198"/>
      <c r="EY37" s="198"/>
      <c r="EZ37" s="198"/>
      <c r="FA37" s="198"/>
      <c r="FB37" s="198"/>
      <c r="FC37" s="198"/>
      <c r="FD37" s="198"/>
      <c r="FE37" s="198"/>
      <c r="FF37" s="198"/>
      <c r="FG37" s="198"/>
      <c r="FH37" s="198"/>
      <c r="FI37" s="198"/>
      <c r="FJ37" s="198"/>
      <c r="FK37" s="198"/>
      <c r="FL37" s="198"/>
      <c r="FM37" s="198"/>
      <c r="FN37" s="198"/>
      <c r="FO37" s="198"/>
      <c r="FP37" s="198"/>
      <c r="FQ37" s="198"/>
      <c r="FR37" s="198"/>
      <c r="FS37" s="198"/>
      <c r="FT37" s="198"/>
      <c r="FU37" s="198"/>
      <c r="FV37" s="198"/>
      <c r="FW37" s="198"/>
      <c r="FX37" s="198"/>
      <c r="FY37" s="198"/>
      <c r="FZ37" s="198"/>
      <c r="GA37" s="198"/>
      <c r="GB37" s="198"/>
      <c r="GC37" s="198"/>
      <c r="GD37" s="198"/>
      <c r="GE37" s="198"/>
      <c r="GF37" s="198"/>
      <c r="GG37" s="198"/>
      <c r="GH37" s="198"/>
      <c r="GI37" s="198"/>
      <c r="GJ37" s="198"/>
      <c r="GK37" s="198"/>
      <c r="GL37" s="198"/>
      <c r="GM37" s="198"/>
      <c r="GN37" s="198"/>
      <c r="GO37" s="198"/>
      <c r="GP37" s="198"/>
      <c r="GQ37" s="198"/>
      <c r="GR37" s="198"/>
      <c r="GS37" s="198"/>
      <c r="GT37" s="198"/>
      <c r="GU37" s="198"/>
      <c r="GV37" s="198"/>
      <c r="GW37" s="198"/>
      <c r="GX37" s="198"/>
      <c r="GY37" s="198"/>
      <c r="GZ37" s="198"/>
      <c r="HA37" s="198"/>
      <c r="HB37" s="198"/>
      <c r="HC37" s="198"/>
      <c r="HD37" s="198"/>
      <c r="HE37" s="198"/>
      <c r="HF37" s="198"/>
      <c r="HG37" s="198"/>
      <c r="HH37" s="198"/>
      <c r="HI37" s="198"/>
      <c r="HJ37" s="198"/>
      <c r="HK37" s="198"/>
      <c r="HL37" s="198"/>
      <c r="HM37" s="198"/>
      <c r="HN37" s="198"/>
      <c r="HO37" s="198"/>
      <c r="HP37" s="198"/>
      <c r="HQ37" s="198"/>
      <c r="HR37" s="198"/>
      <c r="HS37" s="198"/>
      <c r="HT37" s="198"/>
      <c r="HU37" s="198"/>
      <c r="HV37" s="198"/>
      <c r="HW37" s="198"/>
      <c r="HX37" s="198"/>
      <c r="HY37" s="198"/>
      <c r="HZ37" s="198"/>
      <c r="IA37" s="198"/>
      <c r="IB37" s="198"/>
      <c r="IC37" s="198"/>
      <c r="ID37" s="198"/>
      <c r="IE37" s="198"/>
      <c r="IF37" s="198"/>
      <c r="IG37" s="198"/>
      <c r="IH37" s="198"/>
      <c r="II37" s="198"/>
      <c r="IJ37" s="198"/>
      <c r="IK37" s="198"/>
      <c r="IL37" s="198"/>
      <c r="IM37" s="198"/>
      <c r="IN37" s="198"/>
      <c r="IO37" s="198"/>
      <c r="IP37" s="198"/>
      <c r="IQ37" s="198"/>
      <c r="IR37" s="198"/>
      <c r="IS37" s="198"/>
      <c r="IT37" s="198"/>
      <c r="IU37" s="198"/>
      <c r="IV37" s="198"/>
    </row>
    <row r="38" s="199" customFormat="true" ht="12.75" hidden="false" customHeight="true" outlineLevel="0" collapsed="false">
      <c r="A38" s="157" t="str">
        <f aca="false">IF(Eingabe!A42="","",Eingabe!A42)</f>
        <v/>
      </c>
      <c r="B38" s="157"/>
      <c r="C38" s="157"/>
      <c r="D38" s="158" t="str">
        <f aca="false">IF(Eingabe!B42="","",Eingabe!B42)</f>
        <v/>
      </c>
      <c r="E38" s="158"/>
      <c r="F38" s="158"/>
      <c r="G38" s="158"/>
      <c r="H38" s="159" t="str">
        <f aca="false">IF(Eingabe!C42="","",Eingabe!C42)</f>
        <v/>
      </c>
      <c r="I38" s="159"/>
      <c r="J38" s="159"/>
      <c r="K38" s="159"/>
      <c r="L38" s="160" t="str">
        <f aca="false">IF(Eingabe!D42="","",Eingabe!D42)</f>
        <v/>
      </c>
      <c r="M38" s="160"/>
      <c r="N38" s="160"/>
      <c r="O38" s="160"/>
      <c r="P38" s="160"/>
      <c r="Q38" s="160"/>
      <c r="R38" s="160"/>
      <c r="S38" s="160"/>
      <c r="T38" s="160"/>
      <c r="U38" s="160"/>
      <c r="V38" s="160"/>
      <c r="W38" s="160"/>
      <c r="X38" s="160"/>
      <c r="Y38" s="160"/>
      <c r="Z38" s="160"/>
      <c r="AA38" s="160"/>
      <c r="AB38" s="160"/>
      <c r="AC38" s="160"/>
      <c r="AD38" s="160"/>
      <c r="AE38" s="160"/>
      <c r="AF38" s="160"/>
      <c r="AG38" s="160"/>
      <c r="AH38" s="200" t="str">
        <f aca="false">IF(Eingabe!F42&amp;Eingabe!G42="","",Eingabe!F42&amp;"  /  "&amp;Eingabe!G42)</f>
        <v/>
      </c>
      <c r="AI38" s="200"/>
      <c r="AJ38" s="200"/>
      <c r="AK38" s="200"/>
      <c r="AL38" s="200"/>
      <c r="AM38" s="200"/>
      <c r="AN38" s="200"/>
      <c r="AO38" s="200"/>
      <c r="AP38" s="200"/>
      <c r="AQ38" s="200"/>
      <c r="AR38" s="200"/>
      <c r="AS38" s="200"/>
      <c r="AT38" s="200"/>
      <c r="AU38" s="200"/>
      <c r="AV38" s="200"/>
      <c r="AW38" s="200"/>
      <c r="AX38" s="200"/>
      <c r="AY38" s="200"/>
      <c r="AZ38" s="200"/>
      <c r="BA38" s="200"/>
      <c r="BB38" s="200"/>
      <c r="BC38" s="200"/>
      <c r="BD38" s="200"/>
      <c r="BE38" s="201" t="str">
        <f aca="false">IF(Eingabe!I42="","",Eingabe!I42)</f>
        <v/>
      </c>
      <c r="BF38" s="201"/>
      <c r="BG38" s="201"/>
      <c r="BH38" s="201"/>
      <c r="BI38" s="201"/>
      <c r="BJ38" s="202" t="str">
        <f aca="false">IF(Eingabe!I42="","",Eingabe!I42*Eingabe!B42)</f>
        <v/>
      </c>
      <c r="BK38" s="202"/>
      <c r="BL38" s="202"/>
      <c r="BM38" s="202"/>
      <c r="BN38" s="202"/>
      <c r="BO38" s="198"/>
      <c r="BP38" s="198"/>
      <c r="BQ38" s="198"/>
      <c r="BR38" s="198"/>
      <c r="BS38" s="198"/>
      <c r="BT38" s="198"/>
      <c r="BU38" s="198"/>
      <c r="BV38" s="198"/>
      <c r="BW38" s="198"/>
      <c r="BX38" s="198"/>
      <c r="BY38" s="198"/>
      <c r="BZ38" s="198"/>
      <c r="CA38" s="198"/>
      <c r="CB38" s="198"/>
      <c r="CC38" s="198"/>
      <c r="CD38" s="198"/>
      <c r="CE38" s="198"/>
      <c r="CF38" s="198"/>
      <c r="CG38" s="198"/>
      <c r="CH38" s="198"/>
      <c r="CI38" s="198"/>
      <c r="CJ38" s="198"/>
      <c r="CK38" s="198"/>
      <c r="CL38" s="198"/>
      <c r="CM38" s="198"/>
      <c r="CN38" s="198"/>
      <c r="CO38" s="198"/>
      <c r="CP38" s="198"/>
      <c r="CQ38" s="198"/>
      <c r="CR38" s="198"/>
      <c r="CS38" s="198"/>
      <c r="CT38" s="198"/>
      <c r="CU38" s="198"/>
      <c r="CV38" s="198"/>
      <c r="CW38" s="198"/>
      <c r="CX38" s="198"/>
      <c r="CY38" s="198"/>
      <c r="CZ38" s="198"/>
      <c r="DA38" s="198"/>
      <c r="DB38" s="198"/>
      <c r="DC38" s="198"/>
      <c r="DD38" s="198"/>
      <c r="DE38" s="198"/>
      <c r="DF38" s="198"/>
      <c r="DG38" s="198"/>
      <c r="DH38" s="198"/>
      <c r="DI38" s="198"/>
      <c r="DJ38" s="198"/>
      <c r="DK38" s="198"/>
      <c r="DL38" s="198"/>
      <c r="DM38" s="198"/>
      <c r="DN38" s="198"/>
      <c r="DO38" s="198"/>
      <c r="DP38" s="198"/>
      <c r="DQ38" s="198"/>
      <c r="DR38" s="198"/>
      <c r="DS38" s="198"/>
      <c r="DT38" s="198"/>
      <c r="DU38" s="198"/>
      <c r="DV38" s="198"/>
      <c r="DW38" s="198"/>
      <c r="DX38" s="198"/>
      <c r="DY38" s="198"/>
      <c r="DZ38" s="198"/>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8"/>
      <c r="FG38" s="198"/>
      <c r="FH38" s="198"/>
      <c r="FI38" s="198"/>
      <c r="FJ38" s="198"/>
      <c r="FK38" s="198"/>
      <c r="FL38" s="198"/>
      <c r="FM38" s="198"/>
      <c r="FN38" s="198"/>
      <c r="FO38" s="198"/>
      <c r="FP38" s="198"/>
      <c r="FQ38" s="198"/>
      <c r="FR38" s="198"/>
      <c r="FS38" s="198"/>
      <c r="FT38" s="198"/>
      <c r="FU38" s="198"/>
      <c r="FV38" s="198"/>
      <c r="FW38" s="198"/>
      <c r="FX38" s="198"/>
      <c r="FY38" s="198"/>
      <c r="FZ38" s="198"/>
      <c r="GA38" s="198"/>
      <c r="GB38" s="198"/>
      <c r="GC38" s="198"/>
      <c r="GD38" s="198"/>
      <c r="GE38" s="198"/>
      <c r="GF38" s="198"/>
      <c r="GG38" s="198"/>
      <c r="GH38" s="198"/>
      <c r="GI38" s="198"/>
      <c r="GJ38" s="198"/>
      <c r="GK38" s="198"/>
      <c r="GL38" s="198"/>
      <c r="GM38" s="198"/>
      <c r="GN38" s="198"/>
      <c r="GO38" s="198"/>
      <c r="GP38" s="198"/>
      <c r="GQ38" s="198"/>
      <c r="GR38" s="198"/>
      <c r="GS38" s="198"/>
      <c r="GT38" s="198"/>
      <c r="GU38" s="198"/>
      <c r="GV38" s="198"/>
      <c r="GW38" s="198"/>
      <c r="GX38" s="198"/>
      <c r="GY38" s="198"/>
      <c r="GZ38" s="198"/>
      <c r="HA38" s="198"/>
      <c r="HB38" s="198"/>
      <c r="HC38" s="198"/>
      <c r="HD38" s="198"/>
      <c r="HE38" s="198"/>
      <c r="HF38" s="198"/>
      <c r="HG38" s="198"/>
      <c r="HH38" s="198"/>
      <c r="HI38" s="198"/>
      <c r="HJ38" s="198"/>
      <c r="HK38" s="198"/>
      <c r="HL38" s="198"/>
      <c r="HM38" s="198"/>
      <c r="HN38" s="198"/>
      <c r="HO38" s="198"/>
      <c r="HP38" s="198"/>
      <c r="HQ38" s="198"/>
      <c r="HR38" s="198"/>
      <c r="HS38" s="198"/>
      <c r="HT38" s="198"/>
      <c r="HU38" s="198"/>
      <c r="HV38" s="198"/>
      <c r="HW38" s="198"/>
      <c r="HX38" s="198"/>
      <c r="HY38" s="198"/>
      <c r="HZ38" s="198"/>
      <c r="IA38" s="198"/>
      <c r="IB38" s="198"/>
      <c r="IC38" s="198"/>
      <c r="ID38" s="198"/>
      <c r="IE38" s="198"/>
      <c r="IF38" s="198"/>
      <c r="IG38" s="198"/>
      <c r="IH38" s="198"/>
      <c r="II38" s="198"/>
      <c r="IJ38" s="198"/>
      <c r="IK38" s="198"/>
      <c r="IL38" s="198"/>
      <c r="IM38" s="198"/>
      <c r="IN38" s="198"/>
      <c r="IO38" s="198"/>
      <c r="IP38" s="198"/>
      <c r="IQ38" s="198"/>
      <c r="IR38" s="198"/>
      <c r="IS38" s="198"/>
      <c r="IT38" s="198"/>
      <c r="IU38" s="198"/>
      <c r="IV38" s="198"/>
    </row>
    <row r="39" s="199" customFormat="true" ht="12.75" hidden="false" customHeight="true" outlineLevel="0" collapsed="false">
      <c r="A39" s="157" t="str">
        <f aca="false">IF(Eingabe!A43="","",Eingabe!A43)</f>
        <v/>
      </c>
      <c r="B39" s="157"/>
      <c r="C39" s="157"/>
      <c r="D39" s="158" t="str">
        <f aca="false">IF(Eingabe!B43="","",Eingabe!B43)</f>
        <v/>
      </c>
      <c r="E39" s="158"/>
      <c r="F39" s="158"/>
      <c r="G39" s="158"/>
      <c r="H39" s="159" t="str">
        <f aca="false">IF(Eingabe!C43="","",Eingabe!C43)</f>
        <v/>
      </c>
      <c r="I39" s="159"/>
      <c r="J39" s="159"/>
      <c r="K39" s="159"/>
      <c r="L39" s="160" t="str">
        <f aca="false">IF(Eingabe!D43="","",Eingabe!D43)</f>
        <v/>
      </c>
      <c r="M39" s="160"/>
      <c r="N39" s="160"/>
      <c r="O39" s="160"/>
      <c r="P39" s="160"/>
      <c r="Q39" s="160"/>
      <c r="R39" s="160"/>
      <c r="S39" s="160"/>
      <c r="T39" s="160"/>
      <c r="U39" s="160"/>
      <c r="V39" s="160"/>
      <c r="W39" s="160"/>
      <c r="X39" s="160"/>
      <c r="Y39" s="160"/>
      <c r="Z39" s="160"/>
      <c r="AA39" s="160"/>
      <c r="AB39" s="160"/>
      <c r="AC39" s="160"/>
      <c r="AD39" s="160"/>
      <c r="AE39" s="160"/>
      <c r="AF39" s="160"/>
      <c r="AG39" s="160"/>
      <c r="AH39" s="200" t="str">
        <f aca="false">IF(Eingabe!F43&amp;Eingabe!G43="","",Eingabe!F43&amp;"  /  "&amp;Eingabe!G43)</f>
        <v/>
      </c>
      <c r="AI39" s="200"/>
      <c r="AJ39" s="200"/>
      <c r="AK39" s="200"/>
      <c r="AL39" s="200"/>
      <c r="AM39" s="200"/>
      <c r="AN39" s="200"/>
      <c r="AO39" s="200"/>
      <c r="AP39" s="200"/>
      <c r="AQ39" s="200"/>
      <c r="AR39" s="200"/>
      <c r="AS39" s="200"/>
      <c r="AT39" s="200"/>
      <c r="AU39" s="200"/>
      <c r="AV39" s="200"/>
      <c r="AW39" s="200"/>
      <c r="AX39" s="200"/>
      <c r="AY39" s="200"/>
      <c r="AZ39" s="200"/>
      <c r="BA39" s="200"/>
      <c r="BB39" s="200"/>
      <c r="BC39" s="200"/>
      <c r="BD39" s="200"/>
      <c r="BE39" s="201" t="str">
        <f aca="false">IF(Eingabe!I43="","",Eingabe!I43)</f>
        <v/>
      </c>
      <c r="BF39" s="201"/>
      <c r="BG39" s="201"/>
      <c r="BH39" s="201"/>
      <c r="BI39" s="201"/>
      <c r="BJ39" s="202" t="str">
        <f aca="false">IF(Eingabe!I43="","",Eingabe!I43*Eingabe!B43)</f>
        <v/>
      </c>
      <c r="BK39" s="202"/>
      <c r="BL39" s="202"/>
      <c r="BM39" s="202"/>
      <c r="BN39" s="202"/>
      <c r="BO39" s="198"/>
      <c r="BP39" s="198"/>
      <c r="BQ39" s="198"/>
      <c r="BR39" s="198"/>
      <c r="BS39" s="198"/>
      <c r="BT39" s="198"/>
      <c r="BU39" s="198"/>
      <c r="BV39" s="198"/>
      <c r="BW39" s="198"/>
      <c r="BX39" s="198"/>
      <c r="BY39" s="198"/>
      <c r="BZ39" s="198"/>
      <c r="CA39" s="198"/>
      <c r="CB39" s="198"/>
      <c r="CC39" s="198"/>
      <c r="CD39" s="198"/>
      <c r="CE39" s="198"/>
      <c r="CF39" s="198"/>
      <c r="CG39" s="198"/>
      <c r="CH39" s="198"/>
      <c r="CI39" s="198"/>
      <c r="CJ39" s="198"/>
      <c r="CK39" s="198"/>
      <c r="CL39" s="198"/>
      <c r="CM39" s="198"/>
      <c r="CN39" s="198"/>
      <c r="CO39" s="198"/>
      <c r="CP39" s="198"/>
      <c r="CQ39" s="198"/>
      <c r="CR39" s="198"/>
      <c r="CS39" s="198"/>
      <c r="CT39" s="198"/>
      <c r="CU39" s="198"/>
      <c r="CV39" s="198"/>
      <c r="CW39" s="198"/>
      <c r="CX39" s="198"/>
      <c r="CY39" s="198"/>
      <c r="CZ39" s="198"/>
      <c r="DA39" s="198"/>
      <c r="DB39" s="198"/>
      <c r="DC39" s="198"/>
      <c r="DD39" s="198"/>
      <c r="DE39" s="198"/>
      <c r="DF39" s="198"/>
      <c r="DG39" s="198"/>
      <c r="DH39" s="198"/>
      <c r="DI39" s="198"/>
      <c r="DJ39" s="198"/>
      <c r="DK39" s="198"/>
      <c r="DL39" s="198"/>
      <c r="DM39" s="198"/>
      <c r="DN39" s="198"/>
      <c r="DO39" s="198"/>
      <c r="DP39" s="198"/>
      <c r="DQ39" s="198"/>
      <c r="DR39" s="198"/>
      <c r="DS39" s="198"/>
      <c r="DT39" s="198"/>
      <c r="DU39" s="198"/>
      <c r="DV39" s="198"/>
      <c r="DW39" s="198"/>
      <c r="DX39" s="198"/>
      <c r="DY39" s="198"/>
      <c r="DZ39" s="198"/>
      <c r="EA39" s="198"/>
      <c r="EB39" s="198"/>
      <c r="EC39" s="198"/>
      <c r="ED39" s="198"/>
      <c r="EE39" s="198"/>
      <c r="EF39" s="198"/>
      <c r="EG39" s="198"/>
      <c r="EH39" s="198"/>
      <c r="EI39" s="198"/>
      <c r="EJ39" s="198"/>
      <c r="EK39" s="198"/>
      <c r="EL39" s="198"/>
      <c r="EM39" s="198"/>
      <c r="EN39" s="198"/>
      <c r="EO39" s="198"/>
      <c r="EP39" s="198"/>
      <c r="EQ39" s="198"/>
      <c r="ER39" s="198"/>
      <c r="ES39" s="198"/>
      <c r="ET39" s="198"/>
      <c r="EU39" s="198"/>
      <c r="EV39" s="198"/>
      <c r="EW39" s="198"/>
      <c r="EX39" s="198"/>
      <c r="EY39" s="198"/>
      <c r="EZ39" s="198"/>
      <c r="FA39" s="198"/>
      <c r="FB39" s="198"/>
      <c r="FC39" s="198"/>
      <c r="FD39" s="198"/>
      <c r="FE39" s="198"/>
      <c r="FF39" s="198"/>
      <c r="FG39" s="198"/>
      <c r="FH39" s="198"/>
      <c r="FI39" s="198"/>
      <c r="FJ39" s="198"/>
      <c r="FK39" s="198"/>
      <c r="FL39" s="198"/>
      <c r="FM39" s="198"/>
      <c r="FN39" s="198"/>
      <c r="FO39" s="198"/>
      <c r="FP39" s="198"/>
      <c r="FQ39" s="198"/>
      <c r="FR39" s="198"/>
      <c r="FS39" s="198"/>
      <c r="FT39" s="198"/>
      <c r="FU39" s="198"/>
      <c r="FV39" s="198"/>
      <c r="FW39" s="198"/>
      <c r="FX39" s="198"/>
      <c r="FY39" s="198"/>
      <c r="FZ39" s="198"/>
      <c r="GA39" s="198"/>
      <c r="GB39" s="198"/>
      <c r="GC39" s="198"/>
      <c r="GD39" s="198"/>
      <c r="GE39" s="198"/>
      <c r="GF39" s="198"/>
      <c r="GG39" s="198"/>
      <c r="GH39" s="198"/>
      <c r="GI39" s="198"/>
      <c r="GJ39" s="198"/>
      <c r="GK39" s="198"/>
      <c r="GL39" s="198"/>
      <c r="GM39" s="198"/>
      <c r="GN39" s="198"/>
      <c r="GO39" s="198"/>
      <c r="GP39" s="198"/>
      <c r="GQ39" s="198"/>
      <c r="GR39" s="198"/>
      <c r="GS39" s="198"/>
      <c r="GT39" s="198"/>
      <c r="GU39" s="198"/>
      <c r="GV39" s="198"/>
      <c r="GW39" s="198"/>
      <c r="GX39" s="198"/>
      <c r="GY39" s="198"/>
      <c r="GZ39" s="198"/>
      <c r="HA39" s="198"/>
      <c r="HB39" s="198"/>
      <c r="HC39" s="198"/>
      <c r="HD39" s="198"/>
      <c r="HE39" s="198"/>
      <c r="HF39" s="198"/>
      <c r="HG39" s="198"/>
      <c r="HH39" s="198"/>
      <c r="HI39" s="198"/>
      <c r="HJ39" s="198"/>
      <c r="HK39" s="198"/>
      <c r="HL39" s="198"/>
      <c r="HM39" s="198"/>
      <c r="HN39" s="198"/>
      <c r="HO39" s="198"/>
      <c r="HP39" s="198"/>
      <c r="HQ39" s="198"/>
      <c r="HR39" s="198"/>
      <c r="HS39" s="198"/>
      <c r="HT39" s="198"/>
      <c r="HU39" s="198"/>
      <c r="HV39" s="198"/>
      <c r="HW39" s="198"/>
      <c r="HX39" s="198"/>
      <c r="HY39" s="198"/>
      <c r="HZ39" s="198"/>
      <c r="IA39" s="198"/>
      <c r="IB39" s="198"/>
      <c r="IC39" s="198"/>
      <c r="ID39" s="198"/>
      <c r="IE39" s="198"/>
      <c r="IF39" s="198"/>
      <c r="IG39" s="198"/>
      <c r="IH39" s="198"/>
      <c r="II39" s="198"/>
      <c r="IJ39" s="198"/>
      <c r="IK39" s="198"/>
      <c r="IL39" s="198"/>
      <c r="IM39" s="198"/>
      <c r="IN39" s="198"/>
      <c r="IO39" s="198"/>
      <c r="IP39" s="198"/>
      <c r="IQ39" s="198"/>
      <c r="IR39" s="198"/>
      <c r="IS39" s="198"/>
      <c r="IT39" s="198"/>
      <c r="IU39" s="198"/>
      <c r="IV39" s="198"/>
    </row>
    <row r="40" s="199" customFormat="true" ht="12.75" hidden="false" customHeight="true" outlineLevel="0" collapsed="false">
      <c r="A40" s="157" t="str">
        <f aca="false">IF(Eingabe!A44="","",Eingabe!A44)</f>
        <v/>
      </c>
      <c r="B40" s="157"/>
      <c r="C40" s="157"/>
      <c r="D40" s="158" t="str">
        <f aca="false">IF(Eingabe!B44="","",Eingabe!B44)</f>
        <v/>
      </c>
      <c r="E40" s="158"/>
      <c r="F40" s="158"/>
      <c r="G40" s="158"/>
      <c r="H40" s="159" t="str">
        <f aca="false">IF(Eingabe!C44="","",Eingabe!C44)</f>
        <v/>
      </c>
      <c r="I40" s="159"/>
      <c r="J40" s="159"/>
      <c r="K40" s="159"/>
      <c r="L40" s="160" t="str">
        <f aca="false">IF(Eingabe!D44="","",Eingabe!D44)</f>
        <v/>
      </c>
      <c r="M40" s="160"/>
      <c r="N40" s="160"/>
      <c r="O40" s="160"/>
      <c r="P40" s="160"/>
      <c r="Q40" s="160"/>
      <c r="R40" s="160"/>
      <c r="S40" s="160"/>
      <c r="T40" s="160"/>
      <c r="U40" s="160"/>
      <c r="V40" s="160"/>
      <c r="W40" s="160"/>
      <c r="X40" s="160"/>
      <c r="Y40" s="160"/>
      <c r="Z40" s="160"/>
      <c r="AA40" s="160"/>
      <c r="AB40" s="160"/>
      <c r="AC40" s="160"/>
      <c r="AD40" s="160"/>
      <c r="AE40" s="160"/>
      <c r="AF40" s="160"/>
      <c r="AG40" s="160"/>
      <c r="AH40" s="200" t="str">
        <f aca="false">IF(Eingabe!F44&amp;Eingabe!G44="","",Eingabe!F44&amp;"  /  "&amp;Eingabe!G44)</f>
        <v/>
      </c>
      <c r="AI40" s="200"/>
      <c r="AJ40" s="200"/>
      <c r="AK40" s="200"/>
      <c r="AL40" s="200"/>
      <c r="AM40" s="200"/>
      <c r="AN40" s="200"/>
      <c r="AO40" s="200"/>
      <c r="AP40" s="200"/>
      <c r="AQ40" s="200"/>
      <c r="AR40" s="200"/>
      <c r="AS40" s="200"/>
      <c r="AT40" s="200"/>
      <c r="AU40" s="200"/>
      <c r="AV40" s="200"/>
      <c r="AW40" s="200"/>
      <c r="AX40" s="200"/>
      <c r="AY40" s="200"/>
      <c r="AZ40" s="200"/>
      <c r="BA40" s="200"/>
      <c r="BB40" s="200"/>
      <c r="BC40" s="200"/>
      <c r="BD40" s="200"/>
      <c r="BE40" s="201" t="str">
        <f aca="false">IF(Eingabe!I44="","",Eingabe!I44)</f>
        <v/>
      </c>
      <c r="BF40" s="201"/>
      <c r="BG40" s="201"/>
      <c r="BH40" s="201"/>
      <c r="BI40" s="201"/>
      <c r="BJ40" s="202" t="str">
        <f aca="false">IF(Eingabe!I44="","",Eingabe!I44*Eingabe!B44)</f>
        <v/>
      </c>
      <c r="BK40" s="202"/>
      <c r="BL40" s="202"/>
      <c r="BM40" s="202"/>
      <c r="BN40" s="202"/>
      <c r="BO40" s="198"/>
      <c r="BP40" s="198"/>
      <c r="BQ40" s="198"/>
      <c r="BR40" s="198"/>
      <c r="BS40" s="198"/>
      <c r="BT40" s="198"/>
      <c r="BU40" s="198"/>
      <c r="BV40" s="198"/>
      <c r="BW40" s="198"/>
      <c r="BX40" s="198"/>
      <c r="BY40" s="198"/>
      <c r="BZ40" s="198"/>
      <c r="CA40" s="198"/>
      <c r="CB40" s="198"/>
      <c r="CC40" s="198"/>
      <c r="CD40" s="198"/>
      <c r="CE40" s="198"/>
      <c r="CF40" s="198"/>
      <c r="CG40" s="198"/>
      <c r="CH40" s="198"/>
      <c r="CI40" s="198"/>
      <c r="CJ40" s="198"/>
      <c r="CK40" s="198"/>
      <c r="CL40" s="198"/>
      <c r="CM40" s="198"/>
      <c r="CN40" s="198"/>
      <c r="CO40" s="198"/>
      <c r="CP40" s="198"/>
      <c r="CQ40" s="198"/>
      <c r="CR40" s="198"/>
      <c r="CS40" s="198"/>
      <c r="CT40" s="198"/>
      <c r="CU40" s="198"/>
      <c r="CV40" s="198"/>
      <c r="CW40" s="198"/>
      <c r="CX40" s="198"/>
      <c r="CY40" s="198"/>
      <c r="CZ40" s="198"/>
      <c r="DA40" s="198"/>
      <c r="DB40" s="198"/>
      <c r="DC40" s="198"/>
      <c r="DD40" s="198"/>
      <c r="DE40" s="198"/>
      <c r="DF40" s="198"/>
      <c r="DG40" s="198"/>
      <c r="DH40" s="198"/>
      <c r="DI40" s="198"/>
      <c r="DJ40" s="198"/>
      <c r="DK40" s="198"/>
      <c r="DL40" s="198"/>
      <c r="DM40" s="198"/>
      <c r="DN40" s="198"/>
      <c r="DO40" s="198"/>
      <c r="DP40" s="198"/>
      <c r="DQ40" s="198"/>
      <c r="DR40" s="198"/>
      <c r="DS40" s="198"/>
      <c r="DT40" s="198"/>
      <c r="DU40" s="198"/>
      <c r="DV40" s="198"/>
      <c r="DW40" s="198"/>
      <c r="DX40" s="198"/>
      <c r="DY40" s="198"/>
      <c r="DZ40" s="198"/>
      <c r="EA40" s="198"/>
      <c r="EB40" s="198"/>
      <c r="EC40" s="198"/>
      <c r="ED40" s="198"/>
      <c r="EE40" s="198"/>
      <c r="EF40" s="198"/>
      <c r="EG40" s="198"/>
      <c r="EH40" s="198"/>
      <c r="EI40" s="198"/>
      <c r="EJ40" s="198"/>
      <c r="EK40" s="198"/>
      <c r="EL40" s="198"/>
      <c r="EM40" s="198"/>
      <c r="EN40" s="198"/>
      <c r="EO40" s="198"/>
      <c r="EP40" s="198"/>
      <c r="EQ40" s="198"/>
      <c r="ER40" s="198"/>
      <c r="ES40" s="198"/>
      <c r="ET40" s="198"/>
      <c r="EU40" s="198"/>
      <c r="EV40" s="198"/>
      <c r="EW40" s="198"/>
      <c r="EX40" s="198"/>
      <c r="EY40" s="198"/>
      <c r="EZ40" s="198"/>
      <c r="FA40" s="198"/>
      <c r="FB40" s="198"/>
      <c r="FC40" s="198"/>
      <c r="FD40" s="198"/>
      <c r="FE40" s="198"/>
      <c r="FF40" s="198"/>
      <c r="FG40" s="198"/>
      <c r="FH40" s="198"/>
      <c r="FI40" s="198"/>
      <c r="FJ40" s="198"/>
      <c r="FK40" s="198"/>
      <c r="FL40" s="198"/>
      <c r="FM40" s="198"/>
      <c r="FN40" s="198"/>
      <c r="FO40" s="198"/>
      <c r="FP40" s="198"/>
      <c r="FQ40" s="198"/>
      <c r="FR40" s="198"/>
      <c r="FS40" s="198"/>
      <c r="FT40" s="198"/>
      <c r="FU40" s="198"/>
      <c r="FV40" s="198"/>
      <c r="FW40" s="198"/>
      <c r="FX40" s="198"/>
      <c r="FY40" s="198"/>
      <c r="FZ40" s="198"/>
      <c r="GA40" s="198"/>
      <c r="GB40" s="198"/>
      <c r="GC40" s="198"/>
      <c r="GD40" s="198"/>
      <c r="GE40" s="198"/>
      <c r="GF40" s="198"/>
      <c r="GG40" s="198"/>
      <c r="GH40" s="198"/>
      <c r="GI40" s="198"/>
      <c r="GJ40" s="198"/>
      <c r="GK40" s="198"/>
      <c r="GL40" s="198"/>
      <c r="GM40" s="198"/>
      <c r="GN40" s="198"/>
      <c r="GO40" s="198"/>
      <c r="GP40" s="198"/>
      <c r="GQ40" s="198"/>
      <c r="GR40" s="198"/>
      <c r="GS40" s="198"/>
      <c r="GT40" s="198"/>
      <c r="GU40" s="198"/>
      <c r="GV40" s="198"/>
      <c r="GW40" s="198"/>
      <c r="GX40" s="198"/>
      <c r="GY40" s="198"/>
      <c r="GZ40" s="198"/>
      <c r="HA40" s="198"/>
      <c r="HB40" s="198"/>
      <c r="HC40" s="198"/>
      <c r="HD40" s="198"/>
      <c r="HE40" s="198"/>
      <c r="HF40" s="198"/>
      <c r="HG40" s="198"/>
      <c r="HH40" s="198"/>
      <c r="HI40" s="198"/>
      <c r="HJ40" s="198"/>
      <c r="HK40" s="198"/>
      <c r="HL40" s="198"/>
      <c r="HM40" s="198"/>
      <c r="HN40" s="198"/>
      <c r="HO40" s="198"/>
      <c r="HP40" s="198"/>
      <c r="HQ40" s="198"/>
      <c r="HR40" s="198"/>
      <c r="HS40" s="198"/>
      <c r="HT40" s="198"/>
      <c r="HU40" s="198"/>
      <c r="HV40" s="198"/>
      <c r="HW40" s="198"/>
      <c r="HX40" s="198"/>
      <c r="HY40" s="198"/>
      <c r="HZ40" s="198"/>
      <c r="IA40" s="198"/>
      <c r="IB40" s="198"/>
      <c r="IC40" s="198"/>
      <c r="ID40" s="198"/>
      <c r="IE40" s="198"/>
      <c r="IF40" s="198"/>
      <c r="IG40" s="198"/>
      <c r="IH40" s="198"/>
      <c r="II40" s="198"/>
      <c r="IJ40" s="198"/>
      <c r="IK40" s="198"/>
      <c r="IL40" s="198"/>
      <c r="IM40" s="198"/>
      <c r="IN40" s="198"/>
      <c r="IO40" s="198"/>
      <c r="IP40" s="198"/>
      <c r="IQ40" s="198"/>
      <c r="IR40" s="198"/>
      <c r="IS40" s="198"/>
      <c r="IT40" s="198"/>
      <c r="IU40" s="198"/>
      <c r="IV40" s="198"/>
    </row>
    <row r="41" s="199" customFormat="true" ht="12.75" hidden="false" customHeight="true" outlineLevel="0" collapsed="false">
      <c r="A41" s="157" t="str">
        <f aca="false">IF(Eingabe!A45="","",Eingabe!A45)</f>
        <v/>
      </c>
      <c r="B41" s="157"/>
      <c r="C41" s="157"/>
      <c r="D41" s="158" t="str">
        <f aca="false">IF(Eingabe!B45="","",Eingabe!B45)</f>
        <v/>
      </c>
      <c r="E41" s="158"/>
      <c r="F41" s="158"/>
      <c r="G41" s="158"/>
      <c r="H41" s="159" t="str">
        <f aca="false">IF(Eingabe!C45="","",Eingabe!C45)</f>
        <v/>
      </c>
      <c r="I41" s="159"/>
      <c r="J41" s="159"/>
      <c r="K41" s="159"/>
      <c r="L41" s="160" t="str">
        <f aca="false">IF(Eingabe!D45="","",Eingabe!D45)</f>
        <v/>
      </c>
      <c r="M41" s="160"/>
      <c r="N41" s="160"/>
      <c r="O41" s="160"/>
      <c r="P41" s="160"/>
      <c r="Q41" s="160"/>
      <c r="R41" s="160"/>
      <c r="S41" s="160"/>
      <c r="T41" s="160"/>
      <c r="U41" s="160"/>
      <c r="V41" s="160"/>
      <c r="W41" s="160"/>
      <c r="X41" s="160"/>
      <c r="Y41" s="160"/>
      <c r="Z41" s="160"/>
      <c r="AA41" s="160"/>
      <c r="AB41" s="160"/>
      <c r="AC41" s="160"/>
      <c r="AD41" s="160"/>
      <c r="AE41" s="160"/>
      <c r="AF41" s="160"/>
      <c r="AG41" s="160"/>
      <c r="AH41" s="200" t="str">
        <f aca="false">IF(Eingabe!F45&amp;Eingabe!G45="","",Eingabe!F45&amp;"  /  "&amp;Eingabe!G45)</f>
        <v/>
      </c>
      <c r="AI41" s="200"/>
      <c r="AJ41" s="200"/>
      <c r="AK41" s="200"/>
      <c r="AL41" s="200"/>
      <c r="AM41" s="200"/>
      <c r="AN41" s="200"/>
      <c r="AO41" s="200"/>
      <c r="AP41" s="200"/>
      <c r="AQ41" s="200"/>
      <c r="AR41" s="200"/>
      <c r="AS41" s="200"/>
      <c r="AT41" s="200"/>
      <c r="AU41" s="200"/>
      <c r="AV41" s="200"/>
      <c r="AW41" s="200"/>
      <c r="AX41" s="200"/>
      <c r="AY41" s="200"/>
      <c r="AZ41" s="200"/>
      <c r="BA41" s="200"/>
      <c r="BB41" s="200"/>
      <c r="BC41" s="200"/>
      <c r="BD41" s="200"/>
      <c r="BE41" s="201" t="str">
        <f aca="false">IF(Eingabe!I45="","",Eingabe!I45)</f>
        <v/>
      </c>
      <c r="BF41" s="201"/>
      <c r="BG41" s="201"/>
      <c r="BH41" s="201"/>
      <c r="BI41" s="201"/>
      <c r="BJ41" s="202" t="str">
        <f aca="false">IF(Eingabe!I45="","",Eingabe!I45*Eingabe!B45)</f>
        <v/>
      </c>
      <c r="BK41" s="202"/>
      <c r="BL41" s="202"/>
      <c r="BM41" s="202"/>
      <c r="BN41" s="202"/>
      <c r="BO41" s="198"/>
      <c r="BP41" s="198"/>
      <c r="BQ41" s="198"/>
      <c r="BR41" s="198"/>
      <c r="BS41" s="198"/>
      <c r="BT41" s="198"/>
      <c r="BU41" s="198"/>
      <c r="BV41" s="198"/>
      <c r="BW41" s="198"/>
      <c r="BX41" s="198"/>
      <c r="BY41" s="198"/>
      <c r="BZ41" s="198"/>
      <c r="CA41" s="198"/>
      <c r="CB41" s="198"/>
      <c r="CC41" s="198"/>
      <c r="CD41" s="198"/>
      <c r="CE41" s="198"/>
      <c r="CF41" s="198"/>
      <c r="CG41" s="198"/>
      <c r="CH41" s="198"/>
      <c r="CI41" s="198"/>
      <c r="CJ41" s="198"/>
      <c r="CK41" s="198"/>
      <c r="CL41" s="198"/>
      <c r="CM41" s="198"/>
      <c r="CN41" s="198"/>
      <c r="CO41" s="198"/>
      <c r="CP41" s="198"/>
      <c r="CQ41" s="198"/>
      <c r="CR41" s="198"/>
      <c r="CS41" s="198"/>
      <c r="CT41" s="198"/>
      <c r="CU41" s="198"/>
      <c r="CV41" s="198"/>
      <c r="CW41" s="198"/>
      <c r="CX41" s="198"/>
      <c r="CY41" s="198"/>
      <c r="CZ41" s="198"/>
      <c r="DA41" s="198"/>
      <c r="DB41" s="198"/>
      <c r="DC41" s="198"/>
      <c r="DD41" s="198"/>
      <c r="DE41" s="198"/>
      <c r="DF41" s="198"/>
      <c r="DG41" s="198"/>
      <c r="DH41" s="198"/>
      <c r="DI41" s="198"/>
      <c r="DJ41" s="198"/>
      <c r="DK41" s="198"/>
      <c r="DL41" s="198"/>
      <c r="DM41" s="198"/>
      <c r="DN41" s="198"/>
      <c r="DO41" s="198"/>
      <c r="DP41" s="198"/>
      <c r="DQ41" s="198"/>
      <c r="DR41" s="198"/>
      <c r="DS41" s="198"/>
      <c r="DT41" s="198"/>
      <c r="DU41" s="198"/>
      <c r="DV41" s="198"/>
      <c r="DW41" s="198"/>
      <c r="DX41" s="198"/>
      <c r="DY41" s="198"/>
      <c r="DZ41" s="198"/>
      <c r="EA41" s="198"/>
      <c r="EB41" s="198"/>
      <c r="EC41" s="198"/>
      <c r="ED41" s="198"/>
      <c r="EE41" s="198"/>
      <c r="EF41" s="198"/>
      <c r="EG41" s="198"/>
      <c r="EH41" s="198"/>
      <c r="EI41" s="198"/>
      <c r="EJ41" s="198"/>
      <c r="EK41" s="198"/>
      <c r="EL41" s="198"/>
      <c r="EM41" s="198"/>
      <c r="EN41" s="198"/>
      <c r="EO41" s="198"/>
      <c r="EP41" s="198"/>
      <c r="EQ41" s="198"/>
      <c r="ER41" s="198"/>
      <c r="ES41" s="198"/>
      <c r="ET41" s="198"/>
      <c r="EU41" s="198"/>
      <c r="EV41" s="198"/>
      <c r="EW41" s="198"/>
      <c r="EX41" s="198"/>
      <c r="EY41" s="198"/>
      <c r="EZ41" s="198"/>
      <c r="FA41" s="198"/>
      <c r="FB41" s="198"/>
      <c r="FC41" s="198"/>
      <c r="FD41" s="198"/>
      <c r="FE41" s="198"/>
      <c r="FF41" s="198"/>
      <c r="FG41" s="198"/>
      <c r="FH41" s="198"/>
      <c r="FI41" s="198"/>
      <c r="FJ41" s="198"/>
      <c r="FK41" s="198"/>
      <c r="FL41" s="198"/>
      <c r="FM41" s="198"/>
      <c r="FN41" s="198"/>
      <c r="FO41" s="198"/>
      <c r="FP41" s="198"/>
      <c r="FQ41" s="198"/>
      <c r="FR41" s="198"/>
      <c r="FS41" s="198"/>
      <c r="FT41" s="198"/>
      <c r="FU41" s="198"/>
      <c r="FV41" s="198"/>
      <c r="FW41" s="198"/>
      <c r="FX41" s="198"/>
      <c r="FY41" s="198"/>
      <c r="FZ41" s="198"/>
      <c r="GA41" s="198"/>
      <c r="GB41" s="198"/>
      <c r="GC41" s="198"/>
      <c r="GD41" s="198"/>
      <c r="GE41" s="198"/>
      <c r="GF41" s="198"/>
      <c r="GG41" s="198"/>
      <c r="GH41" s="198"/>
      <c r="GI41" s="198"/>
      <c r="GJ41" s="198"/>
      <c r="GK41" s="198"/>
      <c r="GL41" s="198"/>
      <c r="GM41" s="198"/>
      <c r="GN41" s="198"/>
      <c r="GO41" s="198"/>
      <c r="GP41" s="198"/>
      <c r="GQ41" s="198"/>
      <c r="GR41" s="198"/>
      <c r="GS41" s="198"/>
      <c r="GT41" s="198"/>
      <c r="GU41" s="198"/>
      <c r="GV41" s="198"/>
      <c r="GW41" s="198"/>
      <c r="GX41" s="198"/>
      <c r="GY41" s="198"/>
      <c r="GZ41" s="198"/>
      <c r="HA41" s="198"/>
      <c r="HB41" s="198"/>
      <c r="HC41" s="198"/>
      <c r="HD41" s="198"/>
      <c r="HE41" s="198"/>
      <c r="HF41" s="198"/>
      <c r="HG41" s="198"/>
      <c r="HH41" s="198"/>
      <c r="HI41" s="198"/>
      <c r="HJ41" s="198"/>
      <c r="HK41" s="198"/>
      <c r="HL41" s="198"/>
      <c r="HM41" s="198"/>
      <c r="HN41" s="198"/>
      <c r="HO41" s="198"/>
      <c r="HP41" s="198"/>
      <c r="HQ41" s="198"/>
      <c r="HR41" s="198"/>
      <c r="HS41" s="198"/>
      <c r="HT41" s="198"/>
      <c r="HU41" s="198"/>
      <c r="HV41" s="198"/>
      <c r="HW41" s="198"/>
      <c r="HX41" s="198"/>
      <c r="HY41" s="198"/>
      <c r="HZ41" s="198"/>
      <c r="IA41" s="198"/>
      <c r="IB41" s="198"/>
      <c r="IC41" s="198"/>
      <c r="ID41" s="198"/>
      <c r="IE41" s="198"/>
      <c r="IF41" s="198"/>
      <c r="IG41" s="198"/>
      <c r="IH41" s="198"/>
      <c r="II41" s="198"/>
      <c r="IJ41" s="198"/>
      <c r="IK41" s="198"/>
      <c r="IL41" s="198"/>
      <c r="IM41" s="198"/>
      <c r="IN41" s="198"/>
      <c r="IO41" s="198"/>
      <c r="IP41" s="198"/>
      <c r="IQ41" s="198"/>
      <c r="IR41" s="198"/>
      <c r="IS41" s="198"/>
      <c r="IT41" s="198"/>
      <c r="IU41" s="198"/>
      <c r="IV41" s="198"/>
    </row>
    <row r="42" s="199" customFormat="true" ht="12.75" hidden="false" customHeight="true" outlineLevel="0" collapsed="false">
      <c r="A42" s="157" t="str">
        <f aca="false">IF(Eingabe!A46="","",Eingabe!A46)</f>
        <v/>
      </c>
      <c r="B42" s="157"/>
      <c r="C42" s="157"/>
      <c r="D42" s="158" t="str">
        <f aca="false">IF(Eingabe!B46="","",Eingabe!B46)</f>
        <v/>
      </c>
      <c r="E42" s="158"/>
      <c r="F42" s="158"/>
      <c r="G42" s="158"/>
      <c r="H42" s="159" t="str">
        <f aca="false">IF(Eingabe!C46="","",Eingabe!C46)</f>
        <v/>
      </c>
      <c r="I42" s="159"/>
      <c r="J42" s="159"/>
      <c r="K42" s="159"/>
      <c r="L42" s="160" t="str">
        <f aca="false">IF(Eingabe!D46="","",Eingabe!D46)</f>
        <v/>
      </c>
      <c r="M42" s="160"/>
      <c r="N42" s="160"/>
      <c r="O42" s="160"/>
      <c r="P42" s="160"/>
      <c r="Q42" s="160"/>
      <c r="R42" s="160"/>
      <c r="S42" s="160"/>
      <c r="T42" s="160"/>
      <c r="U42" s="160"/>
      <c r="V42" s="160"/>
      <c r="W42" s="160"/>
      <c r="X42" s="160"/>
      <c r="Y42" s="160"/>
      <c r="Z42" s="160"/>
      <c r="AA42" s="160"/>
      <c r="AB42" s="160"/>
      <c r="AC42" s="160"/>
      <c r="AD42" s="160"/>
      <c r="AE42" s="160"/>
      <c r="AF42" s="160"/>
      <c r="AG42" s="160"/>
      <c r="AH42" s="200" t="str">
        <f aca="false">IF(Eingabe!F46&amp;Eingabe!G46="","",Eingabe!F46&amp;"  /  "&amp;Eingabe!G46)</f>
        <v/>
      </c>
      <c r="AI42" s="200"/>
      <c r="AJ42" s="200"/>
      <c r="AK42" s="200"/>
      <c r="AL42" s="200"/>
      <c r="AM42" s="200"/>
      <c r="AN42" s="200"/>
      <c r="AO42" s="200"/>
      <c r="AP42" s="200"/>
      <c r="AQ42" s="200"/>
      <c r="AR42" s="200"/>
      <c r="AS42" s="200"/>
      <c r="AT42" s="200"/>
      <c r="AU42" s="200"/>
      <c r="AV42" s="200"/>
      <c r="AW42" s="200"/>
      <c r="AX42" s="200"/>
      <c r="AY42" s="200"/>
      <c r="AZ42" s="200"/>
      <c r="BA42" s="200"/>
      <c r="BB42" s="200"/>
      <c r="BC42" s="200"/>
      <c r="BD42" s="200"/>
      <c r="BE42" s="201" t="str">
        <f aca="false">IF(Eingabe!I46="","",Eingabe!I46)</f>
        <v/>
      </c>
      <c r="BF42" s="201"/>
      <c r="BG42" s="201"/>
      <c r="BH42" s="201"/>
      <c r="BI42" s="201"/>
      <c r="BJ42" s="202" t="str">
        <f aca="false">IF(Eingabe!I46="","",Eingabe!I46*Eingabe!B46)</f>
        <v/>
      </c>
      <c r="BK42" s="202"/>
      <c r="BL42" s="202"/>
      <c r="BM42" s="202"/>
      <c r="BN42" s="202"/>
      <c r="BO42" s="198"/>
      <c r="BP42" s="198"/>
      <c r="BQ42" s="198"/>
      <c r="BR42" s="198"/>
      <c r="BS42" s="198"/>
      <c r="BT42" s="198"/>
      <c r="BU42" s="198"/>
      <c r="BV42" s="198"/>
      <c r="BW42" s="198"/>
      <c r="BX42" s="198"/>
      <c r="BY42" s="198"/>
      <c r="BZ42" s="198"/>
      <c r="CA42" s="198"/>
      <c r="CB42" s="198"/>
      <c r="CC42" s="198"/>
      <c r="CD42" s="198"/>
      <c r="CE42" s="198"/>
      <c r="CF42" s="198"/>
      <c r="CG42" s="198"/>
      <c r="CH42" s="198"/>
      <c r="CI42" s="198"/>
      <c r="CJ42" s="198"/>
      <c r="CK42" s="198"/>
      <c r="CL42" s="198"/>
      <c r="CM42" s="198"/>
      <c r="CN42" s="198"/>
      <c r="CO42" s="198"/>
      <c r="CP42" s="198"/>
      <c r="CQ42" s="198"/>
      <c r="CR42" s="198"/>
      <c r="CS42" s="198"/>
      <c r="CT42" s="198"/>
      <c r="CU42" s="198"/>
      <c r="CV42" s="198"/>
      <c r="CW42" s="198"/>
      <c r="CX42" s="198"/>
      <c r="CY42" s="198"/>
      <c r="CZ42" s="198"/>
      <c r="DA42" s="198"/>
      <c r="DB42" s="198"/>
      <c r="DC42" s="198"/>
      <c r="DD42" s="198"/>
      <c r="DE42" s="198"/>
      <c r="DF42" s="198"/>
      <c r="DG42" s="198"/>
      <c r="DH42" s="198"/>
      <c r="DI42" s="198"/>
      <c r="DJ42" s="198"/>
      <c r="DK42" s="198"/>
      <c r="DL42" s="198"/>
      <c r="DM42" s="198"/>
      <c r="DN42" s="198"/>
      <c r="DO42" s="198"/>
      <c r="DP42" s="198"/>
      <c r="DQ42" s="198"/>
      <c r="DR42" s="198"/>
      <c r="DS42" s="198"/>
      <c r="DT42" s="198"/>
      <c r="DU42" s="198"/>
      <c r="DV42" s="198"/>
      <c r="DW42" s="198"/>
      <c r="DX42" s="198"/>
      <c r="DY42" s="198"/>
      <c r="DZ42" s="198"/>
      <c r="EA42" s="198"/>
      <c r="EB42" s="198"/>
      <c r="EC42" s="198"/>
      <c r="ED42" s="198"/>
      <c r="EE42" s="198"/>
      <c r="EF42" s="198"/>
      <c r="EG42" s="198"/>
      <c r="EH42" s="198"/>
      <c r="EI42" s="198"/>
      <c r="EJ42" s="198"/>
      <c r="EK42" s="198"/>
      <c r="EL42" s="198"/>
      <c r="EM42" s="198"/>
      <c r="EN42" s="198"/>
      <c r="EO42" s="198"/>
      <c r="EP42" s="198"/>
      <c r="EQ42" s="198"/>
      <c r="ER42" s="198"/>
      <c r="ES42" s="198"/>
      <c r="ET42" s="198"/>
      <c r="EU42" s="198"/>
      <c r="EV42" s="198"/>
      <c r="EW42" s="198"/>
      <c r="EX42" s="198"/>
      <c r="EY42" s="198"/>
      <c r="EZ42" s="198"/>
      <c r="FA42" s="198"/>
      <c r="FB42" s="198"/>
      <c r="FC42" s="198"/>
      <c r="FD42" s="198"/>
      <c r="FE42" s="198"/>
      <c r="FF42" s="198"/>
      <c r="FG42" s="198"/>
      <c r="FH42" s="198"/>
      <c r="FI42" s="198"/>
      <c r="FJ42" s="198"/>
      <c r="FK42" s="198"/>
      <c r="FL42" s="198"/>
      <c r="FM42" s="198"/>
      <c r="FN42" s="198"/>
      <c r="FO42" s="198"/>
      <c r="FP42" s="198"/>
      <c r="FQ42" s="198"/>
      <c r="FR42" s="198"/>
      <c r="FS42" s="198"/>
      <c r="FT42" s="198"/>
      <c r="FU42" s="198"/>
      <c r="FV42" s="198"/>
      <c r="FW42" s="198"/>
      <c r="FX42" s="198"/>
      <c r="FY42" s="198"/>
      <c r="FZ42" s="198"/>
      <c r="GA42" s="198"/>
      <c r="GB42" s="198"/>
      <c r="GC42" s="198"/>
      <c r="GD42" s="198"/>
      <c r="GE42" s="198"/>
      <c r="GF42" s="198"/>
      <c r="GG42" s="198"/>
      <c r="GH42" s="198"/>
      <c r="GI42" s="198"/>
      <c r="GJ42" s="198"/>
      <c r="GK42" s="198"/>
      <c r="GL42" s="198"/>
      <c r="GM42" s="198"/>
      <c r="GN42" s="198"/>
      <c r="GO42" s="198"/>
      <c r="GP42" s="198"/>
      <c r="GQ42" s="198"/>
      <c r="GR42" s="198"/>
      <c r="GS42" s="198"/>
      <c r="GT42" s="198"/>
      <c r="GU42" s="198"/>
      <c r="GV42" s="198"/>
      <c r="GW42" s="198"/>
      <c r="GX42" s="198"/>
      <c r="GY42" s="198"/>
      <c r="GZ42" s="198"/>
      <c r="HA42" s="198"/>
      <c r="HB42" s="198"/>
      <c r="HC42" s="198"/>
      <c r="HD42" s="198"/>
      <c r="HE42" s="198"/>
      <c r="HF42" s="198"/>
      <c r="HG42" s="198"/>
      <c r="HH42" s="198"/>
      <c r="HI42" s="198"/>
      <c r="HJ42" s="198"/>
      <c r="HK42" s="198"/>
      <c r="HL42" s="198"/>
      <c r="HM42" s="198"/>
      <c r="HN42" s="198"/>
      <c r="HO42" s="198"/>
      <c r="HP42" s="198"/>
      <c r="HQ42" s="198"/>
      <c r="HR42" s="198"/>
      <c r="HS42" s="198"/>
      <c r="HT42" s="198"/>
      <c r="HU42" s="198"/>
      <c r="HV42" s="198"/>
      <c r="HW42" s="198"/>
      <c r="HX42" s="198"/>
      <c r="HY42" s="198"/>
      <c r="HZ42" s="198"/>
      <c r="IA42" s="198"/>
      <c r="IB42" s="198"/>
      <c r="IC42" s="198"/>
      <c r="ID42" s="198"/>
      <c r="IE42" s="198"/>
      <c r="IF42" s="198"/>
      <c r="IG42" s="198"/>
      <c r="IH42" s="198"/>
      <c r="II42" s="198"/>
      <c r="IJ42" s="198"/>
      <c r="IK42" s="198"/>
      <c r="IL42" s="198"/>
      <c r="IM42" s="198"/>
      <c r="IN42" s="198"/>
      <c r="IO42" s="198"/>
      <c r="IP42" s="198"/>
      <c r="IQ42" s="198"/>
      <c r="IR42" s="198"/>
      <c r="IS42" s="198"/>
      <c r="IT42" s="198"/>
      <c r="IU42" s="198"/>
      <c r="IV42" s="198"/>
    </row>
    <row r="43" s="199" customFormat="true" ht="12.75" hidden="false" customHeight="true" outlineLevel="0" collapsed="false">
      <c r="A43" s="157" t="str">
        <f aca="false">IF(Eingabe!A47="","",Eingabe!A47)</f>
        <v/>
      </c>
      <c r="B43" s="157"/>
      <c r="C43" s="157"/>
      <c r="D43" s="158" t="str">
        <f aca="false">IF(Eingabe!B47="","",Eingabe!B47)</f>
        <v/>
      </c>
      <c r="E43" s="158"/>
      <c r="F43" s="158"/>
      <c r="G43" s="158"/>
      <c r="H43" s="159" t="str">
        <f aca="false">IF(Eingabe!C47="","",Eingabe!C47)</f>
        <v/>
      </c>
      <c r="I43" s="159"/>
      <c r="J43" s="159"/>
      <c r="K43" s="159"/>
      <c r="L43" s="160" t="str">
        <f aca="false">IF(Eingabe!D47="","",Eingabe!D47)</f>
        <v/>
      </c>
      <c r="M43" s="160"/>
      <c r="N43" s="160"/>
      <c r="O43" s="160"/>
      <c r="P43" s="160"/>
      <c r="Q43" s="160"/>
      <c r="R43" s="160"/>
      <c r="S43" s="160"/>
      <c r="T43" s="160"/>
      <c r="U43" s="160"/>
      <c r="V43" s="160"/>
      <c r="W43" s="160"/>
      <c r="X43" s="160"/>
      <c r="Y43" s="160"/>
      <c r="Z43" s="160"/>
      <c r="AA43" s="160"/>
      <c r="AB43" s="160"/>
      <c r="AC43" s="160"/>
      <c r="AD43" s="160"/>
      <c r="AE43" s="160"/>
      <c r="AF43" s="160"/>
      <c r="AG43" s="160"/>
      <c r="AH43" s="200" t="str">
        <f aca="false">IF(Eingabe!F47&amp;Eingabe!G47="","",Eingabe!F47&amp;"  /  "&amp;Eingabe!G47)</f>
        <v/>
      </c>
      <c r="AI43" s="200"/>
      <c r="AJ43" s="200"/>
      <c r="AK43" s="200"/>
      <c r="AL43" s="200"/>
      <c r="AM43" s="200"/>
      <c r="AN43" s="200"/>
      <c r="AO43" s="200"/>
      <c r="AP43" s="200"/>
      <c r="AQ43" s="200"/>
      <c r="AR43" s="200"/>
      <c r="AS43" s="200"/>
      <c r="AT43" s="200"/>
      <c r="AU43" s="200"/>
      <c r="AV43" s="200"/>
      <c r="AW43" s="200"/>
      <c r="AX43" s="200"/>
      <c r="AY43" s="200"/>
      <c r="AZ43" s="200"/>
      <c r="BA43" s="200"/>
      <c r="BB43" s="200"/>
      <c r="BC43" s="200"/>
      <c r="BD43" s="200"/>
      <c r="BE43" s="201" t="str">
        <f aca="false">IF(Eingabe!I47="","",Eingabe!I47)</f>
        <v/>
      </c>
      <c r="BF43" s="201"/>
      <c r="BG43" s="201"/>
      <c r="BH43" s="201"/>
      <c r="BI43" s="201"/>
      <c r="BJ43" s="202" t="str">
        <f aca="false">IF(Eingabe!I47="","",Eingabe!I47*Eingabe!B47)</f>
        <v/>
      </c>
      <c r="BK43" s="202"/>
      <c r="BL43" s="202"/>
      <c r="BM43" s="202"/>
      <c r="BN43" s="202"/>
      <c r="BO43" s="198"/>
      <c r="BP43" s="198"/>
      <c r="BQ43" s="198"/>
      <c r="BR43" s="198"/>
      <c r="BS43" s="198"/>
      <c r="BT43" s="198"/>
      <c r="BU43" s="198"/>
      <c r="BV43" s="198"/>
      <c r="BW43" s="198"/>
      <c r="BX43" s="198"/>
      <c r="BY43" s="198"/>
      <c r="BZ43" s="198"/>
      <c r="CA43" s="198"/>
      <c r="CB43" s="198"/>
      <c r="CC43" s="198"/>
      <c r="CD43" s="198"/>
      <c r="CE43" s="198"/>
      <c r="CF43" s="198"/>
      <c r="CG43" s="198"/>
      <c r="CH43" s="198"/>
      <c r="CI43" s="198"/>
      <c r="CJ43" s="198"/>
      <c r="CK43" s="198"/>
      <c r="CL43" s="198"/>
      <c r="CM43" s="198"/>
      <c r="CN43" s="198"/>
      <c r="CO43" s="198"/>
      <c r="CP43" s="198"/>
      <c r="CQ43" s="198"/>
      <c r="CR43" s="198"/>
      <c r="CS43" s="198"/>
      <c r="CT43" s="198"/>
      <c r="CU43" s="198"/>
      <c r="CV43" s="198"/>
      <c r="CW43" s="198"/>
      <c r="CX43" s="198"/>
      <c r="CY43" s="198"/>
      <c r="CZ43" s="198"/>
      <c r="DA43" s="198"/>
      <c r="DB43" s="198"/>
      <c r="DC43" s="198"/>
      <c r="DD43" s="198"/>
      <c r="DE43" s="198"/>
      <c r="DF43" s="198"/>
      <c r="DG43" s="198"/>
      <c r="DH43" s="198"/>
      <c r="DI43" s="198"/>
      <c r="DJ43" s="198"/>
      <c r="DK43" s="198"/>
      <c r="DL43" s="198"/>
      <c r="DM43" s="198"/>
      <c r="DN43" s="198"/>
      <c r="DO43" s="198"/>
      <c r="DP43" s="198"/>
      <c r="DQ43" s="198"/>
      <c r="DR43" s="198"/>
      <c r="DS43" s="198"/>
      <c r="DT43" s="198"/>
      <c r="DU43" s="198"/>
      <c r="DV43" s="198"/>
      <c r="DW43" s="198"/>
      <c r="DX43" s="198"/>
      <c r="DY43" s="198"/>
      <c r="DZ43" s="198"/>
      <c r="EA43" s="198"/>
      <c r="EB43" s="198"/>
      <c r="EC43" s="198"/>
      <c r="ED43" s="198"/>
      <c r="EE43" s="198"/>
      <c r="EF43" s="198"/>
      <c r="EG43" s="198"/>
      <c r="EH43" s="198"/>
      <c r="EI43" s="198"/>
      <c r="EJ43" s="198"/>
      <c r="EK43" s="198"/>
      <c r="EL43" s="198"/>
      <c r="EM43" s="198"/>
      <c r="EN43" s="198"/>
      <c r="EO43" s="198"/>
      <c r="EP43" s="198"/>
      <c r="EQ43" s="198"/>
      <c r="ER43" s="198"/>
      <c r="ES43" s="198"/>
      <c r="ET43" s="198"/>
      <c r="EU43" s="198"/>
      <c r="EV43" s="198"/>
      <c r="EW43" s="198"/>
      <c r="EX43" s="198"/>
      <c r="EY43" s="198"/>
      <c r="EZ43" s="198"/>
      <c r="FA43" s="198"/>
      <c r="FB43" s="198"/>
      <c r="FC43" s="198"/>
      <c r="FD43" s="198"/>
      <c r="FE43" s="198"/>
      <c r="FF43" s="198"/>
      <c r="FG43" s="198"/>
      <c r="FH43" s="198"/>
      <c r="FI43" s="198"/>
      <c r="FJ43" s="198"/>
      <c r="FK43" s="198"/>
      <c r="FL43" s="198"/>
      <c r="FM43" s="198"/>
      <c r="FN43" s="198"/>
      <c r="FO43" s="198"/>
      <c r="FP43" s="198"/>
      <c r="FQ43" s="198"/>
      <c r="FR43" s="198"/>
      <c r="FS43" s="198"/>
      <c r="FT43" s="198"/>
      <c r="FU43" s="198"/>
      <c r="FV43" s="198"/>
      <c r="FW43" s="198"/>
      <c r="FX43" s="198"/>
      <c r="FY43" s="198"/>
      <c r="FZ43" s="198"/>
      <c r="GA43" s="198"/>
      <c r="GB43" s="198"/>
      <c r="GC43" s="198"/>
      <c r="GD43" s="198"/>
      <c r="GE43" s="198"/>
      <c r="GF43" s="198"/>
      <c r="GG43" s="198"/>
      <c r="GH43" s="198"/>
      <c r="GI43" s="198"/>
      <c r="GJ43" s="198"/>
      <c r="GK43" s="198"/>
      <c r="GL43" s="198"/>
      <c r="GM43" s="198"/>
      <c r="GN43" s="198"/>
      <c r="GO43" s="198"/>
      <c r="GP43" s="198"/>
      <c r="GQ43" s="198"/>
      <c r="GR43" s="198"/>
      <c r="GS43" s="198"/>
      <c r="GT43" s="198"/>
      <c r="GU43" s="198"/>
      <c r="GV43" s="198"/>
      <c r="GW43" s="198"/>
      <c r="GX43" s="198"/>
      <c r="GY43" s="198"/>
      <c r="GZ43" s="198"/>
      <c r="HA43" s="198"/>
      <c r="HB43" s="198"/>
      <c r="HC43" s="198"/>
      <c r="HD43" s="198"/>
      <c r="HE43" s="198"/>
      <c r="HF43" s="198"/>
      <c r="HG43" s="198"/>
      <c r="HH43" s="198"/>
      <c r="HI43" s="198"/>
      <c r="HJ43" s="198"/>
      <c r="HK43" s="198"/>
      <c r="HL43" s="198"/>
      <c r="HM43" s="198"/>
      <c r="HN43" s="198"/>
      <c r="HO43" s="198"/>
      <c r="HP43" s="198"/>
      <c r="HQ43" s="198"/>
      <c r="HR43" s="198"/>
      <c r="HS43" s="198"/>
      <c r="HT43" s="198"/>
      <c r="HU43" s="198"/>
      <c r="HV43" s="198"/>
      <c r="HW43" s="198"/>
      <c r="HX43" s="198"/>
      <c r="HY43" s="198"/>
      <c r="HZ43" s="198"/>
      <c r="IA43" s="198"/>
      <c r="IB43" s="198"/>
      <c r="IC43" s="198"/>
      <c r="ID43" s="198"/>
      <c r="IE43" s="198"/>
      <c r="IF43" s="198"/>
      <c r="IG43" s="198"/>
      <c r="IH43" s="198"/>
      <c r="II43" s="198"/>
      <c r="IJ43" s="198"/>
      <c r="IK43" s="198"/>
      <c r="IL43" s="198"/>
      <c r="IM43" s="198"/>
      <c r="IN43" s="198"/>
      <c r="IO43" s="198"/>
      <c r="IP43" s="198"/>
      <c r="IQ43" s="198"/>
      <c r="IR43" s="198"/>
      <c r="IS43" s="198"/>
      <c r="IT43" s="198"/>
      <c r="IU43" s="198"/>
      <c r="IV43" s="198"/>
    </row>
    <row r="44" s="199" customFormat="true" ht="12.75" hidden="false" customHeight="true" outlineLevel="0" collapsed="false">
      <c r="A44" s="157" t="str">
        <f aca="false">IF(Eingabe!A48="","",Eingabe!A48)</f>
        <v/>
      </c>
      <c r="B44" s="157"/>
      <c r="C44" s="157"/>
      <c r="D44" s="158" t="str">
        <f aca="false">IF(Eingabe!B48="","",Eingabe!B48)</f>
        <v/>
      </c>
      <c r="E44" s="158"/>
      <c r="F44" s="158"/>
      <c r="G44" s="158"/>
      <c r="H44" s="159" t="str">
        <f aca="false">IF(Eingabe!C48="","",Eingabe!C48)</f>
        <v/>
      </c>
      <c r="I44" s="159"/>
      <c r="J44" s="159"/>
      <c r="K44" s="159"/>
      <c r="L44" s="160" t="str">
        <f aca="false">IF(Eingabe!D48="","",Eingabe!D48)</f>
        <v/>
      </c>
      <c r="M44" s="160"/>
      <c r="N44" s="160"/>
      <c r="O44" s="160"/>
      <c r="P44" s="160"/>
      <c r="Q44" s="160"/>
      <c r="R44" s="160"/>
      <c r="S44" s="160"/>
      <c r="T44" s="160"/>
      <c r="U44" s="160"/>
      <c r="V44" s="160"/>
      <c r="W44" s="160"/>
      <c r="X44" s="160"/>
      <c r="Y44" s="160"/>
      <c r="Z44" s="160"/>
      <c r="AA44" s="160"/>
      <c r="AB44" s="160"/>
      <c r="AC44" s="160"/>
      <c r="AD44" s="160"/>
      <c r="AE44" s="160"/>
      <c r="AF44" s="160"/>
      <c r="AG44" s="160"/>
      <c r="AH44" s="200" t="str">
        <f aca="false">IF(Eingabe!F48&amp;Eingabe!G48="","",Eingabe!F48&amp;"  /  "&amp;Eingabe!G48)</f>
        <v/>
      </c>
      <c r="AI44" s="200"/>
      <c r="AJ44" s="200"/>
      <c r="AK44" s="200"/>
      <c r="AL44" s="200"/>
      <c r="AM44" s="200"/>
      <c r="AN44" s="200"/>
      <c r="AO44" s="200"/>
      <c r="AP44" s="200"/>
      <c r="AQ44" s="200"/>
      <c r="AR44" s="200"/>
      <c r="AS44" s="200"/>
      <c r="AT44" s="200"/>
      <c r="AU44" s="200"/>
      <c r="AV44" s="200"/>
      <c r="AW44" s="200"/>
      <c r="AX44" s="200"/>
      <c r="AY44" s="200"/>
      <c r="AZ44" s="200"/>
      <c r="BA44" s="200"/>
      <c r="BB44" s="200"/>
      <c r="BC44" s="200"/>
      <c r="BD44" s="200"/>
      <c r="BE44" s="201" t="str">
        <f aca="false">IF(Eingabe!I48="","",Eingabe!I48)</f>
        <v/>
      </c>
      <c r="BF44" s="201"/>
      <c r="BG44" s="201"/>
      <c r="BH44" s="201"/>
      <c r="BI44" s="201"/>
      <c r="BJ44" s="202" t="str">
        <f aca="false">IF(Eingabe!I48="","",Eingabe!I48*Eingabe!B48)</f>
        <v/>
      </c>
      <c r="BK44" s="202"/>
      <c r="BL44" s="202"/>
      <c r="BM44" s="202"/>
      <c r="BN44" s="202"/>
      <c r="BO44" s="198"/>
      <c r="BP44" s="198"/>
      <c r="BQ44" s="198"/>
      <c r="BR44" s="198"/>
      <c r="BS44" s="198"/>
      <c r="BT44" s="198"/>
      <c r="BU44" s="198"/>
      <c r="BV44" s="198"/>
      <c r="BW44" s="198"/>
      <c r="BX44" s="198"/>
      <c r="BY44" s="198"/>
      <c r="BZ44" s="198"/>
      <c r="CA44" s="198"/>
      <c r="CB44" s="198"/>
      <c r="CC44" s="198"/>
      <c r="CD44" s="198"/>
      <c r="CE44" s="198"/>
      <c r="CF44" s="198"/>
      <c r="CG44" s="198"/>
      <c r="CH44" s="198"/>
      <c r="CI44" s="198"/>
      <c r="CJ44" s="198"/>
      <c r="CK44" s="198"/>
      <c r="CL44" s="198"/>
      <c r="CM44" s="198"/>
      <c r="CN44" s="198"/>
      <c r="CO44" s="198"/>
      <c r="CP44" s="198"/>
      <c r="CQ44" s="198"/>
      <c r="CR44" s="198"/>
      <c r="CS44" s="198"/>
      <c r="CT44" s="198"/>
      <c r="CU44" s="198"/>
      <c r="CV44" s="198"/>
      <c r="CW44" s="198"/>
      <c r="CX44" s="198"/>
      <c r="CY44" s="198"/>
      <c r="CZ44" s="198"/>
      <c r="DA44" s="198"/>
      <c r="DB44" s="198"/>
      <c r="DC44" s="198"/>
      <c r="DD44" s="198"/>
      <c r="DE44" s="198"/>
      <c r="DF44" s="198"/>
      <c r="DG44" s="198"/>
      <c r="DH44" s="198"/>
      <c r="DI44" s="198"/>
      <c r="DJ44" s="198"/>
      <c r="DK44" s="198"/>
      <c r="DL44" s="198"/>
      <c r="DM44" s="198"/>
      <c r="DN44" s="198"/>
      <c r="DO44" s="198"/>
      <c r="DP44" s="198"/>
      <c r="DQ44" s="198"/>
      <c r="DR44" s="198"/>
      <c r="DS44" s="198"/>
      <c r="DT44" s="198"/>
      <c r="DU44" s="198"/>
      <c r="DV44" s="198"/>
      <c r="DW44" s="198"/>
      <c r="DX44" s="198"/>
      <c r="DY44" s="198"/>
      <c r="DZ44" s="198"/>
      <c r="EA44" s="198"/>
      <c r="EB44" s="198"/>
      <c r="EC44" s="198"/>
      <c r="ED44" s="198"/>
      <c r="EE44" s="198"/>
      <c r="EF44" s="198"/>
      <c r="EG44" s="198"/>
      <c r="EH44" s="198"/>
      <c r="EI44" s="198"/>
      <c r="EJ44" s="198"/>
      <c r="EK44" s="198"/>
      <c r="EL44" s="198"/>
      <c r="EM44" s="198"/>
      <c r="EN44" s="198"/>
      <c r="EO44" s="198"/>
      <c r="EP44" s="198"/>
      <c r="EQ44" s="198"/>
      <c r="ER44" s="198"/>
      <c r="ES44" s="198"/>
      <c r="ET44" s="198"/>
      <c r="EU44" s="198"/>
      <c r="EV44" s="198"/>
      <c r="EW44" s="198"/>
      <c r="EX44" s="198"/>
      <c r="EY44" s="198"/>
      <c r="EZ44" s="198"/>
      <c r="FA44" s="198"/>
      <c r="FB44" s="198"/>
      <c r="FC44" s="198"/>
      <c r="FD44" s="198"/>
      <c r="FE44" s="198"/>
      <c r="FF44" s="198"/>
      <c r="FG44" s="198"/>
      <c r="FH44" s="198"/>
      <c r="FI44" s="198"/>
      <c r="FJ44" s="198"/>
      <c r="FK44" s="198"/>
      <c r="FL44" s="198"/>
      <c r="FM44" s="198"/>
      <c r="FN44" s="198"/>
      <c r="FO44" s="198"/>
      <c r="FP44" s="198"/>
      <c r="FQ44" s="198"/>
      <c r="FR44" s="198"/>
      <c r="FS44" s="198"/>
      <c r="FT44" s="198"/>
      <c r="FU44" s="198"/>
      <c r="FV44" s="198"/>
      <c r="FW44" s="198"/>
      <c r="FX44" s="198"/>
      <c r="FY44" s="198"/>
      <c r="FZ44" s="198"/>
      <c r="GA44" s="198"/>
      <c r="GB44" s="198"/>
      <c r="GC44" s="198"/>
      <c r="GD44" s="198"/>
      <c r="GE44" s="198"/>
      <c r="GF44" s="198"/>
      <c r="GG44" s="198"/>
      <c r="GH44" s="198"/>
      <c r="GI44" s="198"/>
      <c r="GJ44" s="198"/>
      <c r="GK44" s="198"/>
      <c r="GL44" s="198"/>
      <c r="GM44" s="198"/>
      <c r="GN44" s="198"/>
      <c r="GO44" s="198"/>
      <c r="GP44" s="198"/>
      <c r="GQ44" s="198"/>
      <c r="GR44" s="198"/>
      <c r="GS44" s="198"/>
      <c r="GT44" s="198"/>
      <c r="GU44" s="198"/>
      <c r="GV44" s="198"/>
      <c r="GW44" s="198"/>
      <c r="GX44" s="198"/>
      <c r="GY44" s="198"/>
      <c r="GZ44" s="198"/>
      <c r="HA44" s="198"/>
      <c r="HB44" s="198"/>
      <c r="HC44" s="198"/>
      <c r="HD44" s="198"/>
      <c r="HE44" s="198"/>
      <c r="HF44" s="198"/>
      <c r="HG44" s="198"/>
      <c r="HH44" s="198"/>
      <c r="HI44" s="198"/>
      <c r="HJ44" s="198"/>
      <c r="HK44" s="198"/>
      <c r="HL44" s="198"/>
      <c r="HM44" s="198"/>
      <c r="HN44" s="198"/>
      <c r="HO44" s="198"/>
      <c r="HP44" s="198"/>
      <c r="HQ44" s="198"/>
      <c r="HR44" s="198"/>
      <c r="HS44" s="198"/>
      <c r="HT44" s="198"/>
      <c r="HU44" s="198"/>
      <c r="HV44" s="198"/>
      <c r="HW44" s="198"/>
      <c r="HX44" s="198"/>
      <c r="HY44" s="198"/>
      <c r="HZ44" s="198"/>
      <c r="IA44" s="198"/>
      <c r="IB44" s="198"/>
      <c r="IC44" s="198"/>
      <c r="ID44" s="198"/>
      <c r="IE44" s="198"/>
      <c r="IF44" s="198"/>
      <c r="IG44" s="198"/>
      <c r="IH44" s="198"/>
      <c r="II44" s="198"/>
      <c r="IJ44" s="198"/>
      <c r="IK44" s="198"/>
      <c r="IL44" s="198"/>
      <c r="IM44" s="198"/>
      <c r="IN44" s="198"/>
      <c r="IO44" s="198"/>
      <c r="IP44" s="198"/>
      <c r="IQ44" s="198"/>
      <c r="IR44" s="198"/>
      <c r="IS44" s="198"/>
      <c r="IT44" s="198"/>
      <c r="IU44" s="198"/>
      <c r="IV44" s="198"/>
    </row>
    <row r="45" s="199" customFormat="true" ht="12.75" hidden="false" customHeight="true" outlineLevel="0" collapsed="false">
      <c r="A45" s="157" t="str">
        <f aca="false">IF(Eingabe!A49="","",Eingabe!A49)</f>
        <v/>
      </c>
      <c r="B45" s="157"/>
      <c r="C45" s="157"/>
      <c r="D45" s="158" t="str">
        <f aca="false">IF(Eingabe!B49="","",Eingabe!B49)</f>
        <v/>
      </c>
      <c r="E45" s="158"/>
      <c r="F45" s="158"/>
      <c r="G45" s="158"/>
      <c r="H45" s="159" t="str">
        <f aca="false">IF(Eingabe!C49="","",Eingabe!C49)</f>
        <v/>
      </c>
      <c r="I45" s="159"/>
      <c r="J45" s="159"/>
      <c r="K45" s="159"/>
      <c r="L45" s="160" t="str">
        <f aca="false">IF(Eingabe!D49="","",Eingabe!D49)</f>
        <v/>
      </c>
      <c r="M45" s="160"/>
      <c r="N45" s="160"/>
      <c r="O45" s="160"/>
      <c r="P45" s="160"/>
      <c r="Q45" s="160"/>
      <c r="R45" s="160"/>
      <c r="S45" s="160"/>
      <c r="T45" s="160"/>
      <c r="U45" s="160"/>
      <c r="V45" s="160"/>
      <c r="W45" s="160"/>
      <c r="X45" s="160"/>
      <c r="Y45" s="160"/>
      <c r="Z45" s="160"/>
      <c r="AA45" s="160"/>
      <c r="AB45" s="160"/>
      <c r="AC45" s="160"/>
      <c r="AD45" s="160"/>
      <c r="AE45" s="160"/>
      <c r="AF45" s="160"/>
      <c r="AG45" s="160"/>
      <c r="AH45" s="200" t="str">
        <f aca="false">IF(Eingabe!F49&amp;Eingabe!G49="","",Eingabe!F49&amp;"  /  "&amp;Eingabe!G49)</f>
        <v/>
      </c>
      <c r="AI45" s="200"/>
      <c r="AJ45" s="200"/>
      <c r="AK45" s="200"/>
      <c r="AL45" s="200"/>
      <c r="AM45" s="200"/>
      <c r="AN45" s="200"/>
      <c r="AO45" s="200"/>
      <c r="AP45" s="200"/>
      <c r="AQ45" s="200"/>
      <c r="AR45" s="200"/>
      <c r="AS45" s="200"/>
      <c r="AT45" s="200"/>
      <c r="AU45" s="200"/>
      <c r="AV45" s="200"/>
      <c r="AW45" s="200"/>
      <c r="AX45" s="200"/>
      <c r="AY45" s="200"/>
      <c r="AZ45" s="200"/>
      <c r="BA45" s="200"/>
      <c r="BB45" s="200"/>
      <c r="BC45" s="200"/>
      <c r="BD45" s="200"/>
      <c r="BE45" s="201" t="str">
        <f aca="false">IF(Eingabe!I49="","",Eingabe!I49)</f>
        <v/>
      </c>
      <c r="BF45" s="201"/>
      <c r="BG45" s="201"/>
      <c r="BH45" s="201"/>
      <c r="BI45" s="201"/>
      <c r="BJ45" s="202" t="str">
        <f aca="false">IF(Eingabe!I49="","",Eingabe!I49*Eingabe!B49)</f>
        <v/>
      </c>
      <c r="BK45" s="202"/>
      <c r="BL45" s="202"/>
      <c r="BM45" s="202"/>
      <c r="BN45" s="202"/>
      <c r="BO45" s="198"/>
      <c r="BP45" s="198"/>
      <c r="BQ45" s="198"/>
      <c r="BR45" s="198"/>
      <c r="BS45" s="198"/>
      <c r="BT45" s="198"/>
      <c r="BU45" s="198"/>
      <c r="BV45" s="198"/>
      <c r="BW45" s="198"/>
      <c r="BX45" s="198"/>
      <c r="BY45" s="198"/>
      <c r="BZ45" s="198"/>
      <c r="CA45" s="198"/>
      <c r="CB45" s="198"/>
      <c r="CC45" s="198"/>
      <c r="CD45" s="198"/>
      <c r="CE45" s="198"/>
      <c r="CF45" s="198"/>
      <c r="CG45" s="198"/>
      <c r="CH45" s="198"/>
      <c r="CI45" s="198"/>
      <c r="CJ45" s="198"/>
      <c r="CK45" s="198"/>
      <c r="CL45" s="198"/>
      <c r="CM45" s="198"/>
      <c r="CN45" s="198"/>
      <c r="CO45" s="198"/>
      <c r="CP45" s="198"/>
      <c r="CQ45" s="198"/>
      <c r="CR45" s="198"/>
      <c r="CS45" s="198"/>
      <c r="CT45" s="198"/>
      <c r="CU45" s="198"/>
      <c r="CV45" s="198"/>
      <c r="CW45" s="198"/>
      <c r="CX45" s="198"/>
      <c r="CY45" s="198"/>
      <c r="CZ45" s="198"/>
      <c r="DA45" s="198"/>
      <c r="DB45" s="198"/>
      <c r="DC45" s="198"/>
      <c r="DD45" s="198"/>
      <c r="DE45" s="198"/>
      <c r="DF45" s="198"/>
      <c r="DG45" s="198"/>
      <c r="DH45" s="198"/>
      <c r="DI45" s="198"/>
      <c r="DJ45" s="198"/>
      <c r="DK45" s="198"/>
      <c r="DL45" s="198"/>
      <c r="DM45" s="198"/>
      <c r="DN45" s="198"/>
      <c r="DO45" s="198"/>
      <c r="DP45" s="198"/>
      <c r="DQ45" s="198"/>
      <c r="DR45" s="198"/>
      <c r="DS45" s="198"/>
      <c r="DT45" s="198"/>
      <c r="DU45" s="198"/>
      <c r="DV45" s="198"/>
      <c r="DW45" s="198"/>
      <c r="DX45" s="198"/>
      <c r="DY45" s="198"/>
      <c r="DZ45" s="198"/>
      <c r="EA45" s="198"/>
      <c r="EB45" s="198"/>
      <c r="EC45" s="198"/>
      <c r="ED45" s="198"/>
      <c r="EE45" s="198"/>
      <c r="EF45" s="198"/>
      <c r="EG45" s="198"/>
      <c r="EH45" s="198"/>
      <c r="EI45" s="198"/>
      <c r="EJ45" s="198"/>
      <c r="EK45" s="198"/>
      <c r="EL45" s="198"/>
      <c r="EM45" s="198"/>
      <c r="EN45" s="198"/>
      <c r="EO45" s="198"/>
      <c r="EP45" s="198"/>
      <c r="EQ45" s="198"/>
      <c r="ER45" s="198"/>
      <c r="ES45" s="198"/>
      <c r="ET45" s="198"/>
      <c r="EU45" s="198"/>
      <c r="EV45" s="198"/>
      <c r="EW45" s="198"/>
      <c r="EX45" s="198"/>
      <c r="EY45" s="198"/>
      <c r="EZ45" s="198"/>
      <c r="FA45" s="198"/>
      <c r="FB45" s="198"/>
      <c r="FC45" s="198"/>
      <c r="FD45" s="198"/>
      <c r="FE45" s="198"/>
      <c r="FF45" s="198"/>
      <c r="FG45" s="198"/>
      <c r="FH45" s="198"/>
      <c r="FI45" s="198"/>
      <c r="FJ45" s="198"/>
      <c r="FK45" s="198"/>
      <c r="FL45" s="198"/>
      <c r="FM45" s="198"/>
      <c r="FN45" s="198"/>
      <c r="FO45" s="198"/>
      <c r="FP45" s="198"/>
      <c r="FQ45" s="198"/>
      <c r="FR45" s="198"/>
      <c r="FS45" s="198"/>
      <c r="FT45" s="198"/>
      <c r="FU45" s="198"/>
      <c r="FV45" s="198"/>
      <c r="FW45" s="198"/>
      <c r="FX45" s="198"/>
      <c r="FY45" s="198"/>
      <c r="FZ45" s="198"/>
      <c r="GA45" s="198"/>
      <c r="GB45" s="198"/>
      <c r="GC45" s="198"/>
      <c r="GD45" s="198"/>
      <c r="GE45" s="198"/>
      <c r="GF45" s="198"/>
      <c r="GG45" s="198"/>
      <c r="GH45" s="198"/>
      <c r="GI45" s="198"/>
      <c r="GJ45" s="198"/>
      <c r="GK45" s="198"/>
      <c r="GL45" s="198"/>
      <c r="GM45" s="198"/>
      <c r="GN45" s="198"/>
      <c r="GO45" s="198"/>
      <c r="GP45" s="198"/>
      <c r="GQ45" s="198"/>
      <c r="GR45" s="198"/>
      <c r="GS45" s="198"/>
      <c r="GT45" s="198"/>
      <c r="GU45" s="198"/>
      <c r="GV45" s="198"/>
      <c r="GW45" s="198"/>
      <c r="GX45" s="198"/>
      <c r="GY45" s="198"/>
      <c r="GZ45" s="198"/>
      <c r="HA45" s="198"/>
      <c r="HB45" s="198"/>
      <c r="HC45" s="198"/>
      <c r="HD45" s="198"/>
      <c r="HE45" s="198"/>
      <c r="HF45" s="198"/>
      <c r="HG45" s="198"/>
      <c r="HH45" s="198"/>
      <c r="HI45" s="198"/>
      <c r="HJ45" s="198"/>
      <c r="HK45" s="198"/>
      <c r="HL45" s="198"/>
      <c r="HM45" s="198"/>
      <c r="HN45" s="198"/>
      <c r="HO45" s="198"/>
      <c r="HP45" s="198"/>
      <c r="HQ45" s="198"/>
      <c r="HR45" s="198"/>
      <c r="HS45" s="198"/>
      <c r="HT45" s="198"/>
      <c r="HU45" s="198"/>
      <c r="HV45" s="198"/>
      <c r="HW45" s="198"/>
      <c r="HX45" s="198"/>
      <c r="HY45" s="198"/>
      <c r="HZ45" s="198"/>
      <c r="IA45" s="198"/>
      <c r="IB45" s="198"/>
      <c r="IC45" s="198"/>
      <c r="ID45" s="198"/>
      <c r="IE45" s="198"/>
      <c r="IF45" s="198"/>
      <c r="IG45" s="198"/>
      <c r="IH45" s="198"/>
      <c r="II45" s="198"/>
      <c r="IJ45" s="198"/>
      <c r="IK45" s="198"/>
      <c r="IL45" s="198"/>
      <c r="IM45" s="198"/>
      <c r="IN45" s="198"/>
      <c r="IO45" s="198"/>
      <c r="IP45" s="198"/>
      <c r="IQ45" s="198"/>
      <c r="IR45" s="198"/>
      <c r="IS45" s="198"/>
      <c r="IT45" s="198"/>
      <c r="IU45" s="198"/>
      <c r="IV45" s="198"/>
    </row>
    <row r="46" s="199" customFormat="true" ht="12.75" hidden="false" customHeight="true" outlineLevel="0" collapsed="false">
      <c r="A46" s="157" t="str">
        <f aca="false">IF(Eingabe!A50="","",Eingabe!A50)</f>
        <v/>
      </c>
      <c r="B46" s="157"/>
      <c r="C46" s="157"/>
      <c r="D46" s="158" t="str">
        <f aca="false">IF(Eingabe!B50="","",Eingabe!B50)</f>
        <v/>
      </c>
      <c r="E46" s="158"/>
      <c r="F46" s="158"/>
      <c r="G46" s="158"/>
      <c r="H46" s="159" t="str">
        <f aca="false">IF(Eingabe!C50="","",Eingabe!C50)</f>
        <v/>
      </c>
      <c r="I46" s="159"/>
      <c r="J46" s="159"/>
      <c r="K46" s="159"/>
      <c r="L46" s="160" t="str">
        <f aca="false">IF(Eingabe!D50="","",Eingabe!D50)</f>
        <v/>
      </c>
      <c r="M46" s="160"/>
      <c r="N46" s="160"/>
      <c r="O46" s="160"/>
      <c r="P46" s="160"/>
      <c r="Q46" s="160"/>
      <c r="R46" s="160"/>
      <c r="S46" s="160"/>
      <c r="T46" s="160"/>
      <c r="U46" s="160"/>
      <c r="V46" s="160"/>
      <c r="W46" s="160"/>
      <c r="X46" s="160"/>
      <c r="Y46" s="160"/>
      <c r="Z46" s="160"/>
      <c r="AA46" s="160"/>
      <c r="AB46" s="160"/>
      <c r="AC46" s="160"/>
      <c r="AD46" s="160"/>
      <c r="AE46" s="160"/>
      <c r="AF46" s="160"/>
      <c r="AG46" s="160"/>
      <c r="AH46" s="200" t="str">
        <f aca="false">IF(Eingabe!F50&amp;Eingabe!G50="","",Eingabe!F50&amp;"  /  "&amp;Eingabe!G50)</f>
        <v/>
      </c>
      <c r="AI46" s="200"/>
      <c r="AJ46" s="200"/>
      <c r="AK46" s="200"/>
      <c r="AL46" s="200"/>
      <c r="AM46" s="200"/>
      <c r="AN46" s="200"/>
      <c r="AO46" s="200"/>
      <c r="AP46" s="200"/>
      <c r="AQ46" s="200"/>
      <c r="AR46" s="200"/>
      <c r="AS46" s="200"/>
      <c r="AT46" s="200"/>
      <c r="AU46" s="200"/>
      <c r="AV46" s="200"/>
      <c r="AW46" s="200"/>
      <c r="AX46" s="200"/>
      <c r="AY46" s="200"/>
      <c r="AZ46" s="200"/>
      <c r="BA46" s="200"/>
      <c r="BB46" s="200"/>
      <c r="BC46" s="200"/>
      <c r="BD46" s="200"/>
      <c r="BE46" s="201" t="str">
        <f aca="false">IF(Eingabe!I50="","",Eingabe!I50)</f>
        <v/>
      </c>
      <c r="BF46" s="201"/>
      <c r="BG46" s="201"/>
      <c r="BH46" s="201"/>
      <c r="BI46" s="201"/>
      <c r="BJ46" s="202" t="str">
        <f aca="false">IF(Eingabe!I50="","",Eingabe!I50*Eingabe!B50)</f>
        <v/>
      </c>
      <c r="BK46" s="202"/>
      <c r="BL46" s="202"/>
      <c r="BM46" s="202"/>
      <c r="BN46" s="202"/>
      <c r="BO46" s="198"/>
      <c r="BP46" s="198"/>
      <c r="BQ46" s="198"/>
      <c r="BR46" s="198"/>
      <c r="BS46" s="198"/>
      <c r="BT46" s="198"/>
      <c r="BU46" s="198"/>
      <c r="BV46" s="198"/>
      <c r="BW46" s="198"/>
      <c r="BX46" s="198"/>
      <c r="BY46" s="198"/>
      <c r="BZ46" s="198"/>
      <c r="CA46" s="198"/>
      <c r="CB46" s="198"/>
      <c r="CC46" s="198"/>
      <c r="CD46" s="198"/>
      <c r="CE46" s="198"/>
      <c r="CF46" s="198"/>
      <c r="CG46" s="198"/>
      <c r="CH46" s="198"/>
      <c r="CI46" s="198"/>
      <c r="CJ46" s="198"/>
      <c r="CK46" s="198"/>
      <c r="CL46" s="198"/>
      <c r="CM46" s="198"/>
      <c r="CN46" s="198"/>
      <c r="CO46" s="198"/>
      <c r="CP46" s="198"/>
      <c r="CQ46" s="198"/>
      <c r="CR46" s="198"/>
      <c r="CS46" s="198"/>
      <c r="CT46" s="198"/>
      <c r="CU46" s="198"/>
      <c r="CV46" s="198"/>
      <c r="CW46" s="198"/>
      <c r="CX46" s="198"/>
      <c r="CY46" s="198"/>
      <c r="CZ46" s="198"/>
      <c r="DA46" s="198"/>
      <c r="DB46" s="198"/>
      <c r="DC46" s="198"/>
      <c r="DD46" s="198"/>
      <c r="DE46" s="198"/>
      <c r="DF46" s="198"/>
      <c r="DG46" s="198"/>
      <c r="DH46" s="198"/>
      <c r="DI46" s="198"/>
      <c r="DJ46" s="198"/>
      <c r="DK46" s="198"/>
      <c r="DL46" s="198"/>
      <c r="DM46" s="198"/>
      <c r="DN46" s="198"/>
      <c r="DO46" s="198"/>
      <c r="DP46" s="198"/>
      <c r="DQ46" s="198"/>
      <c r="DR46" s="198"/>
      <c r="DS46" s="198"/>
      <c r="DT46" s="198"/>
      <c r="DU46" s="198"/>
      <c r="DV46" s="198"/>
      <c r="DW46" s="198"/>
      <c r="DX46" s="198"/>
      <c r="DY46" s="198"/>
      <c r="DZ46" s="198"/>
      <c r="EA46" s="198"/>
      <c r="EB46" s="198"/>
      <c r="EC46" s="198"/>
      <c r="ED46" s="198"/>
      <c r="EE46" s="198"/>
      <c r="EF46" s="198"/>
      <c r="EG46" s="198"/>
      <c r="EH46" s="198"/>
      <c r="EI46" s="198"/>
      <c r="EJ46" s="198"/>
      <c r="EK46" s="198"/>
      <c r="EL46" s="198"/>
      <c r="EM46" s="198"/>
      <c r="EN46" s="198"/>
      <c r="EO46" s="198"/>
      <c r="EP46" s="198"/>
      <c r="EQ46" s="198"/>
      <c r="ER46" s="198"/>
      <c r="ES46" s="198"/>
      <c r="ET46" s="198"/>
      <c r="EU46" s="198"/>
      <c r="EV46" s="198"/>
      <c r="EW46" s="198"/>
      <c r="EX46" s="198"/>
      <c r="EY46" s="198"/>
      <c r="EZ46" s="198"/>
      <c r="FA46" s="198"/>
      <c r="FB46" s="198"/>
      <c r="FC46" s="198"/>
      <c r="FD46" s="198"/>
      <c r="FE46" s="198"/>
      <c r="FF46" s="198"/>
      <c r="FG46" s="198"/>
      <c r="FH46" s="198"/>
      <c r="FI46" s="198"/>
      <c r="FJ46" s="198"/>
      <c r="FK46" s="198"/>
      <c r="FL46" s="198"/>
      <c r="FM46" s="198"/>
      <c r="FN46" s="198"/>
      <c r="FO46" s="198"/>
      <c r="FP46" s="198"/>
      <c r="FQ46" s="198"/>
      <c r="FR46" s="198"/>
      <c r="FS46" s="198"/>
      <c r="FT46" s="198"/>
      <c r="FU46" s="198"/>
      <c r="FV46" s="198"/>
      <c r="FW46" s="198"/>
      <c r="FX46" s="198"/>
      <c r="FY46" s="198"/>
      <c r="FZ46" s="198"/>
      <c r="GA46" s="198"/>
      <c r="GB46" s="198"/>
      <c r="GC46" s="198"/>
      <c r="GD46" s="198"/>
      <c r="GE46" s="198"/>
      <c r="GF46" s="198"/>
      <c r="GG46" s="198"/>
      <c r="GH46" s="198"/>
      <c r="GI46" s="198"/>
      <c r="GJ46" s="198"/>
      <c r="GK46" s="198"/>
      <c r="GL46" s="198"/>
      <c r="GM46" s="198"/>
      <c r="GN46" s="198"/>
      <c r="GO46" s="198"/>
      <c r="GP46" s="198"/>
      <c r="GQ46" s="198"/>
      <c r="GR46" s="198"/>
      <c r="GS46" s="198"/>
      <c r="GT46" s="198"/>
      <c r="GU46" s="198"/>
      <c r="GV46" s="198"/>
      <c r="GW46" s="198"/>
      <c r="GX46" s="198"/>
      <c r="GY46" s="198"/>
      <c r="GZ46" s="198"/>
      <c r="HA46" s="198"/>
      <c r="HB46" s="198"/>
      <c r="HC46" s="198"/>
      <c r="HD46" s="198"/>
      <c r="HE46" s="198"/>
      <c r="HF46" s="198"/>
      <c r="HG46" s="198"/>
      <c r="HH46" s="198"/>
      <c r="HI46" s="198"/>
      <c r="HJ46" s="198"/>
      <c r="HK46" s="198"/>
      <c r="HL46" s="198"/>
      <c r="HM46" s="198"/>
      <c r="HN46" s="198"/>
      <c r="HO46" s="198"/>
      <c r="HP46" s="198"/>
      <c r="HQ46" s="198"/>
      <c r="HR46" s="198"/>
      <c r="HS46" s="198"/>
      <c r="HT46" s="198"/>
      <c r="HU46" s="198"/>
      <c r="HV46" s="198"/>
      <c r="HW46" s="198"/>
      <c r="HX46" s="198"/>
      <c r="HY46" s="198"/>
      <c r="HZ46" s="198"/>
      <c r="IA46" s="198"/>
      <c r="IB46" s="198"/>
      <c r="IC46" s="198"/>
      <c r="ID46" s="198"/>
      <c r="IE46" s="198"/>
      <c r="IF46" s="198"/>
      <c r="IG46" s="198"/>
      <c r="IH46" s="198"/>
      <c r="II46" s="198"/>
      <c r="IJ46" s="198"/>
      <c r="IK46" s="198"/>
      <c r="IL46" s="198"/>
      <c r="IM46" s="198"/>
      <c r="IN46" s="198"/>
      <c r="IO46" s="198"/>
      <c r="IP46" s="198"/>
      <c r="IQ46" s="198"/>
      <c r="IR46" s="198"/>
      <c r="IS46" s="198"/>
      <c r="IT46" s="198"/>
      <c r="IU46" s="198"/>
      <c r="IV46" s="198"/>
    </row>
    <row r="47" s="199" customFormat="true" ht="12.75" hidden="false" customHeight="true" outlineLevel="0" collapsed="false">
      <c r="A47" s="157" t="str">
        <f aca="false">IF(Eingabe!A51="","",Eingabe!A51)</f>
        <v/>
      </c>
      <c r="B47" s="157"/>
      <c r="C47" s="157"/>
      <c r="D47" s="158" t="str">
        <f aca="false">IF(Eingabe!B51="","",Eingabe!B51)</f>
        <v/>
      </c>
      <c r="E47" s="158"/>
      <c r="F47" s="158"/>
      <c r="G47" s="158"/>
      <c r="H47" s="159" t="str">
        <f aca="false">IF(Eingabe!C51="","",Eingabe!C51)</f>
        <v/>
      </c>
      <c r="I47" s="159"/>
      <c r="J47" s="159"/>
      <c r="K47" s="159"/>
      <c r="L47" s="160" t="str">
        <f aca="false">IF(Eingabe!D51="","",Eingabe!D51)</f>
        <v/>
      </c>
      <c r="M47" s="160"/>
      <c r="N47" s="160"/>
      <c r="O47" s="160"/>
      <c r="P47" s="160"/>
      <c r="Q47" s="160"/>
      <c r="R47" s="160"/>
      <c r="S47" s="160"/>
      <c r="T47" s="160"/>
      <c r="U47" s="160"/>
      <c r="V47" s="160"/>
      <c r="W47" s="160"/>
      <c r="X47" s="160"/>
      <c r="Y47" s="160"/>
      <c r="Z47" s="160"/>
      <c r="AA47" s="160"/>
      <c r="AB47" s="160"/>
      <c r="AC47" s="160"/>
      <c r="AD47" s="160"/>
      <c r="AE47" s="160"/>
      <c r="AF47" s="160"/>
      <c r="AG47" s="160"/>
      <c r="AH47" s="200" t="str">
        <f aca="false">IF(Eingabe!F51&amp;Eingabe!G51="","",Eingabe!F51&amp;"  /  "&amp;Eingabe!G51)</f>
        <v/>
      </c>
      <c r="AI47" s="200"/>
      <c r="AJ47" s="200"/>
      <c r="AK47" s="200"/>
      <c r="AL47" s="200"/>
      <c r="AM47" s="200"/>
      <c r="AN47" s="200"/>
      <c r="AO47" s="200"/>
      <c r="AP47" s="200"/>
      <c r="AQ47" s="200"/>
      <c r="AR47" s="200"/>
      <c r="AS47" s="200"/>
      <c r="AT47" s="200"/>
      <c r="AU47" s="200"/>
      <c r="AV47" s="200"/>
      <c r="AW47" s="200"/>
      <c r="AX47" s="200"/>
      <c r="AY47" s="200"/>
      <c r="AZ47" s="200"/>
      <c r="BA47" s="200"/>
      <c r="BB47" s="200"/>
      <c r="BC47" s="200"/>
      <c r="BD47" s="200"/>
      <c r="BE47" s="201" t="str">
        <f aca="false">IF(Eingabe!I51="","",Eingabe!I51)</f>
        <v/>
      </c>
      <c r="BF47" s="201"/>
      <c r="BG47" s="201"/>
      <c r="BH47" s="201"/>
      <c r="BI47" s="201"/>
      <c r="BJ47" s="202" t="str">
        <f aca="false">IF(Eingabe!I51="","",Eingabe!I51*Eingabe!B51)</f>
        <v/>
      </c>
      <c r="BK47" s="202"/>
      <c r="BL47" s="202"/>
      <c r="BM47" s="202"/>
      <c r="BN47" s="202"/>
      <c r="BO47" s="198"/>
      <c r="BP47" s="198"/>
      <c r="BQ47" s="198"/>
      <c r="BR47" s="198"/>
      <c r="BS47" s="198"/>
      <c r="BT47" s="198"/>
      <c r="BU47" s="198"/>
      <c r="BV47" s="198"/>
      <c r="BW47" s="198"/>
      <c r="BX47" s="198"/>
      <c r="BY47" s="198"/>
      <c r="BZ47" s="198"/>
      <c r="CA47" s="198"/>
      <c r="CB47" s="198"/>
      <c r="CC47" s="198"/>
      <c r="CD47" s="198"/>
      <c r="CE47" s="198"/>
      <c r="CF47" s="198"/>
      <c r="CG47" s="198"/>
      <c r="CH47" s="198"/>
      <c r="CI47" s="198"/>
      <c r="CJ47" s="198"/>
      <c r="CK47" s="198"/>
      <c r="CL47" s="198"/>
      <c r="CM47" s="198"/>
      <c r="CN47" s="198"/>
      <c r="CO47" s="198"/>
      <c r="CP47" s="198"/>
      <c r="CQ47" s="198"/>
      <c r="CR47" s="198"/>
      <c r="CS47" s="198"/>
      <c r="CT47" s="198"/>
      <c r="CU47" s="198"/>
      <c r="CV47" s="198"/>
      <c r="CW47" s="198"/>
      <c r="CX47" s="198"/>
      <c r="CY47" s="198"/>
      <c r="CZ47" s="198"/>
      <c r="DA47" s="198"/>
      <c r="DB47" s="198"/>
      <c r="DC47" s="198"/>
      <c r="DD47" s="198"/>
      <c r="DE47" s="198"/>
      <c r="DF47" s="198"/>
      <c r="DG47" s="198"/>
      <c r="DH47" s="198"/>
      <c r="DI47" s="198"/>
      <c r="DJ47" s="198"/>
      <c r="DK47" s="198"/>
      <c r="DL47" s="198"/>
      <c r="DM47" s="198"/>
      <c r="DN47" s="198"/>
      <c r="DO47" s="198"/>
      <c r="DP47" s="198"/>
      <c r="DQ47" s="198"/>
      <c r="DR47" s="198"/>
      <c r="DS47" s="198"/>
      <c r="DT47" s="198"/>
      <c r="DU47" s="198"/>
      <c r="DV47" s="198"/>
      <c r="DW47" s="198"/>
      <c r="DX47" s="198"/>
      <c r="DY47" s="198"/>
      <c r="DZ47" s="198"/>
      <c r="EA47" s="198"/>
      <c r="EB47" s="198"/>
      <c r="EC47" s="198"/>
      <c r="ED47" s="198"/>
      <c r="EE47" s="198"/>
      <c r="EF47" s="198"/>
      <c r="EG47" s="198"/>
      <c r="EH47" s="198"/>
      <c r="EI47" s="198"/>
      <c r="EJ47" s="198"/>
      <c r="EK47" s="198"/>
      <c r="EL47" s="198"/>
      <c r="EM47" s="198"/>
      <c r="EN47" s="198"/>
      <c r="EO47" s="198"/>
      <c r="EP47" s="198"/>
      <c r="EQ47" s="198"/>
      <c r="ER47" s="198"/>
      <c r="ES47" s="198"/>
      <c r="ET47" s="198"/>
      <c r="EU47" s="198"/>
      <c r="EV47" s="198"/>
      <c r="EW47" s="198"/>
      <c r="EX47" s="198"/>
      <c r="EY47" s="198"/>
      <c r="EZ47" s="198"/>
      <c r="FA47" s="198"/>
      <c r="FB47" s="198"/>
      <c r="FC47" s="198"/>
      <c r="FD47" s="198"/>
      <c r="FE47" s="198"/>
      <c r="FF47" s="198"/>
      <c r="FG47" s="198"/>
      <c r="FH47" s="198"/>
      <c r="FI47" s="198"/>
      <c r="FJ47" s="198"/>
      <c r="FK47" s="198"/>
      <c r="FL47" s="198"/>
      <c r="FM47" s="198"/>
      <c r="FN47" s="198"/>
      <c r="FO47" s="198"/>
      <c r="FP47" s="198"/>
      <c r="FQ47" s="198"/>
      <c r="FR47" s="198"/>
      <c r="FS47" s="198"/>
      <c r="FT47" s="198"/>
      <c r="FU47" s="198"/>
      <c r="FV47" s="198"/>
      <c r="FW47" s="198"/>
      <c r="FX47" s="198"/>
      <c r="FY47" s="198"/>
      <c r="FZ47" s="198"/>
      <c r="GA47" s="198"/>
      <c r="GB47" s="198"/>
      <c r="GC47" s="198"/>
      <c r="GD47" s="198"/>
      <c r="GE47" s="198"/>
      <c r="GF47" s="198"/>
      <c r="GG47" s="198"/>
      <c r="GH47" s="198"/>
      <c r="GI47" s="198"/>
      <c r="GJ47" s="198"/>
      <c r="GK47" s="198"/>
      <c r="GL47" s="198"/>
      <c r="GM47" s="198"/>
      <c r="GN47" s="198"/>
      <c r="GO47" s="198"/>
      <c r="GP47" s="198"/>
      <c r="GQ47" s="198"/>
      <c r="GR47" s="198"/>
      <c r="GS47" s="198"/>
      <c r="GT47" s="198"/>
      <c r="GU47" s="198"/>
      <c r="GV47" s="198"/>
      <c r="GW47" s="198"/>
      <c r="GX47" s="198"/>
      <c r="GY47" s="198"/>
      <c r="GZ47" s="198"/>
      <c r="HA47" s="198"/>
      <c r="HB47" s="198"/>
      <c r="HC47" s="198"/>
      <c r="HD47" s="198"/>
      <c r="HE47" s="198"/>
      <c r="HF47" s="198"/>
      <c r="HG47" s="198"/>
      <c r="HH47" s="198"/>
      <c r="HI47" s="198"/>
      <c r="HJ47" s="198"/>
      <c r="HK47" s="198"/>
      <c r="HL47" s="198"/>
      <c r="HM47" s="198"/>
      <c r="HN47" s="198"/>
      <c r="HO47" s="198"/>
      <c r="HP47" s="198"/>
      <c r="HQ47" s="198"/>
      <c r="HR47" s="198"/>
      <c r="HS47" s="198"/>
      <c r="HT47" s="198"/>
      <c r="HU47" s="198"/>
      <c r="HV47" s="198"/>
      <c r="HW47" s="198"/>
      <c r="HX47" s="198"/>
      <c r="HY47" s="198"/>
      <c r="HZ47" s="198"/>
      <c r="IA47" s="198"/>
      <c r="IB47" s="198"/>
      <c r="IC47" s="198"/>
      <c r="ID47" s="198"/>
      <c r="IE47" s="198"/>
      <c r="IF47" s="198"/>
      <c r="IG47" s="198"/>
      <c r="IH47" s="198"/>
      <c r="II47" s="198"/>
      <c r="IJ47" s="198"/>
      <c r="IK47" s="198"/>
      <c r="IL47" s="198"/>
      <c r="IM47" s="198"/>
      <c r="IN47" s="198"/>
      <c r="IO47" s="198"/>
      <c r="IP47" s="198"/>
      <c r="IQ47" s="198"/>
      <c r="IR47" s="198"/>
      <c r="IS47" s="198"/>
      <c r="IT47" s="198"/>
      <c r="IU47" s="198"/>
      <c r="IV47" s="198"/>
    </row>
    <row r="48" s="199" customFormat="true" ht="12.75" hidden="false" customHeight="true" outlineLevel="0" collapsed="false">
      <c r="A48" s="203" t="str">
        <f aca="false">IF(Eingabe!A52="","",Eingabe!A52)</f>
        <v/>
      </c>
      <c r="B48" s="203"/>
      <c r="C48" s="203"/>
      <c r="D48" s="163" t="str">
        <f aca="false">IF(Eingabe!B52="","",Eingabe!B52)</f>
        <v/>
      </c>
      <c r="E48" s="163"/>
      <c r="F48" s="163"/>
      <c r="G48" s="163"/>
      <c r="H48" s="164" t="str">
        <f aca="false">IF(Eingabe!C52="","",Eingabe!C52)</f>
        <v/>
      </c>
      <c r="I48" s="164"/>
      <c r="J48" s="164"/>
      <c r="K48" s="164"/>
      <c r="L48" s="204" t="str">
        <f aca="false">IF(Eingabe!D52="","",Eingabe!D52)</f>
        <v/>
      </c>
      <c r="M48" s="204"/>
      <c r="N48" s="204"/>
      <c r="O48" s="204"/>
      <c r="P48" s="204"/>
      <c r="Q48" s="204"/>
      <c r="R48" s="204"/>
      <c r="S48" s="204"/>
      <c r="T48" s="204"/>
      <c r="U48" s="204"/>
      <c r="V48" s="204"/>
      <c r="W48" s="204"/>
      <c r="X48" s="204"/>
      <c r="Y48" s="204"/>
      <c r="Z48" s="204"/>
      <c r="AA48" s="204"/>
      <c r="AB48" s="204"/>
      <c r="AC48" s="204"/>
      <c r="AD48" s="204"/>
      <c r="AE48" s="204"/>
      <c r="AF48" s="204"/>
      <c r="AG48" s="204"/>
      <c r="AH48" s="200" t="str">
        <f aca="false">IF(Eingabe!F52&amp;Eingabe!G52="","",Eingabe!F52&amp;"  /  "&amp;Eingabe!G52)</f>
        <v/>
      </c>
      <c r="AI48" s="200"/>
      <c r="AJ48" s="200"/>
      <c r="AK48" s="200"/>
      <c r="AL48" s="200"/>
      <c r="AM48" s="200"/>
      <c r="AN48" s="200"/>
      <c r="AO48" s="200"/>
      <c r="AP48" s="200"/>
      <c r="AQ48" s="200"/>
      <c r="AR48" s="200"/>
      <c r="AS48" s="200"/>
      <c r="AT48" s="200"/>
      <c r="AU48" s="200"/>
      <c r="AV48" s="200"/>
      <c r="AW48" s="200"/>
      <c r="AX48" s="200"/>
      <c r="AY48" s="200"/>
      <c r="AZ48" s="200"/>
      <c r="BA48" s="200"/>
      <c r="BB48" s="200"/>
      <c r="BC48" s="200"/>
      <c r="BD48" s="200"/>
      <c r="BE48" s="205" t="str">
        <f aca="false">IF(Eingabe!I52="","",Eingabe!I52)</f>
        <v/>
      </c>
      <c r="BF48" s="205"/>
      <c r="BG48" s="205"/>
      <c r="BH48" s="205"/>
      <c r="BI48" s="205"/>
      <c r="BJ48" s="206" t="str">
        <f aca="false">IF(Eingabe!I52="","",Eingabe!I52*Eingabe!B52)</f>
        <v/>
      </c>
      <c r="BK48" s="206"/>
      <c r="BL48" s="206"/>
      <c r="BM48" s="206"/>
      <c r="BN48" s="206"/>
      <c r="BO48" s="198"/>
      <c r="BP48" s="198"/>
      <c r="BQ48" s="198"/>
      <c r="BR48" s="198"/>
      <c r="BS48" s="198"/>
      <c r="BT48" s="198"/>
      <c r="BU48" s="198"/>
      <c r="BV48" s="198"/>
      <c r="BW48" s="198"/>
      <c r="BX48" s="198"/>
      <c r="BY48" s="198"/>
      <c r="BZ48" s="198"/>
      <c r="CA48" s="198"/>
      <c r="CB48" s="198"/>
      <c r="CC48" s="198"/>
      <c r="CD48" s="198"/>
      <c r="CE48" s="198"/>
      <c r="CF48" s="198"/>
      <c r="CG48" s="198"/>
      <c r="CH48" s="198"/>
      <c r="CI48" s="198"/>
      <c r="CJ48" s="198"/>
      <c r="CK48" s="198"/>
      <c r="CL48" s="198"/>
      <c r="CM48" s="198"/>
      <c r="CN48" s="198"/>
      <c r="CO48" s="198"/>
      <c r="CP48" s="198"/>
      <c r="CQ48" s="198"/>
      <c r="CR48" s="198"/>
      <c r="CS48" s="198"/>
      <c r="CT48" s="198"/>
      <c r="CU48" s="198"/>
      <c r="CV48" s="198"/>
      <c r="CW48" s="198"/>
      <c r="CX48" s="198"/>
      <c r="CY48" s="198"/>
      <c r="CZ48" s="198"/>
      <c r="DA48" s="198"/>
      <c r="DB48" s="198"/>
      <c r="DC48" s="198"/>
      <c r="DD48" s="198"/>
      <c r="DE48" s="198"/>
      <c r="DF48" s="198"/>
      <c r="DG48" s="198"/>
      <c r="DH48" s="198"/>
      <c r="DI48" s="198"/>
      <c r="DJ48" s="198"/>
      <c r="DK48" s="198"/>
      <c r="DL48" s="198"/>
      <c r="DM48" s="198"/>
      <c r="DN48" s="198"/>
      <c r="DO48" s="198"/>
      <c r="DP48" s="198"/>
      <c r="DQ48" s="198"/>
      <c r="DR48" s="198"/>
      <c r="DS48" s="198"/>
      <c r="DT48" s="198"/>
      <c r="DU48" s="198"/>
      <c r="DV48" s="198"/>
      <c r="DW48" s="198"/>
      <c r="DX48" s="198"/>
      <c r="DY48" s="198"/>
      <c r="DZ48" s="198"/>
      <c r="EA48" s="198"/>
      <c r="EB48" s="198"/>
      <c r="EC48" s="198"/>
      <c r="ED48" s="198"/>
      <c r="EE48" s="198"/>
      <c r="EF48" s="198"/>
      <c r="EG48" s="198"/>
      <c r="EH48" s="198"/>
      <c r="EI48" s="198"/>
      <c r="EJ48" s="198"/>
      <c r="EK48" s="198"/>
      <c r="EL48" s="198"/>
      <c r="EM48" s="198"/>
      <c r="EN48" s="198"/>
      <c r="EO48" s="198"/>
      <c r="EP48" s="198"/>
      <c r="EQ48" s="198"/>
      <c r="ER48" s="198"/>
      <c r="ES48" s="198"/>
      <c r="ET48" s="198"/>
      <c r="EU48" s="198"/>
      <c r="EV48" s="198"/>
      <c r="EW48" s="198"/>
      <c r="EX48" s="198"/>
      <c r="EY48" s="198"/>
      <c r="EZ48" s="198"/>
      <c r="FA48" s="198"/>
      <c r="FB48" s="198"/>
      <c r="FC48" s="198"/>
      <c r="FD48" s="198"/>
      <c r="FE48" s="198"/>
      <c r="FF48" s="198"/>
      <c r="FG48" s="198"/>
      <c r="FH48" s="198"/>
      <c r="FI48" s="198"/>
      <c r="FJ48" s="198"/>
      <c r="FK48" s="198"/>
      <c r="FL48" s="198"/>
      <c r="FM48" s="198"/>
      <c r="FN48" s="198"/>
      <c r="FO48" s="198"/>
      <c r="FP48" s="198"/>
      <c r="FQ48" s="198"/>
      <c r="FR48" s="198"/>
      <c r="FS48" s="198"/>
      <c r="FT48" s="198"/>
      <c r="FU48" s="198"/>
      <c r="FV48" s="198"/>
      <c r="FW48" s="198"/>
      <c r="FX48" s="198"/>
      <c r="FY48" s="198"/>
      <c r="FZ48" s="198"/>
      <c r="GA48" s="198"/>
      <c r="GB48" s="198"/>
      <c r="GC48" s="198"/>
      <c r="GD48" s="198"/>
      <c r="GE48" s="198"/>
      <c r="GF48" s="198"/>
      <c r="GG48" s="198"/>
      <c r="GH48" s="198"/>
      <c r="GI48" s="198"/>
      <c r="GJ48" s="198"/>
      <c r="GK48" s="198"/>
      <c r="GL48" s="198"/>
      <c r="GM48" s="198"/>
      <c r="GN48" s="198"/>
      <c r="GO48" s="198"/>
      <c r="GP48" s="198"/>
      <c r="GQ48" s="198"/>
      <c r="GR48" s="198"/>
      <c r="GS48" s="198"/>
      <c r="GT48" s="198"/>
      <c r="GU48" s="198"/>
      <c r="GV48" s="198"/>
      <c r="GW48" s="198"/>
      <c r="GX48" s="198"/>
      <c r="GY48" s="198"/>
      <c r="GZ48" s="198"/>
      <c r="HA48" s="198"/>
      <c r="HB48" s="198"/>
      <c r="HC48" s="198"/>
      <c r="HD48" s="198"/>
      <c r="HE48" s="198"/>
      <c r="HF48" s="198"/>
      <c r="HG48" s="198"/>
      <c r="HH48" s="198"/>
      <c r="HI48" s="198"/>
      <c r="HJ48" s="198"/>
      <c r="HK48" s="198"/>
      <c r="HL48" s="198"/>
      <c r="HM48" s="198"/>
      <c r="HN48" s="198"/>
      <c r="HO48" s="198"/>
      <c r="HP48" s="198"/>
      <c r="HQ48" s="198"/>
      <c r="HR48" s="198"/>
      <c r="HS48" s="198"/>
      <c r="HT48" s="198"/>
      <c r="HU48" s="198"/>
      <c r="HV48" s="198"/>
      <c r="HW48" s="198"/>
      <c r="HX48" s="198"/>
      <c r="HY48" s="198"/>
      <c r="HZ48" s="198"/>
      <c r="IA48" s="198"/>
      <c r="IB48" s="198"/>
      <c r="IC48" s="198"/>
      <c r="ID48" s="198"/>
      <c r="IE48" s="198"/>
      <c r="IF48" s="198"/>
      <c r="IG48" s="198"/>
      <c r="IH48" s="198"/>
      <c r="II48" s="198"/>
      <c r="IJ48" s="198"/>
      <c r="IK48" s="198"/>
      <c r="IL48" s="198"/>
      <c r="IM48" s="198"/>
      <c r="IN48" s="198"/>
      <c r="IO48" s="198"/>
      <c r="IP48" s="198"/>
      <c r="IQ48" s="198"/>
      <c r="IR48" s="198"/>
      <c r="IS48" s="198"/>
      <c r="IT48" s="198"/>
      <c r="IU48" s="198"/>
      <c r="IV48" s="198"/>
    </row>
    <row r="49" s="199" customFormat="true" ht="19.5" hidden="false" customHeight="true" outlineLevel="0" collapsed="false">
      <c r="A49" s="207"/>
      <c r="B49" s="207"/>
      <c r="C49" s="207"/>
      <c r="D49" s="207"/>
      <c r="E49" s="207"/>
      <c r="F49" s="207"/>
      <c r="G49" s="207"/>
      <c r="H49" s="207"/>
      <c r="I49" s="207"/>
      <c r="J49" s="207"/>
      <c r="K49" s="207"/>
      <c r="L49" s="207"/>
      <c r="M49" s="207"/>
      <c r="N49" s="207"/>
      <c r="O49" s="207"/>
      <c r="P49" s="207"/>
      <c r="Q49" s="207"/>
      <c r="R49" s="207"/>
      <c r="S49" s="207"/>
      <c r="T49" s="207"/>
      <c r="U49" s="207"/>
      <c r="V49" s="207"/>
      <c r="W49" s="207"/>
      <c r="X49" s="207"/>
      <c r="Y49" s="207"/>
      <c r="Z49" s="207"/>
      <c r="AA49" s="207"/>
      <c r="AB49" s="207"/>
      <c r="AC49" s="207"/>
      <c r="AD49" s="207"/>
      <c r="AE49" s="207"/>
      <c r="AF49" s="207"/>
      <c r="AG49" s="207"/>
      <c r="AH49" s="208" t="s">
        <v>107</v>
      </c>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9"/>
      <c r="BF49" s="209"/>
      <c r="BG49" s="209"/>
      <c r="BH49" s="209"/>
      <c r="BI49" s="209"/>
      <c r="BJ49" s="209"/>
      <c r="BK49" s="209"/>
      <c r="BL49" s="209"/>
      <c r="BM49" s="209"/>
      <c r="BN49" s="209"/>
      <c r="BO49" s="198"/>
      <c r="BP49" s="198"/>
      <c r="BQ49" s="198"/>
      <c r="BR49" s="198"/>
      <c r="BS49" s="198"/>
      <c r="BT49" s="198"/>
      <c r="BU49" s="198"/>
      <c r="BV49" s="198"/>
      <c r="BW49" s="198"/>
      <c r="BX49" s="198"/>
      <c r="BY49" s="198"/>
      <c r="BZ49" s="198"/>
      <c r="CA49" s="198"/>
      <c r="CB49" s="198"/>
      <c r="CC49" s="198"/>
      <c r="CD49" s="198"/>
      <c r="CE49" s="198"/>
      <c r="CF49" s="198"/>
      <c r="CG49" s="198"/>
      <c r="CH49" s="198"/>
      <c r="CI49" s="198"/>
      <c r="CJ49" s="198"/>
      <c r="CK49" s="198"/>
      <c r="CL49" s="198"/>
      <c r="CM49" s="198"/>
      <c r="CN49" s="198"/>
      <c r="CO49" s="198"/>
      <c r="CP49" s="198"/>
      <c r="CQ49" s="198"/>
      <c r="CR49" s="198"/>
      <c r="CS49" s="198"/>
      <c r="CT49" s="198"/>
      <c r="CU49" s="198"/>
      <c r="CV49" s="198"/>
      <c r="CW49" s="198"/>
      <c r="CX49" s="198"/>
      <c r="CY49" s="198"/>
      <c r="CZ49" s="198"/>
      <c r="DA49" s="198"/>
      <c r="DB49" s="198"/>
      <c r="DC49" s="198"/>
      <c r="DD49" s="198"/>
      <c r="DE49" s="198"/>
      <c r="DF49" s="198"/>
      <c r="DG49" s="198"/>
      <c r="DH49" s="198"/>
      <c r="DI49" s="198"/>
      <c r="DJ49" s="198"/>
      <c r="DK49" s="198"/>
      <c r="DL49" s="198"/>
      <c r="DM49" s="198"/>
      <c r="DN49" s="198"/>
      <c r="DO49" s="198"/>
      <c r="DP49" s="198"/>
      <c r="DQ49" s="198"/>
      <c r="DR49" s="198"/>
      <c r="DS49" s="198"/>
      <c r="DT49" s="198"/>
      <c r="DU49" s="198"/>
      <c r="DV49" s="198"/>
      <c r="DW49" s="198"/>
      <c r="DX49" s="198"/>
      <c r="DY49" s="198"/>
      <c r="DZ49" s="198"/>
      <c r="EA49" s="198"/>
      <c r="EB49" s="198"/>
      <c r="EC49" s="198"/>
      <c r="ED49" s="198"/>
      <c r="EE49" s="198"/>
      <c r="EF49" s="198"/>
      <c r="EG49" s="198"/>
      <c r="EH49" s="198"/>
      <c r="EI49" s="198"/>
      <c r="EJ49" s="198"/>
      <c r="EK49" s="198"/>
      <c r="EL49" s="198"/>
      <c r="EM49" s="198"/>
      <c r="EN49" s="198"/>
      <c r="EO49" s="198"/>
      <c r="EP49" s="198"/>
      <c r="EQ49" s="198"/>
      <c r="ER49" s="198"/>
      <c r="ES49" s="198"/>
      <c r="ET49" s="198"/>
      <c r="EU49" s="198"/>
      <c r="EV49" s="198"/>
      <c r="EW49" s="198"/>
      <c r="EX49" s="198"/>
      <c r="EY49" s="198"/>
      <c r="EZ49" s="198"/>
      <c r="FA49" s="198"/>
      <c r="FB49" s="198"/>
      <c r="FC49" s="198"/>
      <c r="FD49" s="198"/>
      <c r="FE49" s="198"/>
      <c r="FF49" s="198"/>
      <c r="FG49" s="198"/>
      <c r="FH49" s="198"/>
      <c r="FI49" s="198"/>
      <c r="FJ49" s="198"/>
      <c r="FK49" s="198"/>
      <c r="FL49" s="198"/>
      <c r="FM49" s="198"/>
      <c r="FN49" s="198"/>
      <c r="FO49" s="198"/>
      <c r="FP49" s="198"/>
      <c r="FQ49" s="198"/>
      <c r="FR49" s="198"/>
      <c r="FS49" s="198"/>
      <c r="FT49" s="198"/>
      <c r="FU49" s="198"/>
      <c r="FV49" s="198"/>
      <c r="FW49" s="198"/>
      <c r="FX49" s="198"/>
      <c r="FY49" s="198"/>
      <c r="FZ49" s="198"/>
      <c r="GA49" s="198"/>
      <c r="GB49" s="198"/>
      <c r="GC49" s="198"/>
      <c r="GD49" s="198"/>
      <c r="GE49" s="198"/>
      <c r="GF49" s="198"/>
      <c r="GG49" s="198"/>
      <c r="GH49" s="198"/>
      <c r="GI49" s="198"/>
      <c r="GJ49" s="198"/>
      <c r="GK49" s="198"/>
      <c r="GL49" s="198"/>
      <c r="GM49" s="198"/>
      <c r="GN49" s="198"/>
      <c r="GO49" s="198"/>
      <c r="GP49" s="198"/>
      <c r="GQ49" s="198"/>
      <c r="GR49" s="198"/>
      <c r="GS49" s="198"/>
      <c r="GT49" s="198"/>
      <c r="GU49" s="198"/>
      <c r="GV49" s="198"/>
      <c r="GW49" s="198"/>
      <c r="GX49" s="198"/>
      <c r="GY49" s="198"/>
      <c r="GZ49" s="198"/>
      <c r="HA49" s="198"/>
      <c r="HB49" s="198"/>
      <c r="HC49" s="198"/>
      <c r="HD49" s="198"/>
      <c r="HE49" s="198"/>
      <c r="HF49" s="198"/>
      <c r="HG49" s="198"/>
      <c r="HH49" s="198"/>
      <c r="HI49" s="198"/>
      <c r="HJ49" s="198"/>
      <c r="HK49" s="198"/>
      <c r="HL49" s="198"/>
      <c r="HM49" s="198"/>
      <c r="HN49" s="198"/>
      <c r="HO49" s="198"/>
      <c r="HP49" s="198"/>
      <c r="HQ49" s="198"/>
      <c r="HR49" s="198"/>
      <c r="HS49" s="198"/>
      <c r="HT49" s="198"/>
      <c r="HU49" s="198"/>
      <c r="HV49" s="198"/>
      <c r="HW49" s="198"/>
      <c r="HX49" s="198"/>
      <c r="HY49" s="198"/>
      <c r="HZ49" s="198"/>
      <c r="IA49" s="198"/>
      <c r="IB49" s="198"/>
      <c r="IC49" s="198"/>
      <c r="ID49" s="198"/>
      <c r="IE49" s="198"/>
      <c r="IF49" s="198"/>
      <c r="IG49" s="198"/>
      <c r="IH49" s="198"/>
      <c r="II49" s="198"/>
      <c r="IJ49" s="198"/>
      <c r="IK49" s="198"/>
      <c r="IL49" s="198"/>
      <c r="IM49" s="198"/>
      <c r="IN49" s="198"/>
      <c r="IO49" s="198"/>
      <c r="IP49" s="198"/>
      <c r="IQ49" s="198"/>
      <c r="IR49" s="198"/>
      <c r="IS49" s="198"/>
      <c r="IT49" s="198"/>
      <c r="IU49" s="198"/>
      <c r="IV49" s="198"/>
    </row>
    <row r="50" s="199" customFormat="true" ht="19.5" hidden="false" customHeight="true" outlineLevel="0" collapsed="false">
      <c r="A50" s="207"/>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c r="AA50" s="207"/>
      <c r="AB50" s="207"/>
      <c r="AC50" s="207"/>
      <c r="AD50" s="207"/>
      <c r="AE50" s="207"/>
      <c r="AF50" s="207"/>
      <c r="AG50" s="207"/>
      <c r="AH50" s="210" t="s">
        <v>108</v>
      </c>
      <c r="AI50" s="210"/>
      <c r="AJ50" s="210"/>
      <c r="AK50" s="210"/>
      <c r="AL50" s="210"/>
      <c r="AM50" s="210"/>
      <c r="AN50" s="210"/>
      <c r="AO50" s="210"/>
      <c r="AP50" s="210"/>
      <c r="AQ50" s="210"/>
      <c r="AR50" s="210"/>
      <c r="AS50" s="210"/>
      <c r="AT50" s="210"/>
      <c r="AU50" s="210"/>
      <c r="AV50" s="210"/>
      <c r="AW50" s="210"/>
      <c r="AX50" s="210"/>
      <c r="AY50" s="210"/>
      <c r="AZ50" s="210"/>
      <c r="BA50" s="210"/>
      <c r="BB50" s="210"/>
      <c r="BC50" s="210"/>
      <c r="BD50" s="210"/>
      <c r="BE50" s="211" t="n">
        <f aca="false">SUM(BJ4:BN48)</f>
        <v>98.7596</v>
      </c>
      <c r="BF50" s="211"/>
      <c r="BG50" s="211"/>
      <c r="BH50" s="211"/>
      <c r="BI50" s="211"/>
      <c r="BJ50" s="211"/>
      <c r="BK50" s="211"/>
      <c r="BL50" s="211"/>
      <c r="BM50" s="211"/>
      <c r="BN50" s="211"/>
      <c r="BO50" s="198"/>
      <c r="BP50" s="198"/>
      <c r="BQ50" s="198"/>
      <c r="BR50" s="198"/>
      <c r="BS50" s="198"/>
      <c r="BT50" s="198"/>
      <c r="BU50" s="198"/>
      <c r="BV50" s="198"/>
      <c r="BW50" s="198"/>
      <c r="BX50" s="198"/>
      <c r="BY50" s="198"/>
      <c r="BZ50" s="198"/>
      <c r="CA50" s="198"/>
      <c r="CB50" s="198"/>
      <c r="CC50" s="198"/>
      <c r="CD50" s="198"/>
      <c r="CE50" s="198"/>
      <c r="CF50" s="198"/>
      <c r="CG50" s="198"/>
      <c r="CH50" s="198"/>
      <c r="CI50" s="198"/>
      <c r="CJ50" s="198"/>
      <c r="CK50" s="198"/>
      <c r="CL50" s="198"/>
      <c r="CM50" s="198"/>
      <c r="CN50" s="198"/>
      <c r="CO50" s="198"/>
      <c r="CP50" s="198"/>
      <c r="CQ50" s="198"/>
      <c r="CR50" s="198"/>
      <c r="CS50" s="198"/>
      <c r="CT50" s="198"/>
      <c r="CU50" s="198"/>
      <c r="CV50" s="198"/>
      <c r="CW50" s="198"/>
      <c r="CX50" s="198"/>
      <c r="CY50" s="198"/>
      <c r="CZ50" s="198"/>
      <c r="DA50" s="198"/>
      <c r="DB50" s="198"/>
      <c r="DC50" s="198"/>
      <c r="DD50" s="198"/>
      <c r="DE50" s="198"/>
      <c r="DF50" s="198"/>
      <c r="DG50" s="198"/>
      <c r="DH50" s="198"/>
      <c r="DI50" s="198"/>
      <c r="DJ50" s="198"/>
      <c r="DK50" s="198"/>
      <c r="DL50" s="198"/>
      <c r="DM50" s="198"/>
      <c r="DN50" s="198"/>
      <c r="DO50" s="198"/>
      <c r="DP50" s="198"/>
      <c r="DQ50" s="198"/>
      <c r="DR50" s="198"/>
      <c r="DS50" s="198"/>
      <c r="DT50" s="198"/>
      <c r="DU50" s="198"/>
      <c r="DV50" s="198"/>
      <c r="DW50" s="198"/>
      <c r="DX50" s="198"/>
      <c r="DY50" s="198"/>
      <c r="DZ50" s="198"/>
      <c r="EA50" s="198"/>
      <c r="EB50" s="198"/>
      <c r="EC50" s="198"/>
      <c r="ED50" s="198"/>
      <c r="EE50" s="198"/>
      <c r="EF50" s="198"/>
      <c r="EG50" s="198"/>
      <c r="EH50" s="198"/>
      <c r="EI50" s="198"/>
      <c r="EJ50" s="198"/>
      <c r="EK50" s="198"/>
      <c r="EL50" s="198"/>
      <c r="EM50" s="198"/>
      <c r="EN50" s="198"/>
      <c r="EO50" s="198"/>
      <c r="EP50" s="198"/>
      <c r="EQ50" s="198"/>
      <c r="ER50" s="198"/>
      <c r="ES50" s="198"/>
      <c r="ET50" s="198"/>
      <c r="EU50" s="198"/>
      <c r="EV50" s="198"/>
      <c r="EW50" s="198"/>
      <c r="EX50" s="198"/>
      <c r="EY50" s="198"/>
      <c r="EZ50" s="198"/>
      <c r="FA50" s="198"/>
      <c r="FB50" s="198"/>
      <c r="FC50" s="198"/>
      <c r="FD50" s="198"/>
      <c r="FE50" s="198"/>
      <c r="FF50" s="198"/>
      <c r="FG50" s="198"/>
      <c r="FH50" s="198"/>
      <c r="FI50" s="198"/>
      <c r="FJ50" s="198"/>
      <c r="FK50" s="198"/>
      <c r="FL50" s="198"/>
      <c r="FM50" s="198"/>
      <c r="FN50" s="198"/>
      <c r="FO50" s="198"/>
      <c r="FP50" s="198"/>
      <c r="FQ50" s="198"/>
      <c r="FR50" s="198"/>
      <c r="FS50" s="198"/>
      <c r="FT50" s="198"/>
      <c r="FU50" s="198"/>
      <c r="FV50" s="198"/>
      <c r="FW50" s="198"/>
      <c r="FX50" s="198"/>
      <c r="FY50" s="198"/>
      <c r="FZ50" s="198"/>
      <c r="GA50" s="198"/>
      <c r="GB50" s="198"/>
      <c r="GC50" s="198"/>
      <c r="GD50" s="198"/>
      <c r="GE50" s="198"/>
      <c r="GF50" s="198"/>
      <c r="GG50" s="198"/>
      <c r="GH50" s="198"/>
      <c r="GI50" s="198"/>
      <c r="GJ50" s="198"/>
      <c r="GK50" s="198"/>
      <c r="GL50" s="198"/>
      <c r="GM50" s="198"/>
      <c r="GN50" s="198"/>
      <c r="GO50" s="198"/>
      <c r="GP50" s="198"/>
      <c r="GQ50" s="198"/>
      <c r="GR50" s="198"/>
      <c r="GS50" s="198"/>
      <c r="GT50" s="198"/>
      <c r="GU50" s="198"/>
      <c r="GV50" s="198"/>
      <c r="GW50" s="198"/>
      <c r="GX50" s="198"/>
      <c r="GY50" s="198"/>
      <c r="GZ50" s="198"/>
      <c r="HA50" s="198"/>
      <c r="HB50" s="198"/>
      <c r="HC50" s="198"/>
      <c r="HD50" s="198"/>
      <c r="HE50" s="198"/>
      <c r="HF50" s="198"/>
      <c r="HG50" s="198"/>
      <c r="HH50" s="198"/>
      <c r="HI50" s="198"/>
      <c r="HJ50" s="198"/>
      <c r="HK50" s="198"/>
      <c r="HL50" s="198"/>
      <c r="HM50" s="198"/>
      <c r="HN50" s="198"/>
      <c r="HO50" s="198"/>
      <c r="HP50" s="198"/>
      <c r="HQ50" s="198"/>
      <c r="HR50" s="198"/>
      <c r="HS50" s="198"/>
      <c r="HT50" s="198"/>
      <c r="HU50" s="198"/>
      <c r="HV50" s="198"/>
      <c r="HW50" s="198"/>
      <c r="HX50" s="198"/>
      <c r="HY50" s="198"/>
      <c r="HZ50" s="198"/>
      <c r="IA50" s="198"/>
      <c r="IB50" s="198"/>
      <c r="IC50" s="198"/>
      <c r="ID50" s="198"/>
      <c r="IE50" s="198"/>
      <c r="IF50" s="198"/>
      <c r="IG50" s="198"/>
      <c r="IH50" s="198"/>
      <c r="II50" s="198"/>
      <c r="IJ50" s="198"/>
      <c r="IK50" s="198"/>
      <c r="IL50" s="198"/>
      <c r="IM50" s="198"/>
      <c r="IN50" s="198"/>
      <c r="IO50" s="198"/>
      <c r="IP50" s="198"/>
      <c r="IQ50" s="198"/>
      <c r="IR50" s="198"/>
      <c r="IS50" s="198"/>
      <c r="IT50" s="198"/>
      <c r="IU50" s="198"/>
      <c r="IV50" s="198"/>
    </row>
    <row r="51" s="199" customFormat="true" ht="19.5" hidden="false" customHeight="true" outlineLevel="0" collapsed="false">
      <c r="A51" s="207"/>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c r="AA51" s="207"/>
      <c r="AB51" s="207"/>
      <c r="AC51" s="207"/>
      <c r="AD51" s="207"/>
      <c r="AE51" s="207"/>
      <c r="AF51" s="207"/>
      <c r="AG51" s="207"/>
      <c r="AH51" s="210" t="s">
        <v>109</v>
      </c>
      <c r="AI51" s="210"/>
      <c r="AJ51" s="210"/>
      <c r="AK51" s="210"/>
      <c r="AL51" s="210"/>
      <c r="AM51" s="210"/>
      <c r="AN51" s="210"/>
      <c r="AO51" s="210"/>
      <c r="AP51" s="210"/>
      <c r="AQ51" s="210"/>
      <c r="AR51" s="210"/>
      <c r="AS51" s="210"/>
      <c r="AT51" s="210"/>
      <c r="AU51" s="210"/>
      <c r="AV51" s="210"/>
      <c r="AW51" s="210"/>
      <c r="AX51" s="210"/>
      <c r="AY51" s="210"/>
      <c r="AZ51" s="210"/>
      <c r="BA51" s="210"/>
      <c r="BB51" s="210"/>
      <c r="BC51" s="210"/>
      <c r="BD51" s="210"/>
      <c r="BE51" s="212" t="n">
        <f aca="false">BE50*0.1</f>
        <v>9.87596</v>
      </c>
      <c r="BF51" s="212"/>
      <c r="BG51" s="212"/>
      <c r="BH51" s="212"/>
      <c r="BI51" s="212"/>
      <c r="BJ51" s="212"/>
      <c r="BK51" s="212"/>
      <c r="BL51" s="212"/>
      <c r="BM51" s="212"/>
      <c r="BN51" s="212"/>
      <c r="BO51" s="198"/>
      <c r="BP51" s="198"/>
      <c r="BQ51" s="198"/>
      <c r="BR51" s="198"/>
      <c r="BS51" s="198"/>
      <c r="BT51" s="198"/>
      <c r="BU51" s="198"/>
      <c r="BV51" s="198"/>
      <c r="BW51" s="198"/>
      <c r="BX51" s="198"/>
      <c r="BY51" s="198"/>
      <c r="BZ51" s="198"/>
      <c r="CA51" s="198"/>
      <c r="CB51" s="198"/>
      <c r="CC51" s="198"/>
      <c r="CD51" s="198"/>
      <c r="CE51" s="198"/>
      <c r="CF51" s="198"/>
      <c r="CG51" s="198"/>
      <c r="CH51" s="198"/>
      <c r="CI51" s="198"/>
      <c r="CJ51" s="198"/>
      <c r="CK51" s="198"/>
      <c r="CL51" s="198"/>
      <c r="CM51" s="198"/>
      <c r="CN51" s="198"/>
      <c r="CO51" s="198"/>
      <c r="CP51" s="198"/>
      <c r="CQ51" s="198"/>
      <c r="CR51" s="198"/>
      <c r="CS51" s="198"/>
      <c r="CT51" s="198"/>
      <c r="CU51" s="198"/>
      <c r="CV51" s="198"/>
      <c r="CW51" s="198"/>
      <c r="CX51" s="198"/>
      <c r="CY51" s="198"/>
      <c r="CZ51" s="198"/>
      <c r="DA51" s="198"/>
      <c r="DB51" s="198"/>
      <c r="DC51" s="198"/>
      <c r="DD51" s="198"/>
      <c r="DE51" s="198"/>
      <c r="DF51" s="198"/>
      <c r="DG51" s="198"/>
      <c r="DH51" s="198"/>
      <c r="DI51" s="198"/>
      <c r="DJ51" s="198"/>
      <c r="DK51" s="198"/>
      <c r="DL51" s="198"/>
      <c r="DM51" s="198"/>
      <c r="DN51" s="198"/>
      <c r="DO51" s="198"/>
      <c r="DP51" s="198"/>
      <c r="DQ51" s="198"/>
      <c r="DR51" s="198"/>
      <c r="DS51" s="198"/>
      <c r="DT51" s="198"/>
      <c r="DU51" s="198"/>
      <c r="DV51" s="198"/>
      <c r="DW51" s="198"/>
      <c r="DX51" s="198"/>
      <c r="DY51" s="198"/>
      <c r="DZ51" s="198"/>
      <c r="EA51" s="198"/>
      <c r="EB51" s="198"/>
      <c r="EC51" s="198"/>
      <c r="ED51" s="198"/>
      <c r="EE51" s="198"/>
      <c r="EF51" s="198"/>
      <c r="EG51" s="198"/>
      <c r="EH51" s="198"/>
      <c r="EI51" s="198"/>
      <c r="EJ51" s="198"/>
      <c r="EK51" s="198"/>
      <c r="EL51" s="198"/>
      <c r="EM51" s="198"/>
      <c r="EN51" s="198"/>
      <c r="EO51" s="198"/>
      <c r="EP51" s="198"/>
      <c r="EQ51" s="198"/>
      <c r="ER51" s="198"/>
      <c r="ES51" s="198"/>
      <c r="ET51" s="198"/>
      <c r="EU51" s="198"/>
      <c r="EV51" s="198"/>
      <c r="EW51" s="198"/>
      <c r="EX51" s="198"/>
      <c r="EY51" s="198"/>
      <c r="EZ51" s="198"/>
      <c r="FA51" s="198"/>
      <c r="FB51" s="198"/>
      <c r="FC51" s="198"/>
      <c r="FD51" s="198"/>
      <c r="FE51" s="198"/>
      <c r="FF51" s="198"/>
      <c r="FG51" s="198"/>
      <c r="FH51" s="198"/>
      <c r="FI51" s="198"/>
      <c r="FJ51" s="198"/>
      <c r="FK51" s="198"/>
      <c r="FL51" s="198"/>
      <c r="FM51" s="198"/>
      <c r="FN51" s="198"/>
      <c r="FO51" s="198"/>
      <c r="FP51" s="198"/>
      <c r="FQ51" s="198"/>
      <c r="FR51" s="198"/>
      <c r="FS51" s="198"/>
      <c r="FT51" s="198"/>
      <c r="FU51" s="198"/>
      <c r="FV51" s="198"/>
      <c r="FW51" s="198"/>
      <c r="FX51" s="198"/>
      <c r="FY51" s="198"/>
      <c r="FZ51" s="198"/>
      <c r="GA51" s="198"/>
      <c r="GB51" s="198"/>
      <c r="GC51" s="198"/>
      <c r="GD51" s="198"/>
      <c r="GE51" s="198"/>
      <c r="GF51" s="198"/>
      <c r="GG51" s="198"/>
      <c r="GH51" s="198"/>
      <c r="GI51" s="198"/>
      <c r="GJ51" s="198"/>
      <c r="GK51" s="198"/>
      <c r="GL51" s="198"/>
      <c r="GM51" s="198"/>
      <c r="GN51" s="198"/>
      <c r="GO51" s="198"/>
      <c r="GP51" s="198"/>
      <c r="GQ51" s="198"/>
      <c r="GR51" s="198"/>
      <c r="GS51" s="198"/>
      <c r="GT51" s="198"/>
      <c r="GU51" s="198"/>
      <c r="GV51" s="198"/>
      <c r="GW51" s="198"/>
      <c r="GX51" s="198"/>
      <c r="GY51" s="198"/>
      <c r="GZ51" s="198"/>
      <c r="HA51" s="198"/>
      <c r="HB51" s="198"/>
      <c r="HC51" s="198"/>
      <c r="HD51" s="198"/>
      <c r="HE51" s="198"/>
      <c r="HF51" s="198"/>
      <c r="HG51" s="198"/>
      <c r="HH51" s="198"/>
      <c r="HI51" s="198"/>
      <c r="HJ51" s="198"/>
      <c r="HK51" s="198"/>
      <c r="HL51" s="198"/>
      <c r="HM51" s="198"/>
      <c r="HN51" s="198"/>
      <c r="HO51" s="198"/>
      <c r="HP51" s="198"/>
      <c r="HQ51" s="198"/>
      <c r="HR51" s="198"/>
      <c r="HS51" s="198"/>
      <c r="HT51" s="198"/>
      <c r="HU51" s="198"/>
      <c r="HV51" s="198"/>
      <c r="HW51" s="198"/>
      <c r="HX51" s="198"/>
      <c r="HY51" s="198"/>
      <c r="HZ51" s="198"/>
      <c r="IA51" s="198"/>
      <c r="IB51" s="198"/>
      <c r="IC51" s="198"/>
      <c r="ID51" s="198"/>
      <c r="IE51" s="198"/>
      <c r="IF51" s="198"/>
      <c r="IG51" s="198"/>
      <c r="IH51" s="198"/>
      <c r="II51" s="198"/>
      <c r="IJ51" s="198"/>
      <c r="IK51" s="198"/>
      <c r="IL51" s="198"/>
      <c r="IM51" s="198"/>
      <c r="IN51" s="198"/>
      <c r="IO51" s="198"/>
      <c r="IP51" s="198"/>
      <c r="IQ51" s="198"/>
      <c r="IR51" s="198"/>
      <c r="IS51" s="198"/>
      <c r="IT51" s="198"/>
      <c r="IU51" s="198"/>
      <c r="IV51" s="198"/>
    </row>
    <row r="52" customFormat="false" ht="19.5" hidden="false" customHeight="true" outlineLevel="0" collapsed="false">
      <c r="A52" s="207"/>
      <c r="B52" s="207"/>
      <c r="C52" s="207"/>
      <c r="D52" s="207"/>
      <c r="E52" s="207"/>
      <c r="F52" s="207"/>
      <c r="G52" s="207"/>
      <c r="H52" s="207"/>
      <c r="I52" s="207"/>
      <c r="J52" s="207"/>
      <c r="K52" s="207"/>
      <c r="L52" s="207"/>
      <c r="M52" s="207"/>
      <c r="N52" s="207"/>
      <c r="O52" s="207"/>
      <c r="P52" s="207"/>
      <c r="Q52" s="207"/>
      <c r="R52" s="207"/>
      <c r="S52" s="207"/>
      <c r="T52" s="207"/>
      <c r="U52" s="207"/>
      <c r="V52" s="207"/>
      <c r="W52" s="207"/>
      <c r="X52" s="207"/>
      <c r="Y52" s="207"/>
      <c r="Z52" s="207"/>
      <c r="AA52" s="207"/>
      <c r="AB52" s="207"/>
      <c r="AC52" s="207"/>
      <c r="AD52" s="207"/>
      <c r="AE52" s="207"/>
      <c r="AF52" s="207"/>
      <c r="AG52" s="207"/>
      <c r="AH52" s="213" t="s">
        <v>110</v>
      </c>
      <c r="AI52" s="213"/>
      <c r="AJ52" s="213"/>
      <c r="AK52" s="213"/>
      <c r="AL52" s="213"/>
      <c r="AM52" s="213"/>
      <c r="AN52" s="213"/>
      <c r="AO52" s="213"/>
      <c r="AP52" s="213"/>
      <c r="AQ52" s="213"/>
      <c r="AR52" s="213"/>
      <c r="AS52" s="213"/>
      <c r="AT52" s="213"/>
      <c r="AU52" s="213"/>
      <c r="AV52" s="213"/>
      <c r="AW52" s="213"/>
      <c r="AX52" s="213"/>
      <c r="AY52" s="213"/>
      <c r="AZ52" s="213"/>
      <c r="BA52" s="213"/>
      <c r="BB52" s="213"/>
      <c r="BC52" s="213"/>
      <c r="BD52" s="213"/>
      <c r="BE52" s="212" t="n">
        <f aca="false">SUM(BE49:BN51)</f>
        <v>108.63556</v>
      </c>
      <c r="BF52" s="212"/>
      <c r="BG52" s="212"/>
      <c r="BH52" s="212"/>
      <c r="BI52" s="212"/>
      <c r="BJ52" s="212"/>
      <c r="BK52" s="212"/>
      <c r="BL52" s="212"/>
      <c r="BM52" s="212"/>
      <c r="BN52" s="212"/>
      <c r="BO52" s="198"/>
      <c r="BP52" s="198"/>
      <c r="BQ52" s="198"/>
      <c r="BR52" s="198"/>
      <c r="BS52" s="198"/>
      <c r="BT52" s="198"/>
      <c r="BU52" s="198"/>
      <c r="BV52" s="198"/>
      <c r="BW52" s="198"/>
      <c r="BX52" s="198"/>
      <c r="BY52" s="198"/>
      <c r="BZ52" s="198"/>
      <c r="CA52" s="198"/>
      <c r="CB52" s="198"/>
      <c r="CC52" s="198"/>
      <c r="CD52" s="198"/>
      <c r="CE52" s="198"/>
      <c r="CF52" s="198"/>
      <c r="CG52" s="198"/>
      <c r="CH52" s="198"/>
      <c r="CI52" s="198"/>
      <c r="CJ52" s="198"/>
      <c r="CK52" s="198"/>
      <c r="CL52" s="198"/>
      <c r="CM52" s="198"/>
      <c r="CN52" s="198"/>
      <c r="CO52" s="198"/>
      <c r="CP52" s="198"/>
      <c r="CQ52" s="198"/>
      <c r="CR52" s="198"/>
      <c r="CS52" s="198"/>
      <c r="CT52" s="198"/>
      <c r="CU52" s="198"/>
      <c r="CV52" s="198"/>
      <c r="CW52" s="198"/>
      <c r="CX52" s="198"/>
      <c r="CY52" s="198"/>
      <c r="CZ52" s="198"/>
      <c r="DA52" s="198"/>
      <c r="DB52" s="198"/>
      <c r="DC52" s="198"/>
      <c r="DD52" s="198"/>
      <c r="DE52" s="198"/>
      <c r="DF52" s="198"/>
      <c r="DG52" s="198"/>
      <c r="DH52" s="198"/>
      <c r="DI52" s="198"/>
      <c r="DJ52" s="198"/>
      <c r="DK52" s="198"/>
      <c r="DL52" s="198"/>
      <c r="DM52" s="198"/>
      <c r="DN52" s="198"/>
      <c r="DO52" s="198"/>
      <c r="DP52" s="198"/>
      <c r="DQ52" s="198"/>
      <c r="DR52" s="198"/>
      <c r="DS52" s="198"/>
      <c r="DT52" s="198"/>
      <c r="DU52" s="198"/>
      <c r="DV52" s="198"/>
      <c r="DW52" s="198"/>
      <c r="DX52" s="198"/>
      <c r="DY52" s="198"/>
      <c r="DZ52" s="198"/>
      <c r="EA52" s="198"/>
      <c r="EB52" s="198"/>
      <c r="EC52" s="198"/>
      <c r="ED52" s="198"/>
      <c r="EE52" s="198"/>
      <c r="EF52" s="198"/>
      <c r="EG52" s="198"/>
      <c r="EH52" s="198"/>
      <c r="EI52" s="198"/>
      <c r="EJ52" s="198"/>
      <c r="EK52" s="198"/>
      <c r="EL52" s="198"/>
      <c r="EM52" s="198"/>
      <c r="EN52" s="198"/>
      <c r="EO52" s="198"/>
      <c r="EP52" s="198"/>
      <c r="EQ52" s="198"/>
      <c r="ER52" s="198"/>
      <c r="ES52" s="198"/>
      <c r="ET52" s="198"/>
      <c r="EU52" s="198"/>
      <c r="EV52" s="198"/>
      <c r="EW52" s="198"/>
      <c r="EX52" s="198"/>
      <c r="EY52" s="198"/>
      <c r="EZ52" s="198"/>
      <c r="FA52" s="198"/>
      <c r="FB52" s="198"/>
      <c r="FC52" s="198"/>
      <c r="FD52" s="198"/>
      <c r="FE52" s="198"/>
      <c r="FF52" s="198"/>
      <c r="FG52" s="198"/>
      <c r="FH52" s="198"/>
      <c r="FI52" s="198"/>
      <c r="FJ52" s="198"/>
      <c r="FK52" s="198"/>
      <c r="FL52" s="198"/>
      <c r="FM52" s="198"/>
      <c r="FN52" s="198"/>
      <c r="FO52" s="198"/>
      <c r="FP52" s="198"/>
      <c r="FQ52" s="198"/>
      <c r="FR52" s="198"/>
      <c r="FS52" s="198"/>
      <c r="FT52" s="198"/>
      <c r="FU52" s="198"/>
      <c r="FV52" s="198"/>
      <c r="FW52" s="198"/>
      <c r="FX52" s="198"/>
      <c r="FY52" s="198"/>
      <c r="FZ52" s="198"/>
      <c r="GA52" s="198"/>
      <c r="GB52" s="198"/>
      <c r="GC52" s="198"/>
      <c r="GD52" s="198"/>
      <c r="GE52" s="198"/>
      <c r="GF52" s="198"/>
      <c r="GG52" s="198"/>
      <c r="GH52" s="198"/>
      <c r="GI52" s="198"/>
      <c r="GJ52" s="198"/>
      <c r="GK52" s="198"/>
      <c r="GL52" s="198"/>
      <c r="GM52" s="198"/>
      <c r="GN52" s="198"/>
      <c r="GO52" s="198"/>
      <c r="GP52" s="198"/>
      <c r="GQ52" s="198"/>
      <c r="GR52" s="198"/>
      <c r="GS52" s="198"/>
      <c r="GT52" s="198"/>
      <c r="GU52" s="198"/>
      <c r="GV52" s="198"/>
      <c r="GW52" s="198"/>
      <c r="GX52" s="198"/>
      <c r="GY52" s="198"/>
      <c r="GZ52" s="198"/>
      <c r="HA52" s="198"/>
      <c r="HB52" s="198"/>
      <c r="HC52" s="198"/>
      <c r="HD52" s="198"/>
      <c r="HE52" s="198"/>
      <c r="HF52" s="198"/>
      <c r="HG52" s="198"/>
      <c r="HH52" s="198"/>
      <c r="HI52" s="198"/>
      <c r="HJ52" s="198"/>
      <c r="HK52" s="198"/>
      <c r="HL52" s="198"/>
      <c r="HM52" s="198"/>
      <c r="HN52" s="198"/>
      <c r="HO52" s="198"/>
      <c r="HP52" s="198"/>
      <c r="HQ52" s="198"/>
      <c r="HR52" s="198"/>
      <c r="HS52" s="198"/>
      <c r="HT52" s="198"/>
      <c r="HU52" s="198"/>
      <c r="HV52" s="198"/>
      <c r="HW52" s="198"/>
      <c r="HX52" s="198"/>
      <c r="HY52" s="198"/>
      <c r="HZ52" s="198"/>
      <c r="IA52" s="198"/>
      <c r="IB52" s="198"/>
      <c r="IC52" s="198"/>
      <c r="ID52" s="198"/>
      <c r="IE52" s="198"/>
      <c r="IF52" s="198"/>
      <c r="IG52" s="198"/>
      <c r="IH52" s="198"/>
      <c r="II52" s="198"/>
      <c r="IJ52" s="198"/>
      <c r="IK52" s="198"/>
      <c r="IL52" s="198"/>
      <c r="IM52" s="198"/>
      <c r="IN52" s="198"/>
      <c r="IO52" s="198"/>
      <c r="IP52" s="198"/>
      <c r="IQ52" s="198"/>
      <c r="IR52" s="198"/>
      <c r="IS52" s="198"/>
      <c r="IT52" s="198"/>
      <c r="IU52" s="198"/>
      <c r="IV52" s="198"/>
    </row>
    <row r="53" customFormat="false" ht="10.5" hidden="false" customHeight="true" outlineLevel="0" collapsed="false">
      <c r="A53" s="166" t="s">
        <v>84</v>
      </c>
      <c r="B53" s="166"/>
      <c r="C53" s="166"/>
      <c r="D53" s="166"/>
      <c r="E53" s="166"/>
      <c r="F53" s="166"/>
      <c r="G53" s="166"/>
      <c r="H53" s="166"/>
      <c r="I53" s="166"/>
      <c r="J53" s="166"/>
      <c r="K53" s="166"/>
      <c r="L53" s="166"/>
      <c r="M53" s="166"/>
      <c r="N53" s="166"/>
      <c r="O53" s="166"/>
      <c r="P53" s="166"/>
      <c r="Q53" s="166"/>
      <c r="R53" s="166"/>
      <c r="S53" s="166"/>
      <c r="T53" s="166"/>
      <c r="U53" s="166"/>
      <c r="V53" s="166"/>
      <c r="W53" s="166" t="s">
        <v>85</v>
      </c>
      <c r="X53" s="166"/>
      <c r="Y53" s="166"/>
      <c r="Z53" s="166"/>
      <c r="AA53" s="166"/>
      <c r="AB53" s="166"/>
      <c r="AC53" s="166"/>
      <c r="AD53" s="166"/>
      <c r="AE53" s="166"/>
      <c r="AF53" s="166"/>
      <c r="AG53" s="166"/>
      <c r="AH53" s="166"/>
      <c r="AI53" s="166"/>
      <c r="AJ53" s="166"/>
      <c r="AK53" s="166"/>
      <c r="AL53" s="166"/>
      <c r="AM53" s="166"/>
      <c r="AN53" s="166"/>
      <c r="AO53" s="166"/>
      <c r="AP53" s="166"/>
      <c r="AQ53" s="166"/>
      <c r="AR53" s="166"/>
      <c r="AS53" s="166" t="s">
        <v>86</v>
      </c>
      <c r="AT53" s="166"/>
      <c r="AU53" s="166"/>
      <c r="AV53" s="166"/>
      <c r="AW53" s="166"/>
      <c r="AX53" s="166"/>
      <c r="AY53" s="166"/>
      <c r="AZ53" s="166"/>
      <c r="BA53" s="166"/>
      <c r="BB53" s="166" t="s">
        <v>87</v>
      </c>
      <c r="BC53" s="166"/>
      <c r="BD53" s="166"/>
      <c r="BE53" s="166"/>
      <c r="BF53" s="166"/>
      <c r="BG53" s="166"/>
      <c r="BH53" s="166"/>
      <c r="BI53" s="166"/>
      <c r="BJ53" s="166"/>
      <c r="BK53" s="166"/>
      <c r="BL53" s="166"/>
      <c r="BM53" s="166"/>
      <c r="BN53" s="166"/>
    </row>
    <row r="54" customFormat="false" ht="10.5" hidden="false" customHeight="true" outlineLevel="0" collapsed="false">
      <c r="A54" s="167" t="str">
        <f aca="false">IF(Eingabe!O3="","",Eingabe!O3)</f>
        <v/>
      </c>
      <c r="B54" s="167"/>
      <c r="C54" s="167"/>
      <c r="D54" s="167"/>
      <c r="E54" s="167"/>
      <c r="F54" s="167"/>
      <c r="G54" s="167"/>
      <c r="H54" s="167"/>
      <c r="I54" s="167"/>
      <c r="J54" s="167"/>
      <c r="K54" s="167"/>
      <c r="L54" s="167"/>
      <c r="M54" s="167"/>
      <c r="N54" s="167"/>
      <c r="O54" s="167"/>
      <c r="P54" s="167"/>
      <c r="Q54" s="167"/>
      <c r="R54" s="167"/>
      <c r="S54" s="167"/>
      <c r="T54" s="167"/>
      <c r="U54" s="167"/>
      <c r="V54" s="167"/>
      <c r="W54" s="168" t="str">
        <f aca="false">IF(Eingabe!E3="","",Eingabe!E3)</f>
        <v>Simon Grundner</v>
      </c>
      <c r="X54" s="168"/>
      <c r="Y54" s="168"/>
      <c r="Z54" s="168"/>
      <c r="AA54" s="168"/>
      <c r="AB54" s="168"/>
      <c r="AC54" s="168"/>
      <c r="AD54" s="168"/>
      <c r="AE54" s="168"/>
      <c r="AF54" s="168"/>
      <c r="AG54" s="168"/>
      <c r="AH54" s="168"/>
      <c r="AI54" s="168"/>
      <c r="AJ54" s="168"/>
      <c r="AK54" s="168"/>
      <c r="AL54" s="168"/>
      <c r="AM54" s="168"/>
      <c r="AN54" s="168"/>
      <c r="AO54" s="168"/>
      <c r="AP54" s="168"/>
      <c r="AQ54" s="168"/>
      <c r="AR54" s="168"/>
      <c r="AS54" s="170" t="str">
        <f aca="false">IF(Eingabe!I1="","",Eingabe!I1)</f>
        <v/>
      </c>
      <c r="AT54" s="170"/>
      <c r="AU54" s="170"/>
      <c r="AV54" s="170"/>
      <c r="AW54" s="170"/>
      <c r="AX54" s="170"/>
      <c r="AY54" s="170"/>
      <c r="AZ54" s="170"/>
      <c r="BA54" s="170"/>
      <c r="BB54" s="170" t="str">
        <f aca="false">IF(Eingabe!I2="","",Eingabe!I2)</f>
        <v>FR4</v>
      </c>
      <c r="BC54" s="170"/>
      <c r="BD54" s="170"/>
      <c r="BE54" s="170"/>
      <c r="BF54" s="170"/>
      <c r="BG54" s="170"/>
      <c r="BH54" s="170"/>
      <c r="BI54" s="170"/>
      <c r="BJ54" s="170"/>
      <c r="BK54" s="170"/>
      <c r="BL54" s="170"/>
      <c r="BM54" s="170"/>
      <c r="BN54" s="170"/>
    </row>
    <row r="55" customFormat="false" ht="10.5" hidden="false" customHeight="true" outlineLevel="0" collapsed="false">
      <c r="A55" s="167"/>
      <c r="B55" s="167"/>
      <c r="C55" s="167"/>
      <c r="D55" s="167"/>
      <c r="E55" s="167"/>
      <c r="F55" s="167"/>
      <c r="G55" s="167"/>
      <c r="H55" s="167"/>
      <c r="I55" s="167"/>
      <c r="J55" s="167"/>
      <c r="K55" s="167"/>
      <c r="L55" s="167"/>
      <c r="M55" s="167"/>
      <c r="N55" s="167"/>
      <c r="O55" s="167"/>
      <c r="P55" s="167"/>
      <c r="Q55" s="167"/>
      <c r="R55" s="167"/>
      <c r="S55" s="167"/>
      <c r="T55" s="167"/>
      <c r="U55" s="167"/>
      <c r="V55" s="167"/>
      <c r="W55" s="168"/>
      <c r="X55" s="168"/>
      <c r="Y55" s="168"/>
      <c r="Z55" s="168"/>
      <c r="AA55" s="168"/>
      <c r="AB55" s="168"/>
      <c r="AC55" s="168"/>
      <c r="AD55" s="168"/>
      <c r="AE55" s="168"/>
      <c r="AF55" s="168"/>
      <c r="AG55" s="168"/>
      <c r="AH55" s="168"/>
      <c r="AI55" s="168"/>
      <c r="AJ55" s="168"/>
      <c r="AK55" s="168"/>
      <c r="AL55" s="168"/>
      <c r="AM55" s="168"/>
      <c r="AN55" s="168"/>
      <c r="AO55" s="168"/>
      <c r="AP55" s="168"/>
      <c r="AQ55" s="168"/>
      <c r="AR55" s="168"/>
      <c r="AS55" s="170"/>
      <c r="AT55" s="170"/>
      <c r="AU55" s="170"/>
      <c r="AV55" s="170"/>
      <c r="AW55" s="170"/>
      <c r="AX55" s="170"/>
      <c r="AY55" s="170"/>
      <c r="AZ55" s="170"/>
      <c r="BA55" s="170"/>
      <c r="BB55" s="170"/>
      <c r="BC55" s="170"/>
      <c r="BD55" s="170"/>
      <c r="BE55" s="170"/>
      <c r="BF55" s="170"/>
      <c r="BG55" s="170"/>
      <c r="BH55" s="170"/>
      <c r="BI55" s="170"/>
      <c r="BJ55" s="170"/>
      <c r="BK55" s="170"/>
      <c r="BL55" s="170"/>
      <c r="BM55" s="170"/>
      <c r="BN55" s="170"/>
    </row>
    <row r="56" customFormat="false" ht="10.5" hidden="false" customHeight="true" outlineLevel="0" collapsed="false">
      <c r="A56" s="214"/>
      <c r="B56" s="214"/>
      <c r="C56" s="214"/>
      <c r="D56" s="214"/>
      <c r="E56" s="214"/>
      <c r="F56" s="214"/>
      <c r="G56" s="214"/>
      <c r="H56" s="214"/>
      <c r="I56" s="214"/>
      <c r="J56" s="214"/>
      <c r="K56" s="214"/>
      <c r="L56" s="214"/>
      <c r="M56" s="214"/>
      <c r="N56" s="214"/>
      <c r="O56" s="214"/>
      <c r="P56" s="214"/>
      <c r="Q56" s="214"/>
      <c r="R56" s="214"/>
      <c r="S56" s="214"/>
      <c r="T56" s="214"/>
      <c r="U56" s="214"/>
      <c r="V56" s="214"/>
      <c r="W56" s="166" t="s">
        <v>88</v>
      </c>
      <c r="X56" s="166"/>
      <c r="Y56" s="166"/>
      <c r="Z56" s="166"/>
      <c r="AA56" s="166"/>
      <c r="AB56" s="166"/>
      <c r="AC56" s="166"/>
      <c r="AD56" s="166"/>
      <c r="AE56" s="166"/>
      <c r="AF56" s="166"/>
      <c r="AG56" s="166" t="s">
        <v>89</v>
      </c>
      <c r="AH56" s="166"/>
      <c r="AI56" s="166"/>
      <c r="AJ56" s="166"/>
      <c r="AK56" s="166" t="s">
        <v>90</v>
      </c>
      <c r="AL56" s="166"/>
      <c r="AM56" s="166"/>
      <c r="AN56" s="166"/>
      <c r="AO56" s="166" t="s">
        <v>91</v>
      </c>
      <c r="AP56" s="166"/>
      <c r="AQ56" s="166"/>
      <c r="AR56" s="166"/>
      <c r="AS56" s="166" t="s">
        <v>92</v>
      </c>
      <c r="AT56" s="166"/>
      <c r="AU56" s="166"/>
      <c r="AV56" s="166"/>
      <c r="AW56" s="166"/>
      <c r="AX56" s="166"/>
      <c r="AY56" s="166"/>
      <c r="AZ56" s="166"/>
      <c r="BA56" s="166"/>
      <c r="BB56" s="166"/>
      <c r="BC56" s="166"/>
      <c r="BD56" s="166"/>
      <c r="BE56" s="166"/>
      <c r="BF56" s="166"/>
      <c r="BG56" s="166"/>
      <c r="BH56" s="166"/>
      <c r="BI56" s="166" t="s">
        <v>93</v>
      </c>
      <c r="BJ56" s="166"/>
      <c r="BK56" s="166"/>
      <c r="BL56" s="166"/>
      <c r="BM56" s="166"/>
      <c r="BN56" s="166"/>
    </row>
    <row r="57" customFormat="false" ht="10.5" hidden="false" customHeight="true" outlineLevel="0" collapsed="false">
      <c r="A57" s="214"/>
      <c r="B57" s="214"/>
      <c r="C57" s="214"/>
      <c r="D57" s="214"/>
      <c r="E57" s="214"/>
      <c r="F57" s="214"/>
      <c r="G57" s="214"/>
      <c r="H57" s="214"/>
      <c r="I57" s="214"/>
      <c r="J57" s="214"/>
      <c r="K57" s="214"/>
      <c r="L57" s="214"/>
      <c r="M57" s="214"/>
      <c r="N57" s="214"/>
      <c r="O57" s="214"/>
      <c r="P57" s="214"/>
      <c r="Q57" s="214"/>
      <c r="R57" s="214"/>
      <c r="S57" s="214"/>
      <c r="T57" s="214"/>
      <c r="U57" s="214"/>
      <c r="V57" s="214"/>
      <c r="W57" s="167" t="str">
        <f aca="false">IF(CONCATENATE(Eingabe!E1," ", Eingabe!E2)="","",CONCATENATE(Eingabe!E1," ", Eingabe!E2))</f>
        <v> </v>
      </c>
      <c r="X57" s="167"/>
      <c r="Y57" s="167"/>
      <c r="Z57" s="167"/>
      <c r="AA57" s="167"/>
      <c r="AB57" s="167"/>
      <c r="AC57" s="167"/>
      <c r="AD57" s="167"/>
      <c r="AE57" s="167"/>
      <c r="AF57" s="167"/>
      <c r="AG57" s="167" t="str">
        <f aca="false">IF(Eingabe!E4="","",Eingabe!E4)</f>
        <v>GruS</v>
      </c>
      <c r="AH57" s="167"/>
      <c r="AI57" s="167"/>
      <c r="AJ57" s="167"/>
      <c r="AK57" s="173" t="str">
        <f aca="false">IF(Eingabe!I3="","",Eingabe!I3)</f>
        <v/>
      </c>
      <c r="AL57" s="173"/>
      <c r="AM57" s="173"/>
      <c r="AN57" s="173"/>
      <c r="AO57" s="173" t="str">
        <f aca="false">IF(Eingabe!I4="","",Eingabe!I4)</f>
        <v/>
      </c>
      <c r="AP57" s="173"/>
      <c r="AQ57" s="173"/>
      <c r="AR57" s="173"/>
      <c r="AS57" s="174" t="s">
        <v>111</v>
      </c>
      <c r="AT57" s="174"/>
      <c r="AU57" s="174"/>
      <c r="AV57" s="174"/>
      <c r="AW57" s="174"/>
      <c r="AX57" s="174"/>
      <c r="AY57" s="174"/>
      <c r="AZ57" s="174"/>
      <c r="BA57" s="174"/>
      <c r="BB57" s="174"/>
      <c r="BC57" s="174"/>
      <c r="BD57" s="174"/>
      <c r="BE57" s="174"/>
      <c r="BF57" s="174"/>
      <c r="BG57" s="174"/>
      <c r="BH57" s="174"/>
      <c r="BI57" s="167" t="str">
        <f aca="false">IF(Eingabe!I5="","",Eingabe!I5)</f>
        <v/>
      </c>
      <c r="BJ57" s="167"/>
      <c r="BK57" s="167"/>
      <c r="BL57" s="167"/>
      <c r="BM57" s="167"/>
      <c r="BN57" s="167"/>
    </row>
    <row r="58" customFormat="false" ht="10.5" hidden="false" customHeight="true" outlineLevel="0" collapsed="false">
      <c r="A58" s="214"/>
      <c r="B58" s="214"/>
      <c r="C58" s="214"/>
      <c r="D58" s="214"/>
      <c r="E58" s="214"/>
      <c r="F58" s="214"/>
      <c r="G58" s="214"/>
      <c r="H58" s="214"/>
      <c r="I58" s="214"/>
      <c r="J58" s="214"/>
      <c r="K58" s="214"/>
      <c r="L58" s="214"/>
      <c r="M58" s="214"/>
      <c r="N58" s="214"/>
      <c r="O58" s="214"/>
      <c r="P58" s="214"/>
      <c r="Q58" s="214"/>
      <c r="R58" s="214"/>
      <c r="S58" s="214"/>
      <c r="T58" s="214"/>
      <c r="U58" s="214"/>
      <c r="V58" s="214"/>
      <c r="W58" s="167"/>
      <c r="X58" s="167"/>
      <c r="Y58" s="167"/>
      <c r="Z58" s="167"/>
      <c r="AA58" s="167"/>
      <c r="AB58" s="167"/>
      <c r="AC58" s="167"/>
      <c r="AD58" s="167"/>
      <c r="AE58" s="167"/>
      <c r="AF58" s="167"/>
      <c r="AG58" s="167"/>
      <c r="AH58" s="167"/>
      <c r="AI58" s="167"/>
      <c r="AJ58" s="167"/>
      <c r="AK58" s="173"/>
      <c r="AL58" s="173"/>
      <c r="AM58" s="173"/>
      <c r="AN58" s="173"/>
      <c r="AO58" s="173"/>
      <c r="AP58" s="173"/>
      <c r="AQ58" s="173"/>
      <c r="AR58" s="173"/>
      <c r="AS58" s="174"/>
      <c r="AT58" s="174"/>
      <c r="AU58" s="174"/>
      <c r="AV58" s="174"/>
      <c r="AW58" s="174"/>
      <c r="AX58" s="174"/>
      <c r="AY58" s="174"/>
      <c r="AZ58" s="174"/>
      <c r="BA58" s="174"/>
      <c r="BB58" s="174"/>
      <c r="BC58" s="174"/>
      <c r="BD58" s="174"/>
      <c r="BE58" s="174"/>
      <c r="BF58" s="174"/>
      <c r="BG58" s="174"/>
      <c r="BH58" s="174"/>
      <c r="BI58" s="167"/>
      <c r="BJ58" s="167"/>
      <c r="BK58" s="167"/>
      <c r="BL58" s="167"/>
      <c r="BM58" s="167"/>
      <c r="BN58" s="167"/>
    </row>
    <row r="59" customFormat="false" ht="10.5" hidden="false" customHeight="true" outlineLevel="0" collapsed="false">
      <c r="A59" s="214"/>
      <c r="B59" s="214"/>
      <c r="C59" s="214"/>
      <c r="D59" s="214"/>
      <c r="E59" s="214"/>
      <c r="F59" s="214"/>
      <c r="G59" s="214"/>
      <c r="H59" s="214"/>
      <c r="I59" s="214"/>
      <c r="J59" s="214"/>
      <c r="K59" s="214"/>
      <c r="L59" s="214"/>
      <c r="M59" s="214"/>
      <c r="N59" s="214"/>
      <c r="O59" s="214"/>
      <c r="P59" s="214"/>
      <c r="Q59" s="214"/>
      <c r="R59" s="214"/>
      <c r="S59" s="214"/>
      <c r="T59" s="214"/>
      <c r="U59" s="214"/>
      <c r="V59" s="214"/>
      <c r="W59" s="166" t="s">
        <v>94</v>
      </c>
      <c r="X59" s="166"/>
      <c r="Y59" s="166"/>
      <c r="Z59" s="166"/>
      <c r="AA59" s="166"/>
      <c r="AB59" s="166"/>
      <c r="AC59" s="166"/>
      <c r="AD59" s="166"/>
      <c r="AE59" s="166"/>
      <c r="AF59" s="166"/>
      <c r="AG59" s="166"/>
      <c r="AH59" s="166"/>
      <c r="AI59" s="166"/>
      <c r="AJ59" s="166"/>
      <c r="AK59" s="166"/>
      <c r="AL59" s="166"/>
      <c r="AM59" s="166"/>
      <c r="AN59" s="166"/>
      <c r="AO59" s="166"/>
      <c r="AP59" s="166"/>
      <c r="AQ59" s="166"/>
      <c r="AR59" s="166"/>
      <c r="AS59" s="166" t="s">
        <v>95</v>
      </c>
      <c r="AT59" s="166"/>
      <c r="AU59" s="166"/>
      <c r="AV59" s="166"/>
      <c r="AW59" s="166"/>
      <c r="AX59" s="166"/>
      <c r="AY59" s="166"/>
      <c r="AZ59" s="166" t="s">
        <v>96</v>
      </c>
      <c r="BA59" s="166"/>
      <c r="BB59" s="166"/>
      <c r="BC59" s="166"/>
      <c r="BD59" s="166"/>
      <c r="BE59" s="166" t="s">
        <v>97</v>
      </c>
      <c r="BF59" s="166"/>
      <c r="BG59" s="166"/>
      <c r="BH59" s="166"/>
      <c r="BI59" s="166"/>
      <c r="BJ59" s="166"/>
      <c r="BK59" s="166"/>
      <c r="BL59" s="166"/>
      <c r="BM59" s="166"/>
      <c r="BN59" s="166"/>
    </row>
    <row r="60" customFormat="false" ht="10.5" hidden="false" customHeight="true" outlineLevel="0" collapsed="false">
      <c r="A60" s="214"/>
      <c r="B60" s="214"/>
      <c r="C60" s="214"/>
      <c r="D60" s="214"/>
      <c r="E60" s="214"/>
      <c r="F60" s="214"/>
      <c r="G60" s="214"/>
      <c r="H60" s="214"/>
      <c r="I60" s="214"/>
      <c r="J60" s="214"/>
      <c r="K60" s="214"/>
      <c r="L60" s="214"/>
      <c r="M60" s="214"/>
      <c r="N60" s="214"/>
      <c r="O60" s="214"/>
      <c r="P60" s="214"/>
      <c r="Q60" s="214"/>
      <c r="R60" s="214"/>
      <c r="S60" s="214"/>
      <c r="T60" s="214"/>
      <c r="U60" s="214"/>
      <c r="V60" s="214"/>
      <c r="W60" s="175" t="str">
        <f aca="false">IF(Eingabe!E5="","",Eingabe!E5)</f>
        <v>TOTEM - Bluetooth</v>
      </c>
      <c r="X60" s="175"/>
      <c r="Y60" s="175"/>
      <c r="Z60" s="175"/>
      <c r="AA60" s="175"/>
      <c r="AB60" s="175"/>
      <c r="AC60" s="175"/>
      <c r="AD60" s="175"/>
      <c r="AE60" s="175"/>
      <c r="AF60" s="175"/>
      <c r="AG60" s="175"/>
      <c r="AH60" s="175"/>
      <c r="AI60" s="175"/>
      <c r="AJ60" s="175"/>
      <c r="AK60" s="175"/>
      <c r="AL60" s="175"/>
      <c r="AM60" s="175"/>
      <c r="AN60" s="175"/>
      <c r="AO60" s="175"/>
      <c r="AP60" s="175"/>
      <c r="AQ60" s="175"/>
      <c r="AR60" s="175"/>
      <c r="AS60" s="170" t="str">
        <f aca="false">IF(Eingabe!L3="","",Eingabe!L3)</f>
        <v>1.0</v>
      </c>
      <c r="AT60" s="170"/>
      <c r="AU60" s="170"/>
      <c r="AV60" s="170"/>
      <c r="AW60" s="170"/>
      <c r="AX60" s="170"/>
      <c r="AY60" s="170"/>
      <c r="AZ60" s="170" t="str">
        <f aca="false">IF(Eingabe!L4="","",Eingabe!L4)</f>
        <v>1</v>
      </c>
      <c r="BA60" s="170"/>
      <c r="BB60" s="170"/>
      <c r="BC60" s="170"/>
      <c r="BD60" s="170"/>
      <c r="BE60" s="174" t="str">
        <f aca="false">IF(Eingabe!L5="","",Eingabe!L5)</f>
        <v>Fertigung</v>
      </c>
      <c r="BF60" s="174"/>
      <c r="BG60" s="174"/>
      <c r="BH60" s="174"/>
      <c r="BI60" s="174"/>
      <c r="BJ60" s="174"/>
      <c r="BK60" s="174"/>
      <c r="BL60" s="174"/>
      <c r="BM60" s="174"/>
      <c r="BN60" s="174"/>
    </row>
    <row r="61" customFormat="false" ht="10.5" hidden="false" customHeight="true" outlineLevel="0" collapsed="false">
      <c r="A61" s="176" t="s">
        <v>98</v>
      </c>
      <c r="B61" s="176"/>
      <c r="C61" s="176"/>
      <c r="D61" s="176"/>
      <c r="E61" s="176"/>
      <c r="F61" s="176"/>
      <c r="G61" s="176"/>
      <c r="H61" s="176"/>
      <c r="I61" s="176"/>
      <c r="J61" s="176"/>
      <c r="K61" s="176"/>
      <c r="L61" s="176"/>
      <c r="M61" s="176"/>
      <c r="N61" s="176"/>
      <c r="O61" s="176"/>
      <c r="P61" s="176"/>
      <c r="Q61" s="176"/>
      <c r="R61" s="176"/>
      <c r="S61" s="176"/>
      <c r="T61" s="176"/>
      <c r="U61" s="176"/>
      <c r="V61" s="176"/>
      <c r="W61" s="175"/>
      <c r="X61" s="175"/>
      <c r="Y61" s="175"/>
      <c r="Z61" s="175"/>
      <c r="AA61" s="175"/>
      <c r="AB61" s="175"/>
      <c r="AC61" s="175"/>
      <c r="AD61" s="175"/>
      <c r="AE61" s="175"/>
      <c r="AF61" s="175"/>
      <c r="AG61" s="175"/>
      <c r="AH61" s="175"/>
      <c r="AI61" s="175"/>
      <c r="AJ61" s="175"/>
      <c r="AK61" s="175"/>
      <c r="AL61" s="175"/>
      <c r="AM61" s="175"/>
      <c r="AN61" s="175"/>
      <c r="AO61" s="175"/>
      <c r="AP61" s="175"/>
      <c r="AQ61" s="175"/>
      <c r="AR61" s="175"/>
      <c r="AS61" s="170"/>
      <c r="AT61" s="170"/>
      <c r="AU61" s="170"/>
      <c r="AV61" s="170"/>
      <c r="AW61" s="170"/>
      <c r="AX61" s="170"/>
      <c r="AY61" s="170"/>
      <c r="AZ61" s="170"/>
      <c r="BA61" s="170"/>
      <c r="BB61" s="170"/>
      <c r="BC61" s="170"/>
      <c r="BD61" s="170"/>
      <c r="BE61" s="174"/>
      <c r="BF61" s="174"/>
      <c r="BG61" s="174"/>
      <c r="BH61" s="174"/>
      <c r="BI61" s="174"/>
      <c r="BJ61" s="174"/>
      <c r="BK61" s="174"/>
      <c r="BL61" s="174"/>
      <c r="BM61" s="174"/>
      <c r="BN61" s="174"/>
    </row>
    <row r="62" customFormat="false" ht="10.5" hidden="false" customHeight="true" outlineLevel="0" collapsed="false">
      <c r="A62" s="176"/>
      <c r="B62" s="176"/>
      <c r="C62" s="176"/>
      <c r="D62" s="176"/>
      <c r="E62" s="176"/>
      <c r="F62" s="176"/>
      <c r="G62" s="176"/>
      <c r="H62" s="176"/>
      <c r="I62" s="176"/>
      <c r="J62" s="176"/>
      <c r="K62" s="176"/>
      <c r="L62" s="176"/>
      <c r="M62" s="176"/>
      <c r="N62" s="176"/>
      <c r="O62" s="176"/>
      <c r="P62" s="176"/>
      <c r="Q62" s="176"/>
      <c r="R62" s="176"/>
      <c r="S62" s="176"/>
      <c r="T62" s="176"/>
      <c r="U62" s="176"/>
      <c r="V62" s="176"/>
      <c r="W62" s="175"/>
      <c r="X62" s="175"/>
      <c r="Y62" s="175"/>
      <c r="Z62" s="175"/>
      <c r="AA62" s="175"/>
      <c r="AB62" s="175"/>
      <c r="AC62" s="175"/>
      <c r="AD62" s="175"/>
      <c r="AE62" s="175"/>
      <c r="AF62" s="175"/>
      <c r="AG62" s="175"/>
      <c r="AH62" s="175"/>
      <c r="AI62" s="175"/>
      <c r="AJ62" s="175"/>
      <c r="AK62" s="175"/>
      <c r="AL62" s="175"/>
      <c r="AM62" s="175"/>
      <c r="AN62" s="175"/>
      <c r="AO62" s="175"/>
      <c r="AP62" s="175"/>
      <c r="AQ62" s="175"/>
      <c r="AR62" s="175"/>
      <c r="AS62" s="177" t="s">
        <v>99</v>
      </c>
      <c r="AT62" s="177"/>
      <c r="AU62" s="177"/>
      <c r="AV62" s="177"/>
      <c r="AW62" s="166" t="s">
        <v>100</v>
      </c>
      <c r="AX62" s="166"/>
      <c r="AY62" s="166"/>
      <c r="AZ62" s="166" t="s">
        <v>101</v>
      </c>
      <c r="BA62" s="166"/>
      <c r="BB62" s="166"/>
      <c r="BC62" s="166"/>
      <c r="BD62" s="166"/>
      <c r="BE62" s="166"/>
      <c r="BF62" s="166"/>
      <c r="BG62" s="166"/>
      <c r="BH62" s="166"/>
      <c r="BI62" s="166" t="s">
        <v>102</v>
      </c>
      <c r="BJ62" s="166"/>
      <c r="BK62" s="166"/>
      <c r="BL62" s="179" t="s">
        <v>103</v>
      </c>
      <c r="BM62" s="180"/>
      <c r="BN62" s="181"/>
    </row>
    <row r="63" customFormat="false" ht="10.5" hidden="false" customHeight="true" outlineLevel="0" collapsed="false">
      <c r="A63" s="182" t="str">
        <f aca="false">IF(Eingabe!M6="","",Eingabe!M6)</f>
        <v>Technische Informatik</v>
      </c>
      <c r="B63" s="182"/>
      <c r="C63" s="182"/>
      <c r="D63" s="182"/>
      <c r="E63" s="182"/>
      <c r="F63" s="182"/>
      <c r="G63" s="182"/>
      <c r="H63" s="182"/>
      <c r="I63" s="182"/>
      <c r="J63" s="182"/>
      <c r="K63" s="182"/>
      <c r="L63" s="182"/>
      <c r="M63" s="182"/>
      <c r="N63" s="182"/>
      <c r="O63" s="182"/>
      <c r="P63" s="182"/>
      <c r="Q63" s="182"/>
      <c r="R63" s="182"/>
      <c r="S63" s="182"/>
      <c r="T63" s="182"/>
      <c r="U63" s="182"/>
      <c r="V63" s="182"/>
      <c r="W63" s="174" t="str">
        <f aca="false">IF(Eingabe!E6="","",Eingabe!E6)</f>
        <v>40 Key Split Ergomech KB</v>
      </c>
      <c r="X63" s="174"/>
      <c r="Y63" s="174"/>
      <c r="Z63" s="174"/>
      <c r="AA63" s="174"/>
      <c r="AB63" s="174"/>
      <c r="AC63" s="174"/>
      <c r="AD63" s="174"/>
      <c r="AE63" s="174"/>
      <c r="AF63" s="174"/>
      <c r="AG63" s="174"/>
      <c r="AH63" s="174"/>
      <c r="AI63" s="174"/>
      <c r="AJ63" s="174"/>
      <c r="AK63" s="174"/>
      <c r="AL63" s="174"/>
      <c r="AM63" s="174"/>
      <c r="AN63" s="174"/>
      <c r="AO63" s="174"/>
      <c r="AP63" s="174"/>
      <c r="AQ63" s="174"/>
      <c r="AR63" s="174"/>
      <c r="AS63" s="173" t="str">
        <f aca="false">IF(Eingabe!L6="","",Eingabe!L6)</f>
        <v>ohne</v>
      </c>
      <c r="AT63" s="173"/>
      <c r="AU63" s="173"/>
      <c r="AV63" s="173"/>
      <c r="AW63" s="167" t="str">
        <f aca="false">IF(Eingabe!I6="","",Eingabe!I6)</f>
        <v>DE</v>
      </c>
      <c r="AX63" s="167"/>
      <c r="AY63" s="167"/>
      <c r="AZ63" s="184" t="n">
        <f aca="false">IF(Eingabe!L2="","",Eingabe!L2)</f>
        <v>45824</v>
      </c>
      <c r="BA63" s="184"/>
      <c r="BB63" s="184"/>
      <c r="BC63" s="184"/>
      <c r="BD63" s="184"/>
      <c r="BE63" s="184"/>
      <c r="BF63" s="184"/>
      <c r="BG63" s="184"/>
      <c r="BH63" s="184"/>
      <c r="BI63" s="173" t="n">
        <v>1</v>
      </c>
      <c r="BJ63" s="173"/>
      <c r="BK63" s="173"/>
      <c r="BL63" s="173" t="str">
        <f aca="false">IF('Materialkalkulation (2)'!L4="","1",IF('Materialkalkulation (3)'!L4="","2","3"))</f>
        <v>1</v>
      </c>
      <c r="BM63" s="173"/>
      <c r="BN63" s="173"/>
    </row>
    <row r="64" customFormat="false" ht="10.5" hidden="false" customHeight="true" outlineLevel="0" collapsed="false">
      <c r="A64" s="182"/>
      <c r="B64" s="182"/>
      <c r="C64" s="182"/>
      <c r="D64" s="182"/>
      <c r="E64" s="182"/>
      <c r="F64" s="182"/>
      <c r="G64" s="182"/>
      <c r="H64" s="182"/>
      <c r="I64" s="182"/>
      <c r="J64" s="182"/>
      <c r="K64" s="182"/>
      <c r="L64" s="182"/>
      <c r="M64" s="182"/>
      <c r="N64" s="182"/>
      <c r="O64" s="182"/>
      <c r="P64" s="182"/>
      <c r="Q64" s="182"/>
      <c r="R64" s="182"/>
      <c r="S64" s="182"/>
      <c r="T64" s="182"/>
      <c r="U64" s="182"/>
      <c r="V64" s="182"/>
      <c r="W64" s="174"/>
      <c r="X64" s="174"/>
      <c r="Y64" s="174"/>
      <c r="Z64" s="174"/>
      <c r="AA64" s="174"/>
      <c r="AB64" s="174"/>
      <c r="AC64" s="174"/>
      <c r="AD64" s="174"/>
      <c r="AE64" s="174"/>
      <c r="AF64" s="174"/>
      <c r="AG64" s="174"/>
      <c r="AH64" s="174"/>
      <c r="AI64" s="174"/>
      <c r="AJ64" s="174"/>
      <c r="AK64" s="174"/>
      <c r="AL64" s="174"/>
      <c r="AM64" s="174"/>
      <c r="AN64" s="174"/>
      <c r="AO64" s="174"/>
      <c r="AP64" s="174"/>
      <c r="AQ64" s="174"/>
      <c r="AR64" s="174"/>
      <c r="AS64" s="173"/>
      <c r="AT64" s="173"/>
      <c r="AU64" s="173"/>
      <c r="AV64" s="173"/>
      <c r="AW64" s="167"/>
      <c r="AX64" s="167"/>
      <c r="AY64" s="167"/>
      <c r="AZ64" s="184"/>
      <c r="BA64" s="184"/>
      <c r="BB64" s="184"/>
      <c r="BC64" s="184"/>
      <c r="BD64" s="184"/>
      <c r="BE64" s="184"/>
      <c r="BF64" s="184"/>
      <c r="BG64" s="184"/>
      <c r="BH64" s="184"/>
      <c r="BI64" s="173"/>
      <c r="BJ64" s="173"/>
      <c r="BK64" s="173"/>
      <c r="BL64" s="173"/>
      <c r="BM64" s="173"/>
      <c r="BN64" s="173"/>
    </row>
    <row r="65" customFormat="false" ht="14.25" hidden="false" customHeight="false" outlineLevel="0" collapsed="false">
      <c r="A65" s="185"/>
      <c r="B65" s="185"/>
      <c r="C65" s="185"/>
      <c r="D65" s="185"/>
      <c r="E65" s="185"/>
      <c r="F65" s="185"/>
      <c r="G65" s="185"/>
      <c r="H65" s="185"/>
      <c r="I65" s="185"/>
      <c r="J65" s="185"/>
      <c r="K65" s="185"/>
      <c r="L65" s="185"/>
      <c r="M65" s="185"/>
      <c r="N65" s="185"/>
      <c r="O65" s="185"/>
      <c r="P65" s="185"/>
      <c r="Q65" s="185"/>
      <c r="R65" s="185"/>
      <c r="S65" s="185"/>
      <c r="T65" s="185"/>
      <c r="U65" s="185"/>
      <c r="V65" s="185"/>
      <c r="W65" s="185"/>
      <c r="X65" s="185"/>
      <c r="Y65" s="185"/>
      <c r="Z65" s="185"/>
      <c r="AA65" s="185"/>
      <c r="AB65" s="185"/>
      <c r="AC65" s="185"/>
      <c r="AD65" s="185"/>
      <c r="AE65" s="185"/>
      <c r="AF65" s="185"/>
      <c r="AG65" s="185"/>
      <c r="AH65" s="185"/>
      <c r="AI65" s="185"/>
      <c r="AJ65" s="185"/>
      <c r="AK65" s="185"/>
      <c r="AL65" s="185"/>
      <c r="AM65" s="185"/>
      <c r="AN65" s="185"/>
      <c r="AO65" s="185"/>
      <c r="AP65" s="185"/>
      <c r="AQ65" s="185"/>
      <c r="AR65" s="185"/>
      <c r="AS65" s="185"/>
      <c r="AT65" s="185"/>
      <c r="AU65" s="185"/>
      <c r="AV65" s="185"/>
      <c r="AW65" s="185"/>
      <c r="AX65" s="185"/>
      <c r="AY65" s="185"/>
      <c r="AZ65" s="185"/>
      <c r="BA65" s="185"/>
      <c r="BB65" s="185"/>
      <c r="BC65" s="185"/>
      <c r="BD65" s="185"/>
      <c r="BE65" s="185"/>
      <c r="BF65" s="185"/>
      <c r="BG65" s="185"/>
      <c r="BH65" s="185"/>
      <c r="BI65" s="185"/>
      <c r="BJ65" s="185"/>
      <c r="BK65" s="185"/>
      <c r="BL65" s="185"/>
      <c r="BM65" s="185"/>
      <c r="BN65" s="185"/>
    </row>
    <row r="69" customFormat="false" ht="15" hidden="false" customHeight="true" outlineLevel="0" collapsed="false"/>
    <row r="72" customFormat="false" ht="15" hidden="false" customHeight="true" outlineLevel="0" collapsed="false"/>
    <row r="75" customFormat="false" ht="15" hidden="false" customHeight="true" outlineLevel="0" collapsed="false"/>
    <row r="78" customFormat="false" ht="15" hidden="false" customHeight="true" outlineLevel="0" collapsed="false"/>
  </sheetData>
  <sheetProtection sheet="true" objects="true" scenarios="true" selectLockedCells="true"/>
  <mergeCells count="379">
    <mergeCell ref="A1:C1"/>
    <mergeCell ref="D1:G1"/>
    <mergeCell ref="H1:K1"/>
    <mergeCell ref="L1:AG1"/>
    <mergeCell ref="AH1:BD1"/>
    <mergeCell ref="BE1:BN1"/>
    <mergeCell ref="A2:C3"/>
    <mergeCell ref="D2:G3"/>
    <mergeCell ref="H2:K3"/>
    <mergeCell ref="L2:AG3"/>
    <mergeCell ref="AH2:BD3"/>
    <mergeCell ref="BE2:BN2"/>
    <mergeCell ref="BE3:BI3"/>
    <mergeCell ref="BJ3:BN3"/>
    <mergeCell ref="A4:C4"/>
    <mergeCell ref="D4:G4"/>
    <mergeCell ref="H4:K4"/>
    <mergeCell ref="L4:AG4"/>
    <mergeCell ref="AH4:BD4"/>
    <mergeCell ref="BE4:BI4"/>
    <mergeCell ref="BJ4:BN4"/>
    <mergeCell ref="A5:C5"/>
    <mergeCell ref="D5:G5"/>
    <mergeCell ref="H5:K5"/>
    <mergeCell ref="L5:AG5"/>
    <mergeCell ref="AH5:BD5"/>
    <mergeCell ref="BE5:BI5"/>
    <mergeCell ref="BJ5:BN5"/>
    <mergeCell ref="A6:C6"/>
    <mergeCell ref="D6:G6"/>
    <mergeCell ref="H6:K6"/>
    <mergeCell ref="L6:AG6"/>
    <mergeCell ref="AH6:BD6"/>
    <mergeCell ref="BE6:BI6"/>
    <mergeCell ref="BJ6:BN6"/>
    <mergeCell ref="A7:C7"/>
    <mergeCell ref="D7:G7"/>
    <mergeCell ref="H7:K7"/>
    <mergeCell ref="L7:AG7"/>
    <mergeCell ref="AH7:BD7"/>
    <mergeCell ref="BE7:BI7"/>
    <mergeCell ref="BJ7:BN7"/>
    <mergeCell ref="A8:C8"/>
    <mergeCell ref="D8:G8"/>
    <mergeCell ref="H8:K8"/>
    <mergeCell ref="L8:AG8"/>
    <mergeCell ref="AH8:BD8"/>
    <mergeCell ref="BE8:BI8"/>
    <mergeCell ref="BJ8:BN8"/>
    <mergeCell ref="A9:C9"/>
    <mergeCell ref="D9:G9"/>
    <mergeCell ref="H9:K9"/>
    <mergeCell ref="L9:AG9"/>
    <mergeCell ref="AH9:BD9"/>
    <mergeCell ref="BE9:BI9"/>
    <mergeCell ref="BJ9:BN9"/>
    <mergeCell ref="A10:C10"/>
    <mergeCell ref="D10:G10"/>
    <mergeCell ref="H10:K10"/>
    <mergeCell ref="L10:AG10"/>
    <mergeCell ref="AH10:BD10"/>
    <mergeCell ref="BE10:BI10"/>
    <mergeCell ref="BJ10:BN10"/>
    <mergeCell ref="A11:C11"/>
    <mergeCell ref="D11:G11"/>
    <mergeCell ref="H11:K11"/>
    <mergeCell ref="L11:AG11"/>
    <mergeCell ref="AH11:BD11"/>
    <mergeCell ref="BE11:BI11"/>
    <mergeCell ref="BJ11:BN11"/>
    <mergeCell ref="A12:C12"/>
    <mergeCell ref="D12:G12"/>
    <mergeCell ref="H12:K12"/>
    <mergeCell ref="L12:AG12"/>
    <mergeCell ref="AH12:BD12"/>
    <mergeCell ref="BE12:BI12"/>
    <mergeCell ref="BJ12:BN12"/>
    <mergeCell ref="A13:C13"/>
    <mergeCell ref="D13:G13"/>
    <mergeCell ref="H13:K13"/>
    <mergeCell ref="L13:AG13"/>
    <mergeCell ref="AH13:BD13"/>
    <mergeCell ref="BE13:BI13"/>
    <mergeCell ref="BJ13:BN13"/>
    <mergeCell ref="A14:C14"/>
    <mergeCell ref="D14:G14"/>
    <mergeCell ref="H14:K14"/>
    <mergeCell ref="L14:AG14"/>
    <mergeCell ref="AH14:BD14"/>
    <mergeCell ref="BE14:BI14"/>
    <mergeCell ref="BJ14:BN14"/>
    <mergeCell ref="A15:C15"/>
    <mergeCell ref="D15:G15"/>
    <mergeCell ref="H15:K15"/>
    <mergeCell ref="L15:AG15"/>
    <mergeCell ref="AH15:BD15"/>
    <mergeCell ref="BE15:BI15"/>
    <mergeCell ref="BJ15:BN15"/>
    <mergeCell ref="A16:C16"/>
    <mergeCell ref="D16:G16"/>
    <mergeCell ref="H16:K16"/>
    <mergeCell ref="L16:AG16"/>
    <mergeCell ref="AH16:BD16"/>
    <mergeCell ref="BE16:BI16"/>
    <mergeCell ref="BJ16:BN16"/>
    <mergeCell ref="A17:C17"/>
    <mergeCell ref="D17:G17"/>
    <mergeCell ref="H17:K17"/>
    <mergeCell ref="L17:AG17"/>
    <mergeCell ref="AH17:BD17"/>
    <mergeCell ref="BE17:BI17"/>
    <mergeCell ref="BJ17:BN17"/>
    <mergeCell ref="A18:C18"/>
    <mergeCell ref="D18:G18"/>
    <mergeCell ref="H18:K18"/>
    <mergeCell ref="L18:AG18"/>
    <mergeCell ref="AH18:BD18"/>
    <mergeCell ref="BE18:BI18"/>
    <mergeCell ref="BJ18:BN18"/>
    <mergeCell ref="A19:C19"/>
    <mergeCell ref="D19:G19"/>
    <mergeCell ref="H19:K19"/>
    <mergeCell ref="L19:AG19"/>
    <mergeCell ref="AH19:BD19"/>
    <mergeCell ref="BE19:BI19"/>
    <mergeCell ref="BJ19:BN19"/>
    <mergeCell ref="A20:C20"/>
    <mergeCell ref="D20:G20"/>
    <mergeCell ref="H20:K20"/>
    <mergeCell ref="L20:AG20"/>
    <mergeCell ref="AH20:BD20"/>
    <mergeCell ref="BE20:BI20"/>
    <mergeCell ref="BJ20:BN20"/>
    <mergeCell ref="A21:C21"/>
    <mergeCell ref="D21:G21"/>
    <mergeCell ref="H21:K21"/>
    <mergeCell ref="L21:AG21"/>
    <mergeCell ref="AH21:BD21"/>
    <mergeCell ref="BE21:BI21"/>
    <mergeCell ref="BJ21:BN21"/>
    <mergeCell ref="A22:C22"/>
    <mergeCell ref="D22:G22"/>
    <mergeCell ref="H22:K22"/>
    <mergeCell ref="L22:AG22"/>
    <mergeCell ref="AH22:BD22"/>
    <mergeCell ref="BE22:BI22"/>
    <mergeCell ref="BJ22:BN22"/>
    <mergeCell ref="A23:C23"/>
    <mergeCell ref="D23:G23"/>
    <mergeCell ref="H23:K23"/>
    <mergeCell ref="L23:AG23"/>
    <mergeCell ref="AH23:BD23"/>
    <mergeCell ref="BE23:BI23"/>
    <mergeCell ref="BJ23:BN23"/>
    <mergeCell ref="A24:C24"/>
    <mergeCell ref="D24:G24"/>
    <mergeCell ref="H24:K24"/>
    <mergeCell ref="L24:AG24"/>
    <mergeCell ref="AH24:BD24"/>
    <mergeCell ref="BE24:BI24"/>
    <mergeCell ref="BJ24:BN24"/>
    <mergeCell ref="A25:C25"/>
    <mergeCell ref="D25:G25"/>
    <mergeCell ref="H25:K25"/>
    <mergeCell ref="L25:AG25"/>
    <mergeCell ref="AH25:BD25"/>
    <mergeCell ref="BE25:BI25"/>
    <mergeCell ref="BJ25:BN25"/>
    <mergeCell ref="A26:C26"/>
    <mergeCell ref="D26:G26"/>
    <mergeCell ref="H26:K26"/>
    <mergeCell ref="L26:AG26"/>
    <mergeCell ref="AH26:BD26"/>
    <mergeCell ref="BE26:BI26"/>
    <mergeCell ref="BJ26:BN26"/>
    <mergeCell ref="A27:C27"/>
    <mergeCell ref="D27:G27"/>
    <mergeCell ref="H27:K27"/>
    <mergeCell ref="L27:AG27"/>
    <mergeCell ref="AH27:BD27"/>
    <mergeCell ref="BE27:BI27"/>
    <mergeCell ref="BJ27:BN27"/>
    <mergeCell ref="A28:C28"/>
    <mergeCell ref="D28:G28"/>
    <mergeCell ref="H28:K28"/>
    <mergeCell ref="L28:AG28"/>
    <mergeCell ref="AH28:BD28"/>
    <mergeCell ref="BE28:BI28"/>
    <mergeCell ref="BJ28:BN28"/>
    <mergeCell ref="A29:C29"/>
    <mergeCell ref="D29:G29"/>
    <mergeCell ref="H29:K29"/>
    <mergeCell ref="L29:AG29"/>
    <mergeCell ref="AH29:BD29"/>
    <mergeCell ref="BE29:BI29"/>
    <mergeCell ref="BJ29:BN29"/>
    <mergeCell ref="A30:C30"/>
    <mergeCell ref="D30:G30"/>
    <mergeCell ref="H30:K30"/>
    <mergeCell ref="L30:AG30"/>
    <mergeCell ref="AH30:BD30"/>
    <mergeCell ref="BE30:BI30"/>
    <mergeCell ref="BJ30:BN30"/>
    <mergeCell ref="A31:C31"/>
    <mergeCell ref="D31:G31"/>
    <mergeCell ref="H31:K31"/>
    <mergeCell ref="L31:AG31"/>
    <mergeCell ref="AH31:BD31"/>
    <mergeCell ref="BE31:BI31"/>
    <mergeCell ref="BJ31:BN31"/>
    <mergeCell ref="A32:C32"/>
    <mergeCell ref="D32:G32"/>
    <mergeCell ref="H32:K32"/>
    <mergeCell ref="L32:AG32"/>
    <mergeCell ref="AH32:BD32"/>
    <mergeCell ref="BE32:BI32"/>
    <mergeCell ref="BJ32:BN32"/>
    <mergeCell ref="A33:C33"/>
    <mergeCell ref="D33:G33"/>
    <mergeCell ref="H33:K33"/>
    <mergeCell ref="L33:AG33"/>
    <mergeCell ref="AH33:BD33"/>
    <mergeCell ref="BE33:BI33"/>
    <mergeCell ref="BJ33:BN33"/>
    <mergeCell ref="A34:C34"/>
    <mergeCell ref="D34:G34"/>
    <mergeCell ref="H34:K34"/>
    <mergeCell ref="L34:AG34"/>
    <mergeCell ref="AH34:BD34"/>
    <mergeCell ref="BE34:BI34"/>
    <mergeCell ref="BJ34:BN34"/>
    <mergeCell ref="A35:C35"/>
    <mergeCell ref="D35:G35"/>
    <mergeCell ref="H35:K35"/>
    <mergeCell ref="L35:AG35"/>
    <mergeCell ref="AH35:BD35"/>
    <mergeCell ref="BE35:BI35"/>
    <mergeCell ref="BJ35:BN35"/>
    <mergeCell ref="A36:C36"/>
    <mergeCell ref="D36:G36"/>
    <mergeCell ref="H36:K36"/>
    <mergeCell ref="L36:AG36"/>
    <mergeCell ref="AH36:BD36"/>
    <mergeCell ref="BE36:BI36"/>
    <mergeCell ref="BJ36:BN36"/>
    <mergeCell ref="A37:C37"/>
    <mergeCell ref="D37:G37"/>
    <mergeCell ref="H37:K37"/>
    <mergeCell ref="L37:AG37"/>
    <mergeCell ref="AH37:BD37"/>
    <mergeCell ref="BE37:BI37"/>
    <mergeCell ref="BJ37:BN37"/>
    <mergeCell ref="A38:C38"/>
    <mergeCell ref="D38:G38"/>
    <mergeCell ref="H38:K38"/>
    <mergeCell ref="L38:AG38"/>
    <mergeCell ref="AH38:BD38"/>
    <mergeCell ref="BE38:BI38"/>
    <mergeCell ref="BJ38:BN38"/>
    <mergeCell ref="A39:C39"/>
    <mergeCell ref="D39:G39"/>
    <mergeCell ref="H39:K39"/>
    <mergeCell ref="L39:AG39"/>
    <mergeCell ref="AH39:BD39"/>
    <mergeCell ref="BE39:BI39"/>
    <mergeCell ref="BJ39:BN39"/>
    <mergeCell ref="A40:C40"/>
    <mergeCell ref="D40:G40"/>
    <mergeCell ref="H40:K40"/>
    <mergeCell ref="L40:AG40"/>
    <mergeCell ref="AH40:BD40"/>
    <mergeCell ref="BE40:BI40"/>
    <mergeCell ref="BJ40:BN40"/>
    <mergeCell ref="A41:C41"/>
    <mergeCell ref="D41:G41"/>
    <mergeCell ref="H41:K41"/>
    <mergeCell ref="L41:AG41"/>
    <mergeCell ref="AH41:BD41"/>
    <mergeCell ref="BE41:BI41"/>
    <mergeCell ref="BJ41:BN41"/>
    <mergeCell ref="A42:C42"/>
    <mergeCell ref="D42:G42"/>
    <mergeCell ref="H42:K42"/>
    <mergeCell ref="L42:AG42"/>
    <mergeCell ref="AH42:BD42"/>
    <mergeCell ref="BE42:BI42"/>
    <mergeCell ref="BJ42:BN42"/>
    <mergeCell ref="A43:C43"/>
    <mergeCell ref="D43:G43"/>
    <mergeCell ref="H43:K43"/>
    <mergeCell ref="L43:AG43"/>
    <mergeCell ref="AH43:BD43"/>
    <mergeCell ref="BE43:BI43"/>
    <mergeCell ref="BJ43:BN43"/>
    <mergeCell ref="A44:C44"/>
    <mergeCell ref="D44:G44"/>
    <mergeCell ref="H44:K44"/>
    <mergeCell ref="L44:AG44"/>
    <mergeCell ref="AH44:BD44"/>
    <mergeCell ref="BE44:BI44"/>
    <mergeCell ref="BJ44:BN44"/>
    <mergeCell ref="A45:C45"/>
    <mergeCell ref="D45:G45"/>
    <mergeCell ref="H45:K45"/>
    <mergeCell ref="L45:AG45"/>
    <mergeCell ref="AH45:BD45"/>
    <mergeCell ref="BE45:BI45"/>
    <mergeCell ref="BJ45:BN45"/>
    <mergeCell ref="A46:C46"/>
    <mergeCell ref="D46:G46"/>
    <mergeCell ref="H46:K46"/>
    <mergeCell ref="L46:AG46"/>
    <mergeCell ref="AH46:BD46"/>
    <mergeCell ref="BE46:BI46"/>
    <mergeCell ref="BJ46:BN46"/>
    <mergeCell ref="A47:C47"/>
    <mergeCell ref="D47:G47"/>
    <mergeCell ref="H47:K47"/>
    <mergeCell ref="L47:AG47"/>
    <mergeCell ref="AH47:BD47"/>
    <mergeCell ref="BE47:BI47"/>
    <mergeCell ref="BJ47:BN47"/>
    <mergeCell ref="A48:C48"/>
    <mergeCell ref="D48:G48"/>
    <mergeCell ref="H48:K48"/>
    <mergeCell ref="L48:AG48"/>
    <mergeCell ref="AH48:BD48"/>
    <mergeCell ref="BE48:BI48"/>
    <mergeCell ref="BJ48:BN48"/>
    <mergeCell ref="A49:AG52"/>
    <mergeCell ref="AH49:BD49"/>
    <mergeCell ref="BE49:BN49"/>
    <mergeCell ref="AH50:BD50"/>
    <mergeCell ref="BE50:BN50"/>
    <mergeCell ref="AH51:BD51"/>
    <mergeCell ref="BE51:BN51"/>
    <mergeCell ref="AH52:BD52"/>
    <mergeCell ref="BE52:BN52"/>
    <mergeCell ref="A53:V53"/>
    <mergeCell ref="W53:AR53"/>
    <mergeCell ref="AS53:BA53"/>
    <mergeCell ref="BB53:BN53"/>
    <mergeCell ref="A54:V55"/>
    <mergeCell ref="W54:AR55"/>
    <mergeCell ref="AS54:BA55"/>
    <mergeCell ref="BB54:BN55"/>
    <mergeCell ref="A56:V60"/>
    <mergeCell ref="W56:AF56"/>
    <mergeCell ref="AG56:AJ56"/>
    <mergeCell ref="AK56:AN56"/>
    <mergeCell ref="AO56:AR56"/>
    <mergeCell ref="AS56:BH56"/>
    <mergeCell ref="BI56:BN56"/>
    <mergeCell ref="W57:AF58"/>
    <mergeCell ref="AG57:AJ58"/>
    <mergeCell ref="AK57:AN58"/>
    <mergeCell ref="AO57:AR58"/>
    <mergeCell ref="AS57:BH58"/>
    <mergeCell ref="BI57:BN58"/>
    <mergeCell ref="W59:AR59"/>
    <mergeCell ref="AS59:AY59"/>
    <mergeCell ref="AZ59:BD59"/>
    <mergeCell ref="BE59:BN59"/>
    <mergeCell ref="W60:AR62"/>
    <mergeCell ref="AS60:AY61"/>
    <mergeCell ref="AZ60:BD61"/>
    <mergeCell ref="BE60:BN61"/>
    <mergeCell ref="A61:V62"/>
    <mergeCell ref="AS62:AV62"/>
    <mergeCell ref="AW62:AY62"/>
    <mergeCell ref="AZ62:BH62"/>
    <mergeCell ref="BI62:BK62"/>
    <mergeCell ref="A63:V64"/>
    <mergeCell ref="W63:AR64"/>
    <mergeCell ref="AS63:AV64"/>
    <mergeCell ref="AW63:AY64"/>
    <mergeCell ref="AZ63:BH64"/>
    <mergeCell ref="BI63:BK64"/>
    <mergeCell ref="BL63:BN64"/>
  </mergeCells>
  <printOptions headings="false" gridLines="false" gridLinesSet="true" horizontalCentered="false" verticalCentered="false"/>
  <pageMargins left="0.7875" right="0.39375" top="0.39375" bottom="0.39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78"/>
  <sheetViews>
    <sheetView showFormulas="false" showGridLines="true" showRowColHeaders="true" showZeros="true" rightToLeft="false" tabSelected="false" showOutlineSymbols="true" defaultGridColor="true" view="pageBreakPreview" topLeftCell="A1" colorId="64" zoomScale="100" zoomScaleNormal="85" zoomScalePageLayoutView="100" workbookViewId="0">
      <selection pane="topLeft" activeCell="A4" activeCellId="0" sqref="A4"/>
    </sheetView>
  </sheetViews>
  <sheetFormatPr defaultColWidth="10.625" defaultRowHeight="14.25" customHeight="true" zeroHeight="false" outlineLevelRow="0" outlineLevelCol="0"/>
  <cols>
    <col collapsed="false" customWidth="true" hidden="false" outlineLevel="0" max="66" min="1" style="1" width="1.25"/>
    <col collapsed="false" customWidth="true" hidden="false" outlineLevel="0" max="67" min="67" style="1" width="46"/>
    <col collapsed="false" customWidth="false" hidden="false" outlineLevel="0" max="16384" min="68" style="1" width="10.62"/>
  </cols>
  <sheetData>
    <row r="1" s="190" customFormat="true" ht="12.75" hidden="false" customHeight="true" outlineLevel="0" collapsed="false">
      <c r="A1" s="186" t="n">
        <v>1</v>
      </c>
      <c r="B1" s="186"/>
      <c r="C1" s="186"/>
      <c r="D1" s="187" t="n">
        <v>2</v>
      </c>
      <c r="E1" s="187"/>
      <c r="F1" s="187"/>
      <c r="G1" s="187"/>
      <c r="H1" s="187" t="n">
        <v>3</v>
      </c>
      <c r="I1" s="187"/>
      <c r="J1" s="187"/>
      <c r="K1" s="187"/>
      <c r="L1" s="187" t="n">
        <v>4</v>
      </c>
      <c r="M1" s="187"/>
      <c r="N1" s="187"/>
      <c r="O1" s="187"/>
      <c r="P1" s="187"/>
      <c r="Q1" s="187"/>
      <c r="R1" s="187"/>
      <c r="S1" s="187"/>
      <c r="T1" s="187"/>
      <c r="U1" s="187"/>
      <c r="V1" s="187"/>
      <c r="W1" s="187"/>
      <c r="X1" s="187"/>
      <c r="Y1" s="187"/>
      <c r="Z1" s="187"/>
      <c r="AA1" s="187"/>
      <c r="AB1" s="187"/>
      <c r="AC1" s="187"/>
      <c r="AD1" s="187"/>
      <c r="AE1" s="187"/>
      <c r="AF1" s="187"/>
      <c r="AG1" s="187"/>
      <c r="AH1" s="187" t="n">
        <v>5</v>
      </c>
      <c r="AI1" s="187"/>
      <c r="AJ1" s="187"/>
      <c r="AK1" s="187"/>
      <c r="AL1" s="187"/>
      <c r="AM1" s="187"/>
      <c r="AN1" s="187"/>
      <c r="AO1" s="187"/>
      <c r="AP1" s="187"/>
      <c r="AQ1" s="187"/>
      <c r="AR1" s="187"/>
      <c r="AS1" s="187"/>
      <c r="AT1" s="187"/>
      <c r="AU1" s="187"/>
      <c r="AV1" s="187"/>
      <c r="AW1" s="187"/>
      <c r="AX1" s="187"/>
      <c r="AY1" s="187"/>
      <c r="AZ1" s="187"/>
      <c r="BA1" s="187"/>
      <c r="BB1" s="187"/>
      <c r="BC1" s="187"/>
      <c r="BD1" s="187"/>
      <c r="BE1" s="188" t="n">
        <v>6</v>
      </c>
      <c r="BF1" s="188"/>
      <c r="BG1" s="188"/>
      <c r="BH1" s="188"/>
      <c r="BI1" s="188"/>
      <c r="BJ1" s="188"/>
      <c r="BK1" s="188"/>
      <c r="BL1" s="188"/>
      <c r="BM1" s="188"/>
      <c r="BN1" s="188"/>
      <c r="BO1" s="189"/>
      <c r="BP1" s="189"/>
      <c r="BQ1" s="189"/>
      <c r="BR1" s="189"/>
      <c r="BS1" s="189"/>
      <c r="BT1" s="189"/>
      <c r="BU1" s="189"/>
      <c r="BV1" s="189"/>
      <c r="BW1" s="189"/>
      <c r="BX1" s="189"/>
      <c r="BY1" s="189"/>
      <c r="BZ1" s="189"/>
      <c r="CA1" s="189"/>
      <c r="CB1" s="189"/>
      <c r="CC1" s="189"/>
      <c r="CD1" s="189"/>
      <c r="CE1" s="189"/>
      <c r="CF1" s="189"/>
      <c r="CG1" s="189"/>
      <c r="CH1" s="189"/>
      <c r="CI1" s="189"/>
      <c r="CJ1" s="189"/>
      <c r="CK1" s="189"/>
      <c r="CL1" s="189"/>
      <c r="CM1" s="189"/>
      <c r="CN1" s="189"/>
      <c r="CO1" s="189"/>
      <c r="CP1" s="189"/>
      <c r="CQ1" s="189"/>
      <c r="CR1" s="189"/>
      <c r="CS1" s="189"/>
      <c r="CT1" s="189"/>
      <c r="CU1" s="189"/>
      <c r="CV1" s="189"/>
      <c r="CW1" s="189"/>
      <c r="CX1" s="189"/>
      <c r="CY1" s="189"/>
      <c r="CZ1" s="189"/>
      <c r="DA1" s="189"/>
      <c r="DB1" s="189"/>
      <c r="DC1" s="189"/>
      <c r="DD1" s="189"/>
      <c r="DE1" s="189"/>
      <c r="DF1" s="189"/>
      <c r="DG1" s="189"/>
      <c r="DH1" s="189"/>
      <c r="DI1" s="189"/>
      <c r="DJ1" s="189"/>
      <c r="DK1" s="189"/>
      <c r="DL1" s="189"/>
      <c r="DM1" s="189"/>
      <c r="DN1" s="189"/>
      <c r="DO1" s="189"/>
      <c r="DP1" s="189"/>
      <c r="DQ1" s="189"/>
      <c r="DR1" s="189"/>
      <c r="DS1" s="189"/>
      <c r="DT1" s="189"/>
      <c r="DU1" s="189"/>
      <c r="DV1" s="189"/>
      <c r="DW1" s="189"/>
      <c r="DX1" s="189"/>
      <c r="DY1" s="189"/>
      <c r="DZ1" s="189"/>
      <c r="EA1" s="189"/>
      <c r="EB1" s="189"/>
      <c r="EC1" s="189"/>
      <c r="ED1" s="189"/>
      <c r="EE1" s="189"/>
      <c r="EF1" s="189"/>
      <c r="EG1" s="189"/>
      <c r="EH1" s="189"/>
      <c r="EI1" s="189"/>
      <c r="EJ1" s="189"/>
      <c r="EK1" s="189"/>
      <c r="EL1" s="189"/>
      <c r="EM1" s="189"/>
      <c r="EN1" s="189"/>
      <c r="EO1" s="189"/>
      <c r="EP1" s="189"/>
      <c r="EQ1" s="189"/>
      <c r="ER1" s="189"/>
      <c r="ES1" s="189"/>
      <c r="ET1" s="189"/>
      <c r="EU1" s="189"/>
      <c r="EV1" s="189"/>
      <c r="EW1" s="189"/>
      <c r="EX1" s="189"/>
      <c r="EY1" s="189"/>
      <c r="EZ1" s="189"/>
      <c r="FA1" s="189"/>
      <c r="FB1" s="189"/>
      <c r="FC1" s="189"/>
      <c r="FD1" s="189"/>
      <c r="FE1" s="189"/>
      <c r="FF1" s="189"/>
      <c r="FG1" s="189"/>
      <c r="FH1" s="189"/>
      <c r="FI1" s="189"/>
      <c r="FJ1" s="189"/>
      <c r="FK1" s="189"/>
      <c r="FL1" s="189"/>
      <c r="FM1" s="189"/>
      <c r="FN1" s="189"/>
      <c r="FO1" s="189"/>
      <c r="FP1" s="189"/>
      <c r="FQ1" s="189"/>
      <c r="FR1" s="189"/>
      <c r="FS1" s="189"/>
      <c r="FT1" s="189"/>
      <c r="FU1" s="189"/>
      <c r="FV1" s="189"/>
      <c r="FW1" s="189"/>
      <c r="FX1" s="189"/>
      <c r="FY1" s="189"/>
      <c r="FZ1" s="189"/>
      <c r="GA1" s="189"/>
      <c r="GB1" s="189"/>
      <c r="GC1" s="189"/>
      <c r="GD1" s="189"/>
      <c r="GE1" s="189"/>
      <c r="GF1" s="189"/>
      <c r="GG1" s="189"/>
      <c r="GH1" s="189"/>
      <c r="GI1" s="189"/>
      <c r="GJ1" s="189"/>
      <c r="GK1" s="189"/>
      <c r="GL1" s="189"/>
      <c r="GM1" s="189"/>
      <c r="GN1" s="189"/>
      <c r="GO1" s="189"/>
      <c r="GP1" s="189"/>
      <c r="GQ1" s="189"/>
      <c r="GR1" s="189"/>
      <c r="GS1" s="189"/>
      <c r="GT1" s="189"/>
      <c r="GU1" s="189"/>
      <c r="GV1" s="189"/>
      <c r="GW1" s="189"/>
      <c r="GX1" s="189"/>
      <c r="GY1" s="189"/>
      <c r="GZ1" s="189"/>
      <c r="HA1" s="189"/>
      <c r="HB1" s="189"/>
      <c r="HC1" s="189"/>
      <c r="HD1" s="189"/>
      <c r="HE1" s="189"/>
      <c r="HF1" s="189"/>
      <c r="HG1" s="189"/>
      <c r="HH1" s="189"/>
      <c r="HI1" s="189"/>
      <c r="HJ1" s="189"/>
      <c r="HK1" s="189"/>
      <c r="HL1" s="189"/>
      <c r="HM1" s="189"/>
      <c r="HN1" s="189"/>
      <c r="HO1" s="189"/>
      <c r="HP1" s="189"/>
      <c r="HQ1" s="189"/>
      <c r="HR1" s="189"/>
      <c r="HS1" s="189"/>
      <c r="HT1" s="189"/>
      <c r="HU1" s="189"/>
      <c r="HV1" s="189"/>
      <c r="HW1" s="189"/>
      <c r="HX1" s="189"/>
      <c r="HY1" s="189"/>
      <c r="HZ1" s="189"/>
      <c r="IA1" s="189"/>
      <c r="IB1" s="189"/>
      <c r="IC1" s="189"/>
      <c r="ID1" s="189"/>
      <c r="IE1" s="189"/>
      <c r="IF1" s="189"/>
      <c r="IG1" s="189"/>
      <c r="IH1" s="189"/>
      <c r="II1" s="189"/>
      <c r="IJ1" s="189"/>
      <c r="IK1" s="189"/>
      <c r="IL1" s="189"/>
      <c r="IM1" s="189"/>
      <c r="IN1" s="189"/>
      <c r="IO1" s="189"/>
      <c r="IP1" s="189"/>
      <c r="IQ1" s="189"/>
      <c r="IR1" s="189"/>
      <c r="IS1" s="189"/>
      <c r="IT1" s="189"/>
      <c r="IU1" s="189"/>
      <c r="IV1" s="189"/>
    </row>
    <row r="2" s="190" customFormat="true" ht="12.75" hidden="false" customHeight="true" outlineLevel="0" collapsed="false">
      <c r="A2" s="191" t="str">
        <f aca="false">Eingabe!A7</f>
        <v>Lfd. 
Nr.</v>
      </c>
      <c r="B2" s="191"/>
      <c r="C2" s="191"/>
      <c r="D2" s="147" t="str">
        <f aca="false">Eingabe!B7</f>
        <v>Stück-
zahl</v>
      </c>
      <c r="E2" s="147"/>
      <c r="F2" s="147"/>
      <c r="G2" s="147"/>
      <c r="H2" s="147" t="str">
        <f aca="false">Eingabe!C7</f>
        <v>Ein-
heit</v>
      </c>
      <c r="I2" s="147"/>
      <c r="J2" s="147"/>
      <c r="K2" s="147"/>
      <c r="L2" s="148" t="str">
        <f aca="false">Eingabe!D7</f>
        <v>Benennung</v>
      </c>
      <c r="M2" s="148"/>
      <c r="N2" s="148"/>
      <c r="O2" s="148"/>
      <c r="P2" s="148"/>
      <c r="Q2" s="148"/>
      <c r="R2" s="148"/>
      <c r="S2" s="148"/>
      <c r="T2" s="148"/>
      <c r="U2" s="148"/>
      <c r="V2" s="148"/>
      <c r="W2" s="148"/>
      <c r="X2" s="148"/>
      <c r="Y2" s="148"/>
      <c r="Z2" s="148"/>
      <c r="AA2" s="148"/>
      <c r="AB2" s="148"/>
      <c r="AC2" s="148"/>
      <c r="AD2" s="148"/>
      <c r="AE2" s="148"/>
      <c r="AF2" s="148"/>
      <c r="AG2" s="148"/>
      <c r="AH2" s="148" t="str">
        <f aca="false">Eingabe!F7&amp;" / "&amp;Eingabe!G7</f>
        <v>Lieferant / Bestellnummer</v>
      </c>
      <c r="AI2" s="148"/>
      <c r="AJ2" s="148"/>
      <c r="AK2" s="148"/>
      <c r="AL2" s="148"/>
      <c r="AM2" s="148"/>
      <c r="AN2" s="148"/>
      <c r="AO2" s="148"/>
      <c r="AP2" s="148"/>
      <c r="AQ2" s="148"/>
      <c r="AR2" s="148"/>
      <c r="AS2" s="148"/>
      <c r="AT2" s="148"/>
      <c r="AU2" s="148"/>
      <c r="AV2" s="148"/>
      <c r="AW2" s="148"/>
      <c r="AX2" s="148"/>
      <c r="AY2" s="148"/>
      <c r="AZ2" s="148"/>
      <c r="BA2" s="148"/>
      <c r="BB2" s="148"/>
      <c r="BC2" s="148"/>
      <c r="BD2" s="148"/>
      <c r="BE2" s="192" t="s">
        <v>104</v>
      </c>
      <c r="BF2" s="192"/>
      <c r="BG2" s="192"/>
      <c r="BH2" s="192"/>
      <c r="BI2" s="192"/>
      <c r="BJ2" s="192"/>
      <c r="BK2" s="192"/>
      <c r="BL2" s="192"/>
      <c r="BM2" s="192"/>
      <c r="BN2" s="192"/>
      <c r="BO2" s="189"/>
      <c r="BP2" s="189"/>
      <c r="BQ2" s="189"/>
      <c r="BR2" s="189"/>
      <c r="BS2" s="189"/>
      <c r="BT2" s="189"/>
      <c r="BU2" s="189"/>
      <c r="BV2" s="189"/>
      <c r="BW2" s="189"/>
      <c r="BX2" s="189"/>
      <c r="BY2" s="189"/>
      <c r="BZ2" s="189"/>
      <c r="CA2" s="189"/>
      <c r="CB2" s="189"/>
      <c r="CC2" s="189"/>
      <c r="CD2" s="189"/>
      <c r="CE2" s="189"/>
      <c r="CF2" s="189"/>
      <c r="CG2" s="189"/>
      <c r="CH2" s="189"/>
      <c r="CI2" s="189"/>
      <c r="CJ2" s="189"/>
      <c r="CK2" s="189"/>
      <c r="CL2" s="189"/>
      <c r="CM2" s="189"/>
      <c r="CN2" s="189"/>
      <c r="CO2" s="189"/>
      <c r="CP2" s="189"/>
      <c r="CQ2" s="189"/>
      <c r="CR2" s="189"/>
      <c r="CS2" s="189"/>
      <c r="CT2" s="189"/>
      <c r="CU2" s="189"/>
      <c r="CV2" s="189"/>
      <c r="CW2" s="189"/>
      <c r="CX2" s="189"/>
      <c r="CY2" s="189"/>
      <c r="CZ2" s="189"/>
      <c r="DA2" s="189"/>
      <c r="DB2" s="189"/>
      <c r="DC2" s="189"/>
      <c r="DD2" s="189"/>
      <c r="DE2" s="189"/>
      <c r="DF2" s="189"/>
      <c r="DG2" s="189"/>
      <c r="DH2" s="189"/>
      <c r="DI2" s="189"/>
      <c r="DJ2" s="189"/>
      <c r="DK2" s="189"/>
      <c r="DL2" s="189"/>
      <c r="DM2" s="189"/>
      <c r="DN2" s="189"/>
      <c r="DO2" s="189"/>
      <c r="DP2" s="189"/>
      <c r="DQ2" s="189"/>
      <c r="DR2" s="189"/>
      <c r="DS2" s="189"/>
      <c r="DT2" s="189"/>
      <c r="DU2" s="189"/>
      <c r="DV2" s="189"/>
      <c r="DW2" s="189"/>
      <c r="DX2" s="189"/>
      <c r="DY2" s="189"/>
      <c r="DZ2" s="189"/>
      <c r="EA2" s="189"/>
      <c r="EB2" s="189"/>
      <c r="EC2" s="189"/>
      <c r="ED2" s="189"/>
      <c r="EE2" s="189"/>
      <c r="EF2" s="189"/>
      <c r="EG2" s="189"/>
      <c r="EH2" s="189"/>
      <c r="EI2" s="189"/>
      <c r="EJ2" s="189"/>
      <c r="EK2" s="189"/>
      <c r="EL2" s="189"/>
      <c r="EM2" s="189"/>
      <c r="EN2" s="189"/>
      <c r="EO2" s="189"/>
      <c r="EP2" s="189"/>
      <c r="EQ2" s="189"/>
      <c r="ER2" s="189"/>
      <c r="ES2" s="189"/>
      <c r="ET2" s="189"/>
      <c r="EU2" s="189"/>
      <c r="EV2" s="189"/>
      <c r="EW2" s="189"/>
      <c r="EX2" s="189"/>
      <c r="EY2" s="189"/>
      <c r="EZ2" s="189"/>
      <c r="FA2" s="189"/>
      <c r="FB2" s="189"/>
      <c r="FC2" s="189"/>
      <c r="FD2" s="189"/>
      <c r="FE2" s="189"/>
      <c r="FF2" s="189"/>
      <c r="FG2" s="189"/>
      <c r="FH2" s="189"/>
      <c r="FI2" s="189"/>
      <c r="FJ2" s="189"/>
      <c r="FK2" s="189"/>
      <c r="FL2" s="189"/>
      <c r="FM2" s="189"/>
      <c r="FN2" s="189"/>
      <c r="FO2" s="189"/>
      <c r="FP2" s="189"/>
      <c r="FQ2" s="189"/>
      <c r="FR2" s="189"/>
      <c r="FS2" s="189"/>
      <c r="FT2" s="189"/>
      <c r="FU2" s="189"/>
      <c r="FV2" s="189"/>
      <c r="FW2" s="189"/>
      <c r="FX2" s="189"/>
      <c r="FY2" s="189"/>
      <c r="FZ2" s="189"/>
      <c r="GA2" s="189"/>
      <c r="GB2" s="189"/>
      <c r="GC2" s="189"/>
      <c r="GD2" s="189"/>
      <c r="GE2" s="189"/>
      <c r="GF2" s="189"/>
      <c r="GG2" s="189"/>
      <c r="GH2" s="189"/>
      <c r="GI2" s="189"/>
      <c r="GJ2" s="189"/>
      <c r="GK2" s="189"/>
      <c r="GL2" s="189"/>
      <c r="GM2" s="189"/>
      <c r="GN2" s="189"/>
      <c r="GO2" s="189"/>
      <c r="GP2" s="189"/>
      <c r="GQ2" s="189"/>
      <c r="GR2" s="189"/>
      <c r="GS2" s="189"/>
      <c r="GT2" s="189"/>
      <c r="GU2" s="189"/>
      <c r="GV2" s="189"/>
      <c r="GW2" s="189"/>
      <c r="GX2" s="189"/>
      <c r="GY2" s="189"/>
      <c r="GZ2" s="189"/>
      <c r="HA2" s="189"/>
      <c r="HB2" s="189"/>
      <c r="HC2" s="189"/>
      <c r="HD2" s="189"/>
      <c r="HE2" s="189"/>
      <c r="HF2" s="189"/>
      <c r="HG2" s="189"/>
      <c r="HH2" s="189"/>
      <c r="HI2" s="189"/>
      <c r="HJ2" s="189"/>
      <c r="HK2" s="189"/>
      <c r="HL2" s="189"/>
      <c r="HM2" s="189"/>
      <c r="HN2" s="189"/>
      <c r="HO2" s="189"/>
      <c r="HP2" s="189"/>
      <c r="HQ2" s="189"/>
      <c r="HR2" s="189"/>
      <c r="HS2" s="189"/>
      <c r="HT2" s="189"/>
      <c r="HU2" s="189"/>
      <c r="HV2" s="189"/>
      <c r="HW2" s="189"/>
      <c r="HX2" s="189"/>
      <c r="HY2" s="189"/>
      <c r="HZ2" s="189"/>
      <c r="IA2" s="189"/>
      <c r="IB2" s="189"/>
      <c r="IC2" s="189"/>
      <c r="ID2" s="189"/>
      <c r="IE2" s="189"/>
      <c r="IF2" s="189"/>
      <c r="IG2" s="189"/>
      <c r="IH2" s="189"/>
      <c r="II2" s="189"/>
      <c r="IJ2" s="189"/>
      <c r="IK2" s="189"/>
      <c r="IL2" s="189"/>
      <c r="IM2" s="189"/>
      <c r="IN2" s="189"/>
      <c r="IO2" s="189"/>
      <c r="IP2" s="189"/>
      <c r="IQ2" s="189"/>
      <c r="IR2" s="189"/>
      <c r="IS2" s="189"/>
      <c r="IT2" s="189"/>
      <c r="IU2" s="189"/>
      <c r="IV2" s="189"/>
    </row>
    <row r="3" s="190" customFormat="true" ht="12.75" hidden="false" customHeight="true" outlineLevel="0" collapsed="false">
      <c r="A3" s="191"/>
      <c r="B3" s="191"/>
      <c r="C3" s="191"/>
      <c r="D3" s="147"/>
      <c r="E3" s="147"/>
      <c r="F3" s="147"/>
      <c r="G3" s="147"/>
      <c r="H3" s="147"/>
      <c r="I3" s="147"/>
      <c r="J3" s="147"/>
      <c r="K3" s="147"/>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93" t="s">
        <v>105</v>
      </c>
      <c r="BF3" s="193"/>
      <c r="BG3" s="193"/>
      <c r="BH3" s="193"/>
      <c r="BI3" s="193"/>
      <c r="BJ3" s="194" t="s">
        <v>106</v>
      </c>
      <c r="BK3" s="194"/>
      <c r="BL3" s="194"/>
      <c r="BM3" s="194"/>
      <c r="BN3" s="194"/>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c r="CY3" s="189"/>
      <c r="CZ3" s="189"/>
      <c r="DA3" s="189"/>
      <c r="DB3" s="189"/>
      <c r="DC3" s="189"/>
      <c r="DD3" s="189"/>
      <c r="DE3" s="189"/>
      <c r="DF3" s="189"/>
      <c r="DG3" s="189"/>
      <c r="DH3" s="189"/>
      <c r="DI3" s="189"/>
      <c r="DJ3" s="189"/>
      <c r="DK3" s="189"/>
      <c r="DL3" s="189"/>
      <c r="DM3" s="189"/>
      <c r="DN3" s="189"/>
      <c r="DO3" s="189"/>
      <c r="DP3" s="189"/>
      <c r="DQ3" s="189"/>
      <c r="DR3" s="189"/>
      <c r="DS3" s="189"/>
      <c r="DT3" s="189"/>
      <c r="DU3" s="189"/>
      <c r="DV3" s="189"/>
      <c r="DW3" s="189"/>
      <c r="DX3" s="189"/>
      <c r="DY3" s="189"/>
      <c r="DZ3" s="189"/>
      <c r="EA3" s="189"/>
      <c r="EB3" s="189"/>
      <c r="EC3" s="189"/>
      <c r="ED3" s="189"/>
      <c r="EE3" s="189"/>
      <c r="EF3" s="189"/>
      <c r="EG3" s="189"/>
      <c r="EH3" s="189"/>
      <c r="EI3" s="189"/>
      <c r="EJ3" s="189"/>
      <c r="EK3" s="189"/>
      <c r="EL3" s="189"/>
      <c r="EM3" s="189"/>
      <c r="EN3" s="189"/>
      <c r="EO3" s="189"/>
      <c r="EP3" s="189"/>
      <c r="EQ3" s="189"/>
      <c r="ER3" s="189"/>
      <c r="ES3" s="189"/>
      <c r="ET3" s="189"/>
      <c r="EU3" s="189"/>
      <c r="EV3" s="189"/>
      <c r="EW3" s="189"/>
      <c r="EX3" s="189"/>
      <c r="EY3" s="189"/>
      <c r="EZ3" s="189"/>
      <c r="FA3" s="189"/>
      <c r="FB3" s="189"/>
      <c r="FC3" s="189"/>
      <c r="FD3" s="189"/>
      <c r="FE3" s="189"/>
      <c r="FF3" s="189"/>
      <c r="FG3" s="189"/>
      <c r="FH3" s="189"/>
      <c r="FI3" s="189"/>
      <c r="FJ3" s="189"/>
      <c r="FK3" s="189"/>
      <c r="FL3" s="189"/>
      <c r="FM3" s="189"/>
      <c r="FN3" s="189"/>
      <c r="FO3" s="189"/>
      <c r="FP3" s="189"/>
      <c r="FQ3" s="189"/>
      <c r="FR3" s="189"/>
      <c r="FS3" s="189"/>
      <c r="FT3" s="189"/>
      <c r="FU3" s="189"/>
      <c r="FV3" s="189"/>
      <c r="FW3" s="189"/>
      <c r="FX3" s="189"/>
      <c r="FY3" s="189"/>
      <c r="FZ3" s="189"/>
      <c r="GA3" s="189"/>
      <c r="GB3" s="189"/>
      <c r="GC3" s="189"/>
      <c r="GD3" s="189"/>
      <c r="GE3" s="189"/>
      <c r="GF3" s="189"/>
      <c r="GG3" s="189"/>
      <c r="GH3" s="189"/>
      <c r="GI3" s="189"/>
      <c r="GJ3" s="189"/>
      <c r="GK3" s="189"/>
      <c r="GL3" s="189"/>
      <c r="GM3" s="189"/>
      <c r="GN3" s="189"/>
      <c r="GO3" s="189"/>
      <c r="GP3" s="189"/>
      <c r="GQ3" s="189"/>
      <c r="GR3" s="189"/>
      <c r="GS3" s="189"/>
      <c r="GT3" s="189"/>
      <c r="GU3" s="189"/>
      <c r="GV3" s="189"/>
      <c r="GW3" s="189"/>
      <c r="GX3" s="189"/>
      <c r="GY3" s="189"/>
      <c r="GZ3" s="189"/>
      <c r="HA3" s="189"/>
      <c r="HB3" s="189"/>
      <c r="HC3" s="189"/>
      <c r="HD3" s="189"/>
      <c r="HE3" s="189"/>
      <c r="HF3" s="189"/>
      <c r="HG3" s="189"/>
      <c r="HH3" s="189"/>
      <c r="HI3" s="189"/>
      <c r="HJ3" s="189"/>
      <c r="HK3" s="189"/>
      <c r="HL3" s="189"/>
      <c r="HM3" s="189"/>
      <c r="HN3" s="189"/>
      <c r="HO3" s="189"/>
      <c r="HP3" s="189"/>
      <c r="HQ3" s="189"/>
      <c r="HR3" s="189"/>
      <c r="HS3" s="189"/>
      <c r="HT3" s="189"/>
      <c r="HU3" s="189"/>
      <c r="HV3" s="189"/>
      <c r="HW3" s="189"/>
      <c r="HX3" s="189"/>
      <c r="HY3" s="189"/>
      <c r="HZ3" s="189"/>
      <c r="IA3" s="189"/>
      <c r="IB3" s="189"/>
      <c r="IC3" s="189"/>
      <c r="ID3" s="189"/>
      <c r="IE3" s="189"/>
      <c r="IF3" s="189"/>
      <c r="IG3" s="189"/>
      <c r="IH3" s="189"/>
      <c r="II3" s="189"/>
      <c r="IJ3" s="189"/>
      <c r="IK3" s="189"/>
      <c r="IL3" s="189"/>
      <c r="IM3" s="189"/>
      <c r="IN3" s="189"/>
      <c r="IO3" s="189"/>
      <c r="IP3" s="189"/>
      <c r="IQ3" s="189"/>
      <c r="IR3" s="189"/>
      <c r="IS3" s="189"/>
      <c r="IT3" s="189"/>
      <c r="IU3" s="189"/>
      <c r="IV3" s="189"/>
    </row>
    <row r="4" s="199" customFormat="true" ht="12.75" hidden="false" customHeight="true" outlineLevel="0" collapsed="false">
      <c r="A4" s="150" t="str">
        <f aca="false">IF(Eingabe!A53="","",Eingabe!A53)</f>
        <v/>
      </c>
      <c r="B4" s="150"/>
      <c r="C4" s="150"/>
      <c r="D4" s="151" t="str">
        <f aca="false">IF(Eingabe!B53="","",Eingabe!B53)</f>
        <v/>
      </c>
      <c r="E4" s="151"/>
      <c r="F4" s="151"/>
      <c r="G4" s="151"/>
      <c r="H4" s="152" t="str">
        <f aca="false">IF(Eingabe!C53="","",Eingabe!C53)</f>
        <v/>
      </c>
      <c r="I4" s="152"/>
      <c r="J4" s="152"/>
      <c r="K4" s="152"/>
      <c r="L4" s="153" t="str">
        <f aca="false">IF(Eingabe!D53="","",Eingabe!D53)</f>
        <v/>
      </c>
      <c r="M4" s="153"/>
      <c r="N4" s="153"/>
      <c r="O4" s="153"/>
      <c r="P4" s="153"/>
      <c r="Q4" s="153"/>
      <c r="R4" s="153"/>
      <c r="S4" s="153"/>
      <c r="T4" s="153"/>
      <c r="U4" s="153"/>
      <c r="V4" s="153"/>
      <c r="W4" s="153"/>
      <c r="X4" s="153"/>
      <c r="Y4" s="153"/>
      <c r="Z4" s="153"/>
      <c r="AA4" s="153"/>
      <c r="AB4" s="153"/>
      <c r="AC4" s="153"/>
      <c r="AD4" s="153"/>
      <c r="AE4" s="153"/>
      <c r="AF4" s="153"/>
      <c r="AG4" s="153"/>
      <c r="AH4" s="195" t="str">
        <f aca="false">IF(Eingabe!F53&amp;Eingabe!G53="","",Eingabe!F53&amp;"  /  "&amp;Eingabe!G53)</f>
        <v/>
      </c>
      <c r="AI4" s="195"/>
      <c r="AJ4" s="195"/>
      <c r="AK4" s="195"/>
      <c r="AL4" s="195"/>
      <c r="AM4" s="195"/>
      <c r="AN4" s="195"/>
      <c r="AO4" s="195"/>
      <c r="AP4" s="195"/>
      <c r="AQ4" s="195"/>
      <c r="AR4" s="195"/>
      <c r="AS4" s="195"/>
      <c r="AT4" s="195"/>
      <c r="AU4" s="195"/>
      <c r="AV4" s="195"/>
      <c r="AW4" s="195"/>
      <c r="AX4" s="195"/>
      <c r="AY4" s="195"/>
      <c r="AZ4" s="195"/>
      <c r="BA4" s="195"/>
      <c r="BB4" s="195"/>
      <c r="BC4" s="195"/>
      <c r="BD4" s="195"/>
      <c r="BE4" s="196" t="str">
        <f aca="false">IF(Eingabe!I53="","",Eingabe!I53)</f>
        <v/>
      </c>
      <c r="BF4" s="196"/>
      <c r="BG4" s="196"/>
      <c r="BH4" s="196"/>
      <c r="BI4" s="196"/>
      <c r="BJ4" s="197" t="str">
        <f aca="false">IF(Eingabe!I53="","",Eingabe!I53*Eingabe!B53)</f>
        <v/>
      </c>
      <c r="BK4" s="197"/>
      <c r="BL4" s="197"/>
      <c r="BM4" s="197"/>
      <c r="BN4" s="197"/>
      <c r="BO4" s="198"/>
      <c r="BP4" s="198"/>
      <c r="BQ4" s="198"/>
      <c r="BR4" s="198"/>
      <c r="BS4" s="198"/>
      <c r="BT4" s="198"/>
      <c r="BU4" s="198"/>
      <c r="BV4" s="198"/>
      <c r="BW4" s="198"/>
      <c r="BX4" s="198"/>
      <c r="BY4" s="198"/>
      <c r="BZ4" s="198"/>
      <c r="CA4" s="198"/>
      <c r="CB4" s="198"/>
      <c r="CC4" s="198"/>
      <c r="CD4" s="198"/>
      <c r="CE4" s="198"/>
      <c r="CF4" s="198"/>
      <c r="CG4" s="198"/>
      <c r="CH4" s="198"/>
      <c r="CI4" s="198"/>
      <c r="CJ4" s="198"/>
      <c r="CK4" s="198"/>
      <c r="CL4" s="198"/>
      <c r="CM4" s="198"/>
      <c r="CN4" s="198"/>
      <c r="CO4" s="198"/>
      <c r="CP4" s="198"/>
      <c r="CQ4" s="198"/>
      <c r="CR4" s="198"/>
      <c r="CS4" s="198"/>
      <c r="CT4" s="198"/>
      <c r="CU4" s="198"/>
      <c r="CV4" s="198"/>
      <c r="CW4" s="198"/>
      <c r="CX4" s="198"/>
      <c r="CY4" s="198"/>
      <c r="CZ4" s="198"/>
      <c r="DA4" s="198"/>
      <c r="DB4" s="198"/>
      <c r="DC4" s="198"/>
      <c r="DD4" s="198"/>
      <c r="DE4" s="198"/>
      <c r="DF4" s="198"/>
      <c r="DG4" s="198"/>
      <c r="DH4" s="198"/>
      <c r="DI4" s="198"/>
      <c r="DJ4" s="198"/>
      <c r="DK4" s="198"/>
      <c r="DL4" s="198"/>
      <c r="DM4" s="198"/>
      <c r="DN4" s="198"/>
      <c r="DO4" s="198"/>
      <c r="DP4" s="198"/>
      <c r="DQ4" s="198"/>
      <c r="DR4" s="198"/>
      <c r="DS4" s="198"/>
      <c r="DT4" s="198"/>
      <c r="DU4" s="198"/>
      <c r="DV4" s="198"/>
      <c r="DW4" s="198"/>
      <c r="DX4" s="198"/>
      <c r="DY4" s="198"/>
      <c r="DZ4" s="198"/>
      <c r="EA4" s="198"/>
      <c r="EB4" s="198"/>
      <c r="EC4" s="198"/>
      <c r="ED4" s="198"/>
      <c r="EE4" s="198"/>
      <c r="EF4" s="198"/>
      <c r="EG4" s="198"/>
      <c r="EH4" s="198"/>
      <c r="EI4" s="198"/>
      <c r="EJ4" s="198"/>
      <c r="EK4" s="198"/>
      <c r="EL4" s="198"/>
      <c r="EM4" s="198"/>
      <c r="EN4" s="198"/>
      <c r="EO4" s="198"/>
      <c r="EP4" s="198"/>
      <c r="EQ4" s="198"/>
      <c r="ER4" s="198"/>
      <c r="ES4" s="198"/>
      <c r="ET4" s="198"/>
      <c r="EU4" s="198"/>
      <c r="EV4" s="198"/>
      <c r="EW4" s="198"/>
      <c r="EX4" s="198"/>
      <c r="EY4" s="198"/>
      <c r="EZ4" s="198"/>
      <c r="FA4" s="198"/>
      <c r="FB4" s="198"/>
      <c r="FC4" s="198"/>
      <c r="FD4" s="198"/>
      <c r="FE4" s="198"/>
      <c r="FF4" s="198"/>
      <c r="FG4" s="198"/>
      <c r="FH4" s="198"/>
      <c r="FI4" s="198"/>
      <c r="FJ4" s="198"/>
      <c r="FK4" s="198"/>
      <c r="FL4" s="198"/>
      <c r="FM4" s="198"/>
      <c r="FN4" s="198"/>
      <c r="FO4" s="198"/>
      <c r="FP4" s="198"/>
      <c r="FQ4" s="198"/>
      <c r="FR4" s="198"/>
      <c r="FS4" s="198"/>
      <c r="FT4" s="198"/>
      <c r="FU4" s="198"/>
      <c r="FV4" s="198"/>
      <c r="FW4" s="198"/>
      <c r="FX4" s="198"/>
      <c r="FY4" s="198"/>
      <c r="FZ4" s="198"/>
      <c r="GA4" s="198"/>
      <c r="GB4" s="198"/>
      <c r="GC4" s="198"/>
      <c r="GD4" s="198"/>
      <c r="GE4" s="198"/>
      <c r="GF4" s="198"/>
      <c r="GG4" s="198"/>
      <c r="GH4" s="198"/>
      <c r="GI4" s="198"/>
      <c r="GJ4" s="198"/>
      <c r="GK4" s="198"/>
      <c r="GL4" s="198"/>
      <c r="GM4" s="198"/>
      <c r="GN4" s="198"/>
      <c r="GO4" s="198"/>
      <c r="GP4" s="198"/>
      <c r="GQ4" s="198"/>
      <c r="GR4" s="198"/>
      <c r="GS4" s="198"/>
      <c r="GT4" s="198"/>
      <c r="GU4" s="198"/>
      <c r="GV4" s="198"/>
      <c r="GW4" s="198"/>
      <c r="GX4" s="198"/>
      <c r="GY4" s="198"/>
      <c r="GZ4" s="198"/>
      <c r="HA4" s="198"/>
      <c r="HB4" s="198"/>
      <c r="HC4" s="198"/>
      <c r="HD4" s="198"/>
      <c r="HE4" s="198"/>
      <c r="HF4" s="198"/>
      <c r="HG4" s="198"/>
      <c r="HH4" s="198"/>
      <c r="HI4" s="198"/>
      <c r="HJ4" s="198"/>
      <c r="HK4" s="198"/>
      <c r="HL4" s="198"/>
      <c r="HM4" s="198"/>
      <c r="HN4" s="198"/>
      <c r="HO4" s="198"/>
      <c r="HP4" s="198"/>
      <c r="HQ4" s="198"/>
      <c r="HR4" s="198"/>
      <c r="HS4" s="198"/>
      <c r="HT4" s="198"/>
      <c r="HU4" s="198"/>
      <c r="HV4" s="198"/>
      <c r="HW4" s="198"/>
      <c r="HX4" s="198"/>
      <c r="HY4" s="198"/>
      <c r="HZ4" s="198"/>
      <c r="IA4" s="198"/>
      <c r="IB4" s="198"/>
      <c r="IC4" s="198"/>
      <c r="ID4" s="198"/>
      <c r="IE4" s="198"/>
      <c r="IF4" s="198"/>
      <c r="IG4" s="198"/>
      <c r="IH4" s="198"/>
      <c r="II4" s="198"/>
      <c r="IJ4" s="198"/>
      <c r="IK4" s="198"/>
      <c r="IL4" s="198"/>
      <c r="IM4" s="198"/>
      <c r="IN4" s="198"/>
      <c r="IO4" s="198"/>
      <c r="IP4" s="198"/>
      <c r="IQ4" s="198"/>
      <c r="IR4" s="198"/>
      <c r="IS4" s="198"/>
      <c r="IT4" s="198"/>
      <c r="IU4" s="198"/>
      <c r="IV4" s="198"/>
    </row>
    <row r="5" s="199" customFormat="true" ht="12.75" hidden="false" customHeight="true" outlineLevel="0" collapsed="false">
      <c r="A5" s="157" t="str">
        <f aca="false">IF(Eingabe!A54="","",Eingabe!A54)</f>
        <v/>
      </c>
      <c r="B5" s="157"/>
      <c r="C5" s="157"/>
      <c r="D5" s="158" t="str">
        <f aca="false">IF(Eingabe!B54="","",Eingabe!B54)</f>
        <v/>
      </c>
      <c r="E5" s="158"/>
      <c r="F5" s="158"/>
      <c r="G5" s="158"/>
      <c r="H5" s="159" t="str">
        <f aca="false">IF(Eingabe!C54="","",Eingabe!C54)</f>
        <v/>
      </c>
      <c r="I5" s="159"/>
      <c r="J5" s="159"/>
      <c r="K5" s="159"/>
      <c r="L5" s="160" t="str">
        <f aca="false">IF(Eingabe!D54="","",Eingabe!D54)</f>
        <v/>
      </c>
      <c r="M5" s="160"/>
      <c r="N5" s="160"/>
      <c r="O5" s="160"/>
      <c r="P5" s="160"/>
      <c r="Q5" s="160"/>
      <c r="R5" s="160"/>
      <c r="S5" s="160"/>
      <c r="T5" s="160"/>
      <c r="U5" s="160"/>
      <c r="V5" s="160"/>
      <c r="W5" s="160"/>
      <c r="X5" s="160"/>
      <c r="Y5" s="160"/>
      <c r="Z5" s="160"/>
      <c r="AA5" s="160"/>
      <c r="AB5" s="160"/>
      <c r="AC5" s="160"/>
      <c r="AD5" s="160"/>
      <c r="AE5" s="160"/>
      <c r="AF5" s="160"/>
      <c r="AG5" s="160"/>
      <c r="AH5" s="200" t="str">
        <f aca="false">IF(Eingabe!F54&amp;Eingabe!G54="","",Eingabe!F54&amp;"  /  "&amp;Eingabe!G54)</f>
        <v/>
      </c>
      <c r="AI5" s="200"/>
      <c r="AJ5" s="200"/>
      <c r="AK5" s="200"/>
      <c r="AL5" s="200"/>
      <c r="AM5" s="200"/>
      <c r="AN5" s="200"/>
      <c r="AO5" s="200"/>
      <c r="AP5" s="200"/>
      <c r="AQ5" s="200"/>
      <c r="AR5" s="200"/>
      <c r="AS5" s="200"/>
      <c r="AT5" s="200"/>
      <c r="AU5" s="200"/>
      <c r="AV5" s="200"/>
      <c r="AW5" s="200"/>
      <c r="AX5" s="200"/>
      <c r="AY5" s="200"/>
      <c r="AZ5" s="200"/>
      <c r="BA5" s="200"/>
      <c r="BB5" s="200"/>
      <c r="BC5" s="200"/>
      <c r="BD5" s="200"/>
      <c r="BE5" s="201" t="str">
        <f aca="false">IF(Eingabe!I54="","",Eingabe!I54)</f>
        <v/>
      </c>
      <c r="BF5" s="201"/>
      <c r="BG5" s="201"/>
      <c r="BH5" s="201"/>
      <c r="BI5" s="201"/>
      <c r="BJ5" s="202" t="str">
        <f aca="false">IF(Eingabe!I54="","",Eingabe!I54*Eingabe!B54)</f>
        <v/>
      </c>
      <c r="BK5" s="202"/>
      <c r="BL5" s="202"/>
      <c r="BM5" s="202"/>
      <c r="BN5" s="202"/>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row>
    <row r="6" s="199" customFormat="true" ht="12.75" hidden="false" customHeight="true" outlineLevel="0" collapsed="false">
      <c r="A6" s="157" t="str">
        <f aca="false">IF(Eingabe!A55="","",Eingabe!A55)</f>
        <v/>
      </c>
      <c r="B6" s="157"/>
      <c r="C6" s="157"/>
      <c r="D6" s="158" t="str">
        <f aca="false">IF(Eingabe!B55="","",Eingabe!B55)</f>
        <v/>
      </c>
      <c r="E6" s="158"/>
      <c r="F6" s="158"/>
      <c r="G6" s="158"/>
      <c r="H6" s="159" t="str">
        <f aca="false">IF(Eingabe!C55="","",Eingabe!C55)</f>
        <v/>
      </c>
      <c r="I6" s="159"/>
      <c r="J6" s="159"/>
      <c r="K6" s="159"/>
      <c r="L6" s="160" t="str">
        <f aca="false">IF(Eingabe!D55="","",Eingabe!D55)</f>
        <v/>
      </c>
      <c r="M6" s="160"/>
      <c r="N6" s="160"/>
      <c r="O6" s="160"/>
      <c r="P6" s="160"/>
      <c r="Q6" s="160"/>
      <c r="R6" s="160"/>
      <c r="S6" s="160"/>
      <c r="T6" s="160"/>
      <c r="U6" s="160"/>
      <c r="V6" s="160"/>
      <c r="W6" s="160"/>
      <c r="X6" s="160"/>
      <c r="Y6" s="160"/>
      <c r="Z6" s="160"/>
      <c r="AA6" s="160"/>
      <c r="AB6" s="160"/>
      <c r="AC6" s="160"/>
      <c r="AD6" s="160"/>
      <c r="AE6" s="160"/>
      <c r="AF6" s="160"/>
      <c r="AG6" s="160"/>
      <c r="AH6" s="200" t="str">
        <f aca="false">IF(Eingabe!F55&amp;Eingabe!G55="","",Eingabe!F55&amp;"  /  "&amp;Eingabe!G55)</f>
        <v/>
      </c>
      <c r="AI6" s="200"/>
      <c r="AJ6" s="200"/>
      <c r="AK6" s="200"/>
      <c r="AL6" s="200"/>
      <c r="AM6" s="200"/>
      <c r="AN6" s="200"/>
      <c r="AO6" s="200"/>
      <c r="AP6" s="200"/>
      <c r="AQ6" s="200"/>
      <c r="AR6" s="200"/>
      <c r="AS6" s="200"/>
      <c r="AT6" s="200"/>
      <c r="AU6" s="200"/>
      <c r="AV6" s="200"/>
      <c r="AW6" s="200"/>
      <c r="AX6" s="200"/>
      <c r="AY6" s="200"/>
      <c r="AZ6" s="200"/>
      <c r="BA6" s="200"/>
      <c r="BB6" s="200"/>
      <c r="BC6" s="200"/>
      <c r="BD6" s="200"/>
      <c r="BE6" s="201" t="str">
        <f aca="false">IF(Eingabe!I55="","",Eingabe!I55)</f>
        <v/>
      </c>
      <c r="BF6" s="201"/>
      <c r="BG6" s="201"/>
      <c r="BH6" s="201"/>
      <c r="BI6" s="201"/>
      <c r="BJ6" s="202" t="str">
        <f aca="false">IF(Eingabe!I55="","",Eingabe!I55*Eingabe!B55)</f>
        <v/>
      </c>
      <c r="BK6" s="202"/>
      <c r="BL6" s="202"/>
      <c r="BM6" s="202"/>
      <c r="BN6" s="202"/>
      <c r="BO6" s="198"/>
      <c r="BP6" s="198"/>
      <c r="BQ6" s="198"/>
      <c r="BR6" s="198"/>
      <c r="BS6" s="198"/>
      <c r="BT6" s="198"/>
      <c r="BU6" s="198"/>
      <c r="BV6" s="198"/>
      <c r="BW6" s="198"/>
      <c r="BX6" s="198"/>
      <c r="BY6" s="198"/>
      <c r="BZ6" s="198"/>
      <c r="CA6" s="198"/>
      <c r="CB6" s="198"/>
      <c r="CC6" s="198"/>
      <c r="CD6" s="198"/>
      <c r="CE6" s="198"/>
      <c r="CF6" s="198"/>
      <c r="CG6" s="198"/>
      <c r="CH6" s="198"/>
      <c r="CI6" s="198"/>
      <c r="CJ6" s="198"/>
      <c r="CK6" s="198"/>
      <c r="CL6" s="198"/>
      <c r="CM6" s="198"/>
      <c r="CN6" s="198"/>
      <c r="CO6" s="198"/>
      <c r="CP6" s="198"/>
      <c r="CQ6" s="198"/>
      <c r="CR6" s="198"/>
      <c r="CS6" s="198"/>
      <c r="CT6" s="198"/>
      <c r="CU6" s="198"/>
      <c r="CV6" s="198"/>
      <c r="CW6" s="198"/>
      <c r="CX6" s="198"/>
      <c r="CY6" s="198"/>
      <c r="CZ6" s="198"/>
      <c r="DA6" s="198"/>
      <c r="DB6" s="198"/>
      <c r="DC6" s="198"/>
      <c r="DD6" s="198"/>
      <c r="DE6" s="198"/>
      <c r="DF6" s="198"/>
      <c r="DG6" s="198"/>
      <c r="DH6" s="198"/>
      <c r="DI6" s="198"/>
      <c r="DJ6" s="198"/>
      <c r="DK6" s="198"/>
      <c r="DL6" s="198"/>
      <c r="DM6" s="198"/>
      <c r="DN6" s="198"/>
      <c r="DO6" s="198"/>
      <c r="DP6" s="198"/>
      <c r="DQ6" s="198"/>
      <c r="DR6" s="198"/>
      <c r="DS6" s="198"/>
      <c r="DT6" s="198"/>
      <c r="DU6" s="198"/>
      <c r="DV6" s="198"/>
      <c r="DW6" s="198"/>
      <c r="DX6" s="198"/>
      <c r="DY6" s="198"/>
      <c r="DZ6" s="198"/>
      <c r="EA6" s="198"/>
      <c r="EB6" s="198"/>
      <c r="EC6" s="198"/>
      <c r="ED6" s="198"/>
      <c r="EE6" s="198"/>
      <c r="EF6" s="198"/>
      <c r="EG6" s="198"/>
      <c r="EH6" s="198"/>
      <c r="EI6" s="198"/>
      <c r="EJ6" s="198"/>
      <c r="EK6" s="198"/>
      <c r="EL6" s="198"/>
      <c r="EM6" s="198"/>
      <c r="EN6" s="198"/>
      <c r="EO6" s="198"/>
      <c r="EP6" s="198"/>
      <c r="EQ6" s="198"/>
      <c r="ER6" s="198"/>
      <c r="ES6" s="198"/>
      <c r="ET6" s="198"/>
      <c r="EU6" s="198"/>
      <c r="EV6" s="198"/>
      <c r="EW6" s="198"/>
      <c r="EX6" s="198"/>
      <c r="EY6" s="198"/>
      <c r="EZ6" s="198"/>
      <c r="FA6" s="198"/>
      <c r="FB6" s="198"/>
      <c r="FC6" s="198"/>
      <c r="FD6" s="198"/>
      <c r="FE6" s="198"/>
      <c r="FF6" s="198"/>
      <c r="FG6" s="198"/>
      <c r="FH6" s="198"/>
      <c r="FI6" s="198"/>
      <c r="FJ6" s="198"/>
      <c r="FK6" s="198"/>
      <c r="FL6" s="198"/>
      <c r="FM6" s="198"/>
      <c r="FN6" s="198"/>
      <c r="FO6" s="198"/>
      <c r="FP6" s="198"/>
      <c r="FQ6" s="198"/>
      <c r="FR6" s="198"/>
      <c r="FS6" s="198"/>
      <c r="FT6" s="198"/>
      <c r="FU6" s="198"/>
      <c r="FV6" s="198"/>
      <c r="FW6" s="198"/>
      <c r="FX6" s="198"/>
      <c r="FY6" s="198"/>
      <c r="FZ6" s="198"/>
      <c r="GA6" s="198"/>
      <c r="GB6" s="198"/>
      <c r="GC6" s="198"/>
      <c r="GD6" s="198"/>
      <c r="GE6" s="198"/>
      <c r="GF6" s="198"/>
      <c r="GG6" s="198"/>
      <c r="GH6" s="198"/>
      <c r="GI6" s="198"/>
      <c r="GJ6" s="198"/>
      <c r="GK6" s="198"/>
      <c r="GL6" s="198"/>
      <c r="GM6" s="198"/>
      <c r="GN6" s="198"/>
      <c r="GO6" s="198"/>
      <c r="GP6" s="198"/>
      <c r="GQ6" s="198"/>
      <c r="GR6" s="198"/>
      <c r="GS6" s="198"/>
      <c r="GT6" s="198"/>
      <c r="GU6" s="198"/>
      <c r="GV6" s="198"/>
      <c r="GW6" s="198"/>
      <c r="GX6" s="198"/>
      <c r="GY6" s="198"/>
      <c r="GZ6" s="198"/>
      <c r="HA6" s="198"/>
      <c r="HB6" s="198"/>
      <c r="HC6" s="198"/>
      <c r="HD6" s="198"/>
      <c r="HE6" s="198"/>
      <c r="HF6" s="198"/>
      <c r="HG6" s="198"/>
      <c r="HH6" s="198"/>
      <c r="HI6" s="198"/>
      <c r="HJ6" s="198"/>
      <c r="HK6" s="198"/>
      <c r="HL6" s="198"/>
      <c r="HM6" s="198"/>
      <c r="HN6" s="198"/>
      <c r="HO6" s="198"/>
      <c r="HP6" s="198"/>
      <c r="HQ6" s="198"/>
      <c r="HR6" s="198"/>
      <c r="HS6" s="198"/>
      <c r="HT6" s="198"/>
      <c r="HU6" s="198"/>
      <c r="HV6" s="198"/>
      <c r="HW6" s="198"/>
      <c r="HX6" s="198"/>
      <c r="HY6" s="198"/>
      <c r="HZ6" s="198"/>
      <c r="IA6" s="198"/>
      <c r="IB6" s="198"/>
      <c r="IC6" s="198"/>
      <c r="ID6" s="198"/>
      <c r="IE6" s="198"/>
      <c r="IF6" s="198"/>
      <c r="IG6" s="198"/>
      <c r="IH6" s="198"/>
      <c r="II6" s="198"/>
      <c r="IJ6" s="198"/>
      <c r="IK6" s="198"/>
      <c r="IL6" s="198"/>
      <c r="IM6" s="198"/>
      <c r="IN6" s="198"/>
      <c r="IO6" s="198"/>
      <c r="IP6" s="198"/>
      <c r="IQ6" s="198"/>
      <c r="IR6" s="198"/>
      <c r="IS6" s="198"/>
      <c r="IT6" s="198"/>
      <c r="IU6" s="198"/>
      <c r="IV6" s="198"/>
    </row>
    <row r="7" s="199" customFormat="true" ht="12.75" hidden="false" customHeight="true" outlineLevel="0" collapsed="false">
      <c r="A7" s="157" t="str">
        <f aca="false">IF(Eingabe!A56="","",Eingabe!A56)</f>
        <v/>
      </c>
      <c r="B7" s="157"/>
      <c r="C7" s="157"/>
      <c r="D7" s="158" t="str">
        <f aca="false">IF(Eingabe!B56="","",Eingabe!B56)</f>
        <v/>
      </c>
      <c r="E7" s="158"/>
      <c r="F7" s="158"/>
      <c r="G7" s="158"/>
      <c r="H7" s="159" t="str">
        <f aca="false">IF(Eingabe!C56="","",Eingabe!C56)</f>
        <v/>
      </c>
      <c r="I7" s="159"/>
      <c r="J7" s="159"/>
      <c r="K7" s="159"/>
      <c r="L7" s="160" t="str">
        <f aca="false">IF(Eingabe!D56="","",Eingabe!D56)</f>
        <v/>
      </c>
      <c r="M7" s="160"/>
      <c r="N7" s="160"/>
      <c r="O7" s="160"/>
      <c r="P7" s="160"/>
      <c r="Q7" s="160"/>
      <c r="R7" s="160"/>
      <c r="S7" s="160"/>
      <c r="T7" s="160"/>
      <c r="U7" s="160"/>
      <c r="V7" s="160"/>
      <c r="W7" s="160"/>
      <c r="X7" s="160"/>
      <c r="Y7" s="160"/>
      <c r="Z7" s="160"/>
      <c r="AA7" s="160"/>
      <c r="AB7" s="160"/>
      <c r="AC7" s="160"/>
      <c r="AD7" s="160"/>
      <c r="AE7" s="160"/>
      <c r="AF7" s="160"/>
      <c r="AG7" s="160"/>
      <c r="AH7" s="200" t="str">
        <f aca="false">IF(Eingabe!F56&amp;Eingabe!G56="","",Eingabe!F56&amp;"  /  "&amp;Eingabe!G56)</f>
        <v/>
      </c>
      <c r="AI7" s="200"/>
      <c r="AJ7" s="200"/>
      <c r="AK7" s="200"/>
      <c r="AL7" s="200"/>
      <c r="AM7" s="200"/>
      <c r="AN7" s="200"/>
      <c r="AO7" s="200"/>
      <c r="AP7" s="200"/>
      <c r="AQ7" s="200"/>
      <c r="AR7" s="200"/>
      <c r="AS7" s="200"/>
      <c r="AT7" s="200"/>
      <c r="AU7" s="200"/>
      <c r="AV7" s="200"/>
      <c r="AW7" s="200"/>
      <c r="AX7" s="200"/>
      <c r="AY7" s="200"/>
      <c r="AZ7" s="200"/>
      <c r="BA7" s="200"/>
      <c r="BB7" s="200"/>
      <c r="BC7" s="200"/>
      <c r="BD7" s="200"/>
      <c r="BE7" s="201" t="str">
        <f aca="false">IF(Eingabe!I56="","",Eingabe!I56)</f>
        <v/>
      </c>
      <c r="BF7" s="201"/>
      <c r="BG7" s="201"/>
      <c r="BH7" s="201"/>
      <c r="BI7" s="201"/>
      <c r="BJ7" s="202" t="str">
        <f aca="false">IF(Eingabe!I56="","",Eingabe!I56*Eingabe!B56)</f>
        <v/>
      </c>
      <c r="BK7" s="202"/>
      <c r="BL7" s="202"/>
      <c r="BM7" s="202"/>
      <c r="BN7" s="202"/>
      <c r="BO7" s="198"/>
      <c r="BP7" s="198"/>
      <c r="BQ7" s="198"/>
      <c r="BR7" s="198"/>
      <c r="BS7" s="198"/>
      <c r="BT7" s="198"/>
      <c r="BU7" s="198"/>
      <c r="BV7" s="198"/>
      <c r="BW7" s="198"/>
      <c r="BX7" s="198"/>
      <c r="BY7" s="198"/>
      <c r="BZ7" s="198"/>
      <c r="CA7" s="198"/>
      <c r="CB7" s="198"/>
      <c r="CC7" s="198"/>
      <c r="CD7" s="198"/>
      <c r="CE7" s="198"/>
      <c r="CF7" s="198"/>
      <c r="CG7" s="198"/>
      <c r="CH7" s="198"/>
      <c r="CI7" s="198"/>
      <c r="CJ7" s="198"/>
      <c r="CK7" s="198"/>
      <c r="CL7" s="198"/>
      <c r="CM7" s="198"/>
      <c r="CN7" s="198"/>
      <c r="CO7" s="198"/>
      <c r="CP7" s="198"/>
      <c r="CQ7" s="198"/>
      <c r="CR7" s="198"/>
      <c r="CS7" s="198"/>
      <c r="CT7" s="198"/>
      <c r="CU7" s="198"/>
      <c r="CV7" s="198"/>
      <c r="CW7" s="198"/>
      <c r="CX7" s="198"/>
      <c r="CY7" s="198"/>
      <c r="CZ7" s="198"/>
      <c r="DA7" s="198"/>
      <c r="DB7" s="198"/>
      <c r="DC7" s="198"/>
      <c r="DD7" s="198"/>
      <c r="DE7" s="198"/>
      <c r="DF7" s="198"/>
      <c r="DG7" s="198"/>
      <c r="DH7" s="198"/>
      <c r="DI7" s="198"/>
      <c r="DJ7" s="198"/>
      <c r="DK7" s="198"/>
      <c r="DL7" s="198"/>
      <c r="DM7" s="198"/>
      <c r="DN7" s="198"/>
      <c r="DO7" s="198"/>
      <c r="DP7" s="198"/>
      <c r="DQ7" s="198"/>
      <c r="DR7" s="198"/>
      <c r="DS7" s="198"/>
      <c r="DT7" s="198"/>
      <c r="DU7" s="198"/>
      <c r="DV7" s="198"/>
      <c r="DW7" s="198"/>
      <c r="DX7" s="198"/>
      <c r="DY7" s="198"/>
      <c r="DZ7" s="198"/>
      <c r="EA7" s="198"/>
      <c r="EB7" s="198"/>
      <c r="EC7" s="198"/>
      <c r="ED7" s="198"/>
      <c r="EE7" s="198"/>
      <c r="EF7" s="198"/>
      <c r="EG7" s="198"/>
      <c r="EH7" s="198"/>
      <c r="EI7" s="198"/>
      <c r="EJ7" s="198"/>
      <c r="EK7" s="198"/>
      <c r="EL7" s="198"/>
      <c r="EM7" s="198"/>
      <c r="EN7" s="198"/>
      <c r="EO7" s="198"/>
      <c r="EP7" s="198"/>
      <c r="EQ7" s="198"/>
      <c r="ER7" s="198"/>
      <c r="ES7" s="198"/>
      <c r="ET7" s="198"/>
      <c r="EU7" s="198"/>
      <c r="EV7" s="198"/>
      <c r="EW7" s="198"/>
      <c r="EX7" s="198"/>
      <c r="EY7" s="198"/>
      <c r="EZ7" s="198"/>
      <c r="FA7" s="198"/>
      <c r="FB7" s="198"/>
      <c r="FC7" s="198"/>
      <c r="FD7" s="198"/>
      <c r="FE7" s="198"/>
      <c r="FF7" s="198"/>
      <c r="FG7" s="198"/>
      <c r="FH7" s="198"/>
      <c r="FI7" s="198"/>
      <c r="FJ7" s="198"/>
      <c r="FK7" s="198"/>
      <c r="FL7" s="198"/>
      <c r="FM7" s="198"/>
      <c r="FN7" s="198"/>
      <c r="FO7" s="198"/>
      <c r="FP7" s="198"/>
      <c r="FQ7" s="198"/>
      <c r="FR7" s="198"/>
      <c r="FS7" s="198"/>
      <c r="FT7" s="198"/>
      <c r="FU7" s="198"/>
      <c r="FV7" s="198"/>
      <c r="FW7" s="198"/>
      <c r="FX7" s="198"/>
      <c r="FY7" s="198"/>
      <c r="FZ7" s="198"/>
      <c r="GA7" s="198"/>
      <c r="GB7" s="198"/>
      <c r="GC7" s="198"/>
      <c r="GD7" s="198"/>
      <c r="GE7" s="198"/>
      <c r="GF7" s="198"/>
      <c r="GG7" s="198"/>
      <c r="GH7" s="198"/>
      <c r="GI7" s="198"/>
      <c r="GJ7" s="198"/>
      <c r="GK7" s="198"/>
      <c r="GL7" s="198"/>
      <c r="GM7" s="198"/>
      <c r="GN7" s="198"/>
      <c r="GO7" s="198"/>
      <c r="GP7" s="198"/>
      <c r="GQ7" s="198"/>
      <c r="GR7" s="198"/>
      <c r="GS7" s="198"/>
      <c r="GT7" s="198"/>
      <c r="GU7" s="198"/>
      <c r="GV7" s="198"/>
      <c r="GW7" s="198"/>
      <c r="GX7" s="198"/>
      <c r="GY7" s="198"/>
      <c r="GZ7" s="198"/>
      <c r="HA7" s="198"/>
      <c r="HB7" s="198"/>
      <c r="HC7" s="198"/>
      <c r="HD7" s="198"/>
      <c r="HE7" s="198"/>
      <c r="HF7" s="198"/>
      <c r="HG7" s="198"/>
      <c r="HH7" s="198"/>
      <c r="HI7" s="198"/>
      <c r="HJ7" s="198"/>
      <c r="HK7" s="198"/>
      <c r="HL7" s="198"/>
      <c r="HM7" s="198"/>
      <c r="HN7" s="198"/>
      <c r="HO7" s="198"/>
      <c r="HP7" s="198"/>
      <c r="HQ7" s="198"/>
      <c r="HR7" s="198"/>
      <c r="HS7" s="198"/>
      <c r="HT7" s="198"/>
      <c r="HU7" s="198"/>
      <c r="HV7" s="198"/>
      <c r="HW7" s="198"/>
      <c r="HX7" s="198"/>
      <c r="HY7" s="198"/>
      <c r="HZ7" s="198"/>
      <c r="IA7" s="198"/>
      <c r="IB7" s="198"/>
      <c r="IC7" s="198"/>
      <c r="ID7" s="198"/>
      <c r="IE7" s="198"/>
      <c r="IF7" s="198"/>
      <c r="IG7" s="198"/>
      <c r="IH7" s="198"/>
      <c r="II7" s="198"/>
      <c r="IJ7" s="198"/>
      <c r="IK7" s="198"/>
      <c r="IL7" s="198"/>
      <c r="IM7" s="198"/>
      <c r="IN7" s="198"/>
      <c r="IO7" s="198"/>
      <c r="IP7" s="198"/>
      <c r="IQ7" s="198"/>
      <c r="IR7" s="198"/>
      <c r="IS7" s="198"/>
      <c r="IT7" s="198"/>
      <c r="IU7" s="198"/>
      <c r="IV7" s="198"/>
    </row>
    <row r="8" s="199" customFormat="true" ht="12.75" hidden="false" customHeight="true" outlineLevel="0" collapsed="false">
      <c r="A8" s="157" t="str">
        <f aca="false">IF(Eingabe!A57="","",Eingabe!A57)</f>
        <v/>
      </c>
      <c r="B8" s="157"/>
      <c r="C8" s="157"/>
      <c r="D8" s="158" t="str">
        <f aca="false">IF(Eingabe!B57="","",Eingabe!B57)</f>
        <v/>
      </c>
      <c r="E8" s="158"/>
      <c r="F8" s="158"/>
      <c r="G8" s="158"/>
      <c r="H8" s="159" t="str">
        <f aca="false">IF(Eingabe!C57="","",Eingabe!C57)</f>
        <v/>
      </c>
      <c r="I8" s="159"/>
      <c r="J8" s="159"/>
      <c r="K8" s="159"/>
      <c r="L8" s="160" t="str">
        <f aca="false">IF(Eingabe!D57="","",Eingabe!D57)</f>
        <v/>
      </c>
      <c r="M8" s="160"/>
      <c r="N8" s="160"/>
      <c r="O8" s="160"/>
      <c r="P8" s="160"/>
      <c r="Q8" s="160"/>
      <c r="R8" s="160"/>
      <c r="S8" s="160"/>
      <c r="T8" s="160"/>
      <c r="U8" s="160"/>
      <c r="V8" s="160"/>
      <c r="W8" s="160"/>
      <c r="X8" s="160"/>
      <c r="Y8" s="160"/>
      <c r="Z8" s="160"/>
      <c r="AA8" s="160"/>
      <c r="AB8" s="160"/>
      <c r="AC8" s="160"/>
      <c r="AD8" s="160"/>
      <c r="AE8" s="160"/>
      <c r="AF8" s="160"/>
      <c r="AG8" s="160"/>
      <c r="AH8" s="200" t="str">
        <f aca="false">IF(Eingabe!F57&amp;Eingabe!G57="","",Eingabe!F57&amp;"  /  "&amp;Eingabe!G57)</f>
        <v/>
      </c>
      <c r="AI8" s="200"/>
      <c r="AJ8" s="200"/>
      <c r="AK8" s="200"/>
      <c r="AL8" s="200"/>
      <c r="AM8" s="200"/>
      <c r="AN8" s="200"/>
      <c r="AO8" s="200"/>
      <c r="AP8" s="200"/>
      <c r="AQ8" s="200"/>
      <c r="AR8" s="200"/>
      <c r="AS8" s="200"/>
      <c r="AT8" s="200"/>
      <c r="AU8" s="200"/>
      <c r="AV8" s="200"/>
      <c r="AW8" s="200"/>
      <c r="AX8" s="200"/>
      <c r="AY8" s="200"/>
      <c r="AZ8" s="200"/>
      <c r="BA8" s="200"/>
      <c r="BB8" s="200"/>
      <c r="BC8" s="200"/>
      <c r="BD8" s="200"/>
      <c r="BE8" s="201" t="str">
        <f aca="false">IF(Eingabe!I57="","",Eingabe!I57)</f>
        <v/>
      </c>
      <c r="BF8" s="201"/>
      <c r="BG8" s="201"/>
      <c r="BH8" s="201"/>
      <c r="BI8" s="201"/>
      <c r="BJ8" s="202" t="str">
        <f aca="false">IF(Eingabe!I57="","",Eingabe!I57*Eingabe!B57)</f>
        <v/>
      </c>
      <c r="BK8" s="202"/>
      <c r="BL8" s="202"/>
      <c r="BM8" s="202"/>
      <c r="BN8" s="202"/>
      <c r="BO8" s="198"/>
      <c r="BP8" s="198"/>
      <c r="BQ8" s="198"/>
      <c r="BR8" s="198"/>
      <c r="BS8" s="198"/>
      <c r="BT8" s="198"/>
      <c r="BU8" s="198"/>
      <c r="BV8" s="198"/>
      <c r="BW8" s="198"/>
      <c r="BX8" s="198"/>
      <c r="BY8" s="198"/>
      <c r="BZ8" s="198"/>
      <c r="CA8" s="198"/>
      <c r="CB8" s="198"/>
      <c r="CC8" s="198"/>
      <c r="CD8" s="198"/>
      <c r="CE8" s="198"/>
      <c r="CF8" s="198"/>
      <c r="CG8" s="198"/>
      <c r="CH8" s="198"/>
      <c r="CI8" s="198"/>
      <c r="CJ8" s="198"/>
      <c r="CK8" s="198"/>
      <c r="CL8" s="198"/>
      <c r="CM8" s="198"/>
      <c r="CN8" s="198"/>
      <c r="CO8" s="198"/>
      <c r="CP8" s="198"/>
      <c r="CQ8" s="198"/>
      <c r="CR8" s="198"/>
      <c r="CS8" s="198"/>
      <c r="CT8" s="198"/>
      <c r="CU8" s="198"/>
      <c r="CV8" s="198"/>
      <c r="CW8" s="198"/>
      <c r="CX8" s="198"/>
      <c r="CY8" s="198"/>
      <c r="CZ8" s="198"/>
      <c r="DA8" s="198"/>
      <c r="DB8" s="198"/>
      <c r="DC8" s="198"/>
      <c r="DD8" s="198"/>
      <c r="DE8" s="198"/>
      <c r="DF8" s="198"/>
      <c r="DG8" s="198"/>
      <c r="DH8" s="198"/>
      <c r="DI8" s="198"/>
      <c r="DJ8" s="198"/>
      <c r="DK8" s="198"/>
      <c r="DL8" s="198"/>
      <c r="DM8" s="198"/>
      <c r="DN8" s="198"/>
      <c r="DO8" s="198"/>
      <c r="DP8" s="198"/>
      <c r="DQ8" s="198"/>
      <c r="DR8" s="198"/>
      <c r="DS8" s="198"/>
      <c r="DT8" s="198"/>
      <c r="DU8" s="198"/>
      <c r="DV8" s="198"/>
      <c r="DW8" s="198"/>
      <c r="DX8" s="198"/>
      <c r="DY8" s="198"/>
      <c r="DZ8" s="198"/>
      <c r="EA8" s="198"/>
      <c r="EB8" s="198"/>
      <c r="EC8" s="198"/>
      <c r="ED8" s="198"/>
      <c r="EE8" s="198"/>
      <c r="EF8" s="198"/>
      <c r="EG8" s="198"/>
      <c r="EH8" s="198"/>
      <c r="EI8" s="198"/>
      <c r="EJ8" s="198"/>
      <c r="EK8" s="198"/>
      <c r="EL8" s="198"/>
      <c r="EM8" s="198"/>
      <c r="EN8" s="198"/>
      <c r="EO8" s="198"/>
      <c r="EP8" s="198"/>
      <c r="EQ8" s="198"/>
      <c r="ER8" s="198"/>
      <c r="ES8" s="198"/>
      <c r="ET8" s="198"/>
      <c r="EU8" s="198"/>
      <c r="EV8" s="198"/>
      <c r="EW8" s="198"/>
      <c r="EX8" s="198"/>
      <c r="EY8" s="198"/>
      <c r="EZ8" s="198"/>
      <c r="FA8" s="198"/>
      <c r="FB8" s="198"/>
      <c r="FC8" s="198"/>
      <c r="FD8" s="198"/>
      <c r="FE8" s="198"/>
      <c r="FF8" s="198"/>
      <c r="FG8" s="198"/>
      <c r="FH8" s="198"/>
      <c r="FI8" s="198"/>
      <c r="FJ8" s="198"/>
      <c r="FK8" s="198"/>
      <c r="FL8" s="198"/>
      <c r="FM8" s="198"/>
      <c r="FN8" s="198"/>
      <c r="FO8" s="198"/>
      <c r="FP8" s="198"/>
      <c r="FQ8" s="198"/>
      <c r="FR8" s="198"/>
      <c r="FS8" s="198"/>
      <c r="FT8" s="198"/>
      <c r="FU8" s="198"/>
      <c r="FV8" s="198"/>
      <c r="FW8" s="198"/>
      <c r="FX8" s="198"/>
      <c r="FY8" s="198"/>
      <c r="FZ8" s="198"/>
      <c r="GA8" s="198"/>
      <c r="GB8" s="198"/>
      <c r="GC8" s="198"/>
      <c r="GD8" s="198"/>
      <c r="GE8" s="198"/>
      <c r="GF8" s="198"/>
      <c r="GG8" s="198"/>
      <c r="GH8" s="198"/>
      <c r="GI8" s="198"/>
      <c r="GJ8" s="198"/>
      <c r="GK8" s="198"/>
      <c r="GL8" s="198"/>
      <c r="GM8" s="198"/>
      <c r="GN8" s="198"/>
      <c r="GO8" s="198"/>
      <c r="GP8" s="198"/>
      <c r="GQ8" s="198"/>
      <c r="GR8" s="198"/>
      <c r="GS8" s="198"/>
      <c r="GT8" s="198"/>
      <c r="GU8" s="198"/>
      <c r="GV8" s="198"/>
      <c r="GW8" s="198"/>
      <c r="GX8" s="198"/>
      <c r="GY8" s="198"/>
      <c r="GZ8" s="198"/>
      <c r="HA8" s="198"/>
      <c r="HB8" s="198"/>
      <c r="HC8" s="198"/>
      <c r="HD8" s="198"/>
      <c r="HE8" s="198"/>
      <c r="HF8" s="198"/>
      <c r="HG8" s="198"/>
      <c r="HH8" s="198"/>
      <c r="HI8" s="198"/>
      <c r="HJ8" s="198"/>
      <c r="HK8" s="198"/>
      <c r="HL8" s="198"/>
      <c r="HM8" s="198"/>
      <c r="HN8" s="198"/>
      <c r="HO8" s="198"/>
      <c r="HP8" s="198"/>
      <c r="HQ8" s="198"/>
      <c r="HR8" s="198"/>
      <c r="HS8" s="198"/>
      <c r="HT8" s="198"/>
      <c r="HU8" s="198"/>
      <c r="HV8" s="198"/>
      <c r="HW8" s="198"/>
      <c r="HX8" s="198"/>
      <c r="HY8" s="198"/>
      <c r="HZ8" s="198"/>
      <c r="IA8" s="198"/>
      <c r="IB8" s="198"/>
      <c r="IC8" s="198"/>
      <c r="ID8" s="198"/>
      <c r="IE8" s="198"/>
      <c r="IF8" s="198"/>
      <c r="IG8" s="198"/>
      <c r="IH8" s="198"/>
      <c r="II8" s="198"/>
      <c r="IJ8" s="198"/>
      <c r="IK8" s="198"/>
      <c r="IL8" s="198"/>
      <c r="IM8" s="198"/>
      <c r="IN8" s="198"/>
      <c r="IO8" s="198"/>
      <c r="IP8" s="198"/>
      <c r="IQ8" s="198"/>
      <c r="IR8" s="198"/>
      <c r="IS8" s="198"/>
      <c r="IT8" s="198"/>
      <c r="IU8" s="198"/>
      <c r="IV8" s="198"/>
    </row>
    <row r="9" s="199" customFormat="true" ht="12.75" hidden="false" customHeight="true" outlineLevel="0" collapsed="false">
      <c r="A9" s="157" t="str">
        <f aca="false">IF(Eingabe!A58="","",Eingabe!A58)</f>
        <v/>
      </c>
      <c r="B9" s="157"/>
      <c r="C9" s="157"/>
      <c r="D9" s="158" t="str">
        <f aca="false">IF(Eingabe!B58="","",Eingabe!B58)</f>
        <v/>
      </c>
      <c r="E9" s="158"/>
      <c r="F9" s="158"/>
      <c r="G9" s="158"/>
      <c r="H9" s="159" t="str">
        <f aca="false">IF(Eingabe!C58="","",Eingabe!C58)</f>
        <v/>
      </c>
      <c r="I9" s="159"/>
      <c r="J9" s="159"/>
      <c r="K9" s="159"/>
      <c r="L9" s="160" t="str">
        <f aca="false">IF(Eingabe!D58="","",Eingabe!D58)</f>
        <v/>
      </c>
      <c r="M9" s="160"/>
      <c r="N9" s="160"/>
      <c r="O9" s="160"/>
      <c r="P9" s="160"/>
      <c r="Q9" s="160"/>
      <c r="R9" s="160"/>
      <c r="S9" s="160"/>
      <c r="T9" s="160"/>
      <c r="U9" s="160"/>
      <c r="V9" s="160"/>
      <c r="W9" s="160"/>
      <c r="X9" s="160"/>
      <c r="Y9" s="160"/>
      <c r="Z9" s="160"/>
      <c r="AA9" s="160"/>
      <c r="AB9" s="160"/>
      <c r="AC9" s="160"/>
      <c r="AD9" s="160"/>
      <c r="AE9" s="160"/>
      <c r="AF9" s="160"/>
      <c r="AG9" s="160"/>
      <c r="AH9" s="200" t="str">
        <f aca="false">IF(Eingabe!F58&amp;Eingabe!G58="","",Eingabe!F58&amp;"  /  "&amp;Eingabe!G58)</f>
        <v/>
      </c>
      <c r="AI9" s="200"/>
      <c r="AJ9" s="200"/>
      <c r="AK9" s="200"/>
      <c r="AL9" s="200"/>
      <c r="AM9" s="200"/>
      <c r="AN9" s="200"/>
      <c r="AO9" s="200"/>
      <c r="AP9" s="200"/>
      <c r="AQ9" s="200"/>
      <c r="AR9" s="200"/>
      <c r="AS9" s="200"/>
      <c r="AT9" s="200"/>
      <c r="AU9" s="200"/>
      <c r="AV9" s="200"/>
      <c r="AW9" s="200"/>
      <c r="AX9" s="200"/>
      <c r="AY9" s="200"/>
      <c r="AZ9" s="200"/>
      <c r="BA9" s="200"/>
      <c r="BB9" s="200"/>
      <c r="BC9" s="200"/>
      <c r="BD9" s="200"/>
      <c r="BE9" s="201" t="str">
        <f aca="false">IF(Eingabe!I58="","",Eingabe!I58)</f>
        <v/>
      </c>
      <c r="BF9" s="201"/>
      <c r="BG9" s="201"/>
      <c r="BH9" s="201"/>
      <c r="BI9" s="201"/>
      <c r="BJ9" s="202" t="str">
        <f aca="false">IF(Eingabe!I58="","",Eingabe!I58*Eingabe!B58)</f>
        <v/>
      </c>
      <c r="BK9" s="202"/>
      <c r="BL9" s="202"/>
      <c r="BM9" s="202"/>
      <c r="BN9" s="202"/>
      <c r="BO9" s="198"/>
      <c r="BP9" s="198"/>
      <c r="BQ9" s="198"/>
      <c r="BR9" s="198"/>
      <c r="BS9" s="198"/>
      <c r="BT9" s="198"/>
      <c r="BU9" s="198"/>
      <c r="BV9" s="198"/>
      <c r="BW9" s="198"/>
      <c r="BX9" s="198"/>
      <c r="BY9" s="198"/>
      <c r="BZ9" s="198"/>
      <c r="CA9" s="198"/>
      <c r="CB9" s="198"/>
      <c r="CC9" s="198"/>
      <c r="CD9" s="198"/>
      <c r="CE9" s="198"/>
      <c r="CF9" s="198"/>
      <c r="CG9" s="198"/>
      <c r="CH9" s="198"/>
      <c r="CI9" s="198"/>
      <c r="CJ9" s="198"/>
      <c r="CK9" s="198"/>
      <c r="CL9" s="198"/>
      <c r="CM9" s="198"/>
      <c r="CN9" s="198"/>
      <c r="CO9" s="198"/>
      <c r="CP9" s="198"/>
      <c r="CQ9" s="198"/>
      <c r="CR9" s="198"/>
      <c r="CS9" s="198"/>
      <c r="CT9" s="198"/>
      <c r="CU9" s="198"/>
      <c r="CV9" s="198"/>
      <c r="CW9" s="198"/>
      <c r="CX9" s="198"/>
      <c r="CY9" s="198"/>
      <c r="CZ9" s="198"/>
      <c r="DA9" s="198"/>
      <c r="DB9" s="198"/>
      <c r="DC9" s="198"/>
      <c r="DD9" s="198"/>
      <c r="DE9" s="198"/>
      <c r="DF9" s="198"/>
      <c r="DG9" s="198"/>
      <c r="DH9" s="198"/>
      <c r="DI9" s="198"/>
      <c r="DJ9" s="198"/>
      <c r="DK9" s="198"/>
      <c r="DL9" s="198"/>
      <c r="DM9" s="198"/>
      <c r="DN9" s="198"/>
      <c r="DO9" s="198"/>
      <c r="DP9" s="198"/>
      <c r="DQ9" s="198"/>
      <c r="DR9" s="198"/>
      <c r="DS9" s="198"/>
      <c r="DT9" s="198"/>
      <c r="DU9" s="198"/>
      <c r="DV9" s="198"/>
      <c r="DW9" s="198"/>
      <c r="DX9" s="198"/>
      <c r="DY9" s="198"/>
      <c r="DZ9" s="198"/>
      <c r="EA9" s="198"/>
      <c r="EB9" s="198"/>
      <c r="EC9" s="198"/>
      <c r="ED9" s="198"/>
      <c r="EE9" s="198"/>
      <c r="EF9" s="198"/>
      <c r="EG9" s="198"/>
      <c r="EH9" s="198"/>
      <c r="EI9" s="198"/>
      <c r="EJ9" s="198"/>
      <c r="EK9" s="198"/>
      <c r="EL9" s="198"/>
      <c r="EM9" s="198"/>
      <c r="EN9" s="198"/>
      <c r="EO9" s="198"/>
      <c r="EP9" s="198"/>
      <c r="EQ9" s="198"/>
      <c r="ER9" s="198"/>
      <c r="ES9" s="198"/>
      <c r="ET9" s="198"/>
      <c r="EU9" s="198"/>
      <c r="EV9" s="198"/>
      <c r="EW9" s="198"/>
      <c r="EX9" s="198"/>
      <c r="EY9" s="198"/>
      <c r="EZ9" s="198"/>
      <c r="FA9" s="198"/>
      <c r="FB9" s="198"/>
      <c r="FC9" s="198"/>
      <c r="FD9" s="198"/>
      <c r="FE9" s="198"/>
      <c r="FF9" s="198"/>
      <c r="FG9" s="198"/>
      <c r="FH9" s="198"/>
      <c r="FI9" s="198"/>
      <c r="FJ9" s="198"/>
      <c r="FK9" s="198"/>
      <c r="FL9" s="198"/>
      <c r="FM9" s="198"/>
      <c r="FN9" s="198"/>
      <c r="FO9" s="198"/>
      <c r="FP9" s="198"/>
      <c r="FQ9" s="198"/>
      <c r="FR9" s="198"/>
      <c r="FS9" s="198"/>
      <c r="FT9" s="198"/>
      <c r="FU9" s="198"/>
      <c r="FV9" s="198"/>
      <c r="FW9" s="198"/>
      <c r="FX9" s="198"/>
      <c r="FY9" s="198"/>
      <c r="FZ9" s="198"/>
      <c r="GA9" s="198"/>
      <c r="GB9" s="198"/>
      <c r="GC9" s="198"/>
      <c r="GD9" s="198"/>
      <c r="GE9" s="198"/>
      <c r="GF9" s="198"/>
      <c r="GG9" s="198"/>
      <c r="GH9" s="198"/>
      <c r="GI9" s="198"/>
      <c r="GJ9" s="198"/>
      <c r="GK9" s="198"/>
      <c r="GL9" s="198"/>
      <c r="GM9" s="198"/>
      <c r="GN9" s="198"/>
      <c r="GO9" s="198"/>
      <c r="GP9" s="198"/>
      <c r="GQ9" s="198"/>
      <c r="GR9" s="198"/>
      <c r="GS9" s="198"/>
      <c r="GT9" s="198"/>
      <c r="GU9" s="198"/>
      <c r="GV9" s="198"/>
      <c r="GW9" s="198"/>
      <c r="GX9" s="198"/>
      <c r="GY9" s="198"/>
      <c r="GZ9" s="198"/>
      <c r="HA9" s="198"/>
      <c r="HB9" s="198"/>
      <c r="HC9" s="198"/>
      <c r="HD9" s="198"/>
      <c r="HE9" s="198"/>
      <c r="HF9" s="198"/>
      <c r="HG9" s="198"/>
      <c r="HH9" s="198"/>
      <c r="HI9" s="198"/>
      <c r="HJ9" s="198"/>
      <c r="HK9" s="198"/>
      <c r="HL9" s="198"/>
      <c r="HM9" s="198"/>
      <c r="HN9" s="198"/>
      <c r="HO9" s="198"/>
      <c r="HP9" s="198"/>
      <c r="HQ9" s="198"/>
      <c r="HR9" s="198"/>
      <c r="HS9" s="198"/>
      <c r="HT9" s="198"/>
      <c r="HU9" s="198"/>
      <c r="HV9" s="198"/>
      <c r="HW9" s="198"/>
      <c r="HX9" s="198"/>
      <c r="HY9" s="198"/>
      <c r="HZ9" s="198"/>
      <c r="IA9" s="198"/>
      <c r="IB9" s="198"/>
      <c r="IC9" s="198"/>
      <c r="ID9" s="198"/>
      <c r="IE9" s="198"/>
      <c r="IF9" s="198"/>
      <c r="IG9" s="198"/>
      <c r="IH9" s="198"/>
      <c r="II9" s="198"/>
      <c r="IJ9" s="198"/>
      <c r="IK9" s="198"/>
      <c r="IL9" s="198"/>
      <c r="IM9" s="198"/>
      <c r="IN9" s="198"/>
      <c r="IO9" s="198"/>
      <c r="IP9" s="198"/>
      <c r="IQ9" s="198"/>
      <c r="IR9" s="198"/>
      <c r="IS9" s="198"/>
      <c r="IT9" s="198"/>
      <c r="IU9" s="198"/>
      <c r="IV9" s="198"/>
    </row>
    <row r="10" s="199" customFormat="true" ht="12.75" hidden="false" customHeight="true" outlineLevel="0" collapsed="false">
      <c r="A10" s="157" t="str">
        <f aca="false">IF(Eingabe!A59="","",Eingabe!A59)</f>
        <v/>
      </c>
      <c r="B10" s="157"/>
      <c r="C10" s="157"/>
      <c r="D10" s="158" t="str">
        <f aca="false">IF(Eingabe!B59="","",Eingabe!B59)</f>
        <v/>
      </c>
      <c r="E10" s="158"/>
      <c r="F10" s="158"/>
      <c r="G10" s="158"/>
      <c r="H10" s="159" t="str">
        <f aca="false">IF(Eingabe!C59="","",Eingabe!C59)</f>
        <v/>
      </c>
      <c r="I10" s="159"/>
      <c r="J10" s="159"/>
      <c r="K10" s="159"/>
      <c r="L10" s="160" t="str">
        <f aca="false">IF(Eingabe!D59="","",Eingabe!D59)</f>
        <v/>
      </c>
      <c r="M10" s="160"/>
      <c r="N10" s="160"/>
      <c r="O10" s="160"/>
      <c r="P10" s="160"/>
      <c r="Q10" s="160"/>
      <c r="R10" s="160"/>
      <c r="S10" s="160"/>
      <c r="T10" s="160"/>
      <c r="U10" s="160"/>
      <c r="V10" s="160"/>
      <c r="W10" s="160"/>
      <c r="X10" s="160"/>
      <c r="Y10" s="160"/>
      <c r="Z10" s="160"/>
      <c r="AA10" s="160"/>
      <c r="AB10" s="160"/>
      <c r="AC10" s="160"/>
      <c r="AD10" s="160"/>
      <c r="AE10" s="160"/>
      <c r="AF10" s="160"/>
      <c r="AG10" s="160"/>
      <c r="AH10" s="200" t="str">
        <f aca="false">IF(Eingabe!F59&amp;Eingabe!G59="","",Eingabe!F59&amp;"  /  "&amp;Eingabe!G59)</f>
        <v/>
      </c>
      <c r="AI10" s="200"/>
      <c r="AJ10" s="200"/>
      <c r="AK10" s="200"/>
      <c r="AL10" s="200"/>
      <c r="AM10" s="200"/>
      <c r="AN10" s="200"/>
      <c r="AO10" s="200"/>
      <c r="AP10" s="200"/>
      <c r="AQ10" s="200"/>
      <c r="AR10" s="200"/>
      <c r="AS10" s="200"/>
      <c r="AT10" s="200"/>
      <c r="AU10" s="200"/>
      <c r="AV10" s="200"/>
      <c r="AW10" s="200"/>
      <c r="AX10" s="200"/>
      <c r="AY10" s="200"/>
      <c r="AZ10" s="200"/>
      <c r="BA10" s="200"/>
      <c r="BB10" s="200"/>
      <c r="BC10" s="200"/>
      <c r="BD10" s="200"/>
      <c r="BE10" s="201" t="str">
        <f aca="false">IF(Eingabe!I59="","",Eingabe!I59)</f>
        <v/>
      </c>
      <c r="BF10" s="201"/>
      <c r="BG10" s="201"/>
      <c r="BH10" s="201"/>
      <c r="BI10" s="201"/>
      <c r="BJ10" s="202" t="str">
        <f aca="false">IF(Eingabe!I59="","",Eingabe!I59*Eingabe!B59)</f>
        <v/>
      </c>
      <c r="BK10" s="202"/>
      <c r="BL10" s="202"/>
      <c r="BM10" s="202"/>
      <c r="BN10" s="202"/>
      <c r="BO10" s="198"/>
      <c r="BP10" s="198"/>
      <c r="BQ10" s="198"/>
      <c r="BR10" s="198"/>
      <c r="BS10" s="198"/>
      <c r="BT10" s="198"/>
      <c r="BU10" s="198"/>
      <c r="BV10" s="198"/>
      <c r="BW10" s="198"/>
      <c r="BX10" s="198"/>
      <c r="BY10" s="198"/>
      <c r="BZ10" s="198"/>
      <c r="CA10" s="198"/>
      <c r="CB10" s="198"/>
      <c r="CC10" s="198"/>
      <c r="CD10" s="198"/>
      <c r="CE10" s="198"/>
      <c r="CF10" s="198"/>
      <c r="CG10" s="198"/>
      <c r="CH10" s="198"/>
      <c r="CI10" s="198"/>
      <c r="CJ10" s="198"/>
      <c r="CK10" s="198"/>
      <c r="CL10" s="198"/>
      <c r="CM10" s="198"/>
      <c r="CN10" s="198"/>
      <c r="CO10" s="198"/>
      <c r="CP10" s="198"/>
      <c r="CQ10" s="198"/>
      <c r="CR10" s="198"/>
      <c r="CS10" s="198"/>
      <c r="CT10" s="198"/>
      <c r="CU10" s="198"/>
      <c r="CV10" s="198"/>
      <c r="CW10" s="198"/>
      <c r="CX10" s="198"/>
      <c r="CY10" s="198"/>
      <c r="CZ10" s="198"/>
      <c r="DA10" s="198"/>
      <c r="DB10" s="198"/>
      <c r="DC10" s="198"/>
      <c r="DD10" s="198"/>
      <c r="DE10" s="198"/>
      <c r="DF10" s="198"/>
      <c r="DG10" s="198"/>
      <c r="DH10" s="198"/>
      <c r="DI10" s="198"/>
      <c r="DJ10" s="198"/>
      <c r="DK10" s="198"/>
      <c r="DL10" s="198"/>
      <c r="DM10" s="198"/>
      <c r="DN10" s="198"/>
      <c r="DO10" s="198"/>
      <c r="DP10" s="198"/>
      <c r="DQ10" s="198"/>
      <c r="DR10" s="198"/>
      <c r="DS10" s="198"/>
      <c r="DT10" s="198"/>
      <c r="DU10" s="198"/>
      <c r="DV10" s="198"/>
      <c r="DW10" s="198"/>
      <c r="DX10" s="198"/>
      <c r="DY10" s="198"/>
      <c r="DZ10" s="198"/>
      <c r="EA10" s="198"/>
      <c r="EB10" s="198"/>
      <c r="EC10" s="198"/>
      <c r="ED10" s="198"/>
      <c r="EE10" s="198"/>
      <c r="EF10" s="198"/>
      <c r="EG10" s="198"/>
      <c r="EH10" s="198"/>
      <c r="EI10" s="198"/>
      <c r="EJ10" s="198"/>
      <c r="EK10" s="198"/>
      <c r="EL10" s="198"/>
      <c r="EM10" s="198"/>
      <c r="EN10" s="198"/>
      <c r="EO10" s="198"/>
      <c r="EP10" s="198"/>
      <c r="EQ10" s="198"/>
      <c r="ER10" s="198"/>
      <c r="ES10" s="198"/>
      <c r="ET10" s="198"/>
      <c r="EU10" s="198"/>
      <c r="EV10" s="198"/>
      <c r="EW10" s="198"/>
      <c r="EX10" s="198"/>
      <c r="EY10" s="198"/>
      <c r="EZ10" s="198"/>
      <c r="FA10" s="198"/>
      <c r="FB10" s="198"/>
      <c r="FC10" s="198"/>
      <c r="FD10" s="198"/>
      <c r="FE10" s="198"/>
      <c r="FF10" s="198"/>
      <c r="FG10" s="198"/>
      <c r="FH10" s="198"/>
      <c r="FI10" s="198"/>
      <c r="FJ10" s="198"/>
      <c r="FK10" s="198"/>
      <c r="FL10" s="198"/>
      <c r="FM10" s="198"/>
      <c r="FN10" s="198"/>
      <c r="FO10" s="198"/>
      <c r="FP10" s="198"/>
      <c r="FQ10" s="198"/>
      <c r="FR10" s="198"/>
      <c r="FS10" s="198"/>
      <c r="FT10" s="198"/>
      <c r="FU10" s="198"/>
      <c r="FV10" s="198"/>
      <c r="FW10" s="198"/>
      <c r="FX10" s="198"/>
      <c r="FY10" s="198"/>
      <c r="FZ10" s="198"/>
      <c r="GA10" s="198"/>
      <c r="GB10" s="198"/>
      <c r="GC10" s="198"/>
      <c r="GD10" s="198"/>
      <c r="GE10" s="198"/>
      <c r="GF10" s="198"/>
      <c r="GG10" s="198"/>
      <c r="GH10" s="198"/>
      <c r="GI10" s="198"/>
      <c r="GJ10" s="198"/>
      <c r="GK10" s="198"/>
      <c r="GL10" s="198"/>
      <c r="GM10" s="198"/>
      <c r="GN10" s="198"/>
      <c r="GO10" s="198"/>
      <c r="GP10" s="198"/>
      <c r="GQ10" s="198"/>
      <c r="GR10" s="198"/>
      <c r="GS10" s="198"/>
      <c r="GT10" s="198"/>
      <c r="GU10" s="198"/>
      <c r="GV10" s="198"/>
      <c r="GW10" s="198"/>
      <c r="GX10" s="198"/>
      <c r="GY10" s="198"/>
      <c r="GZ10" s="198"/>
      <c r="HA10" s="198"/>
      <c r="HB10" s="198"/>
      <c r="HC10" s="198"/>
      <c r="HD10" s="198"/>
      <c r="HE10" s="198"/>
      <c r="HF10" s="198"/>
      <c r="HG10" s="198"/>
      <c r="HH10" s="198"/>
      <c r="HI10" s="198"/>
      <c r="HJ10" s="198"/>
      <c r="HK10" s="198"/>
      <c r="HL10" s="198"/>
      <c r="HM10" s="198"/>
      <c r="HN10" s="198"/>
      <c r="HO10" s="198"/>
      <c r="HP10" s="198"/>
      <c r="HQ10" s="198"/>
      <c r="HR10" s="198"/>
      <c r="HS10" s="198"/>
      <c r="HT10" s="198"/>
      <c r="HU10" s="198"/>
      <c r="HV10" s="198"/>
      <c r="HW10" s="198"/>
      <c r="HX10" s="198"/>
      <c r="HY10" s="198"/>
      <c r="HZ10" s="198"/>
      <c r="IA10" s="198"/>
      <c r="IB10" s="198"/>
      <c r="IC10" s="198"/>
      <c r="ID10" s="198"/>
      <c r="IE10" s="198"/>
      <c r="IF10" s="198"/>
      <c r="IG10" s="198"/>
      <c r="IH10" s="198"/>
      <c r="II10" s="198"/>
      <c r="IJ10" s="198"/>
      <c r="IK10" s="198"/>
      <c r="IL10" s="198"/>
      <c r="IM10" s="198"/>
      <c r="IN10" s="198"/>
      <c r="IO10" s="198"/>
      <c r="IP10" s="198"/>
      <c r="IQ10" s="198"/>
      <c r="IR10" s="198"/>
      <c r="IS10" s="198"/>
      <c r="IT10" s="198"/>
      <c r="IU10" s="198"/>
      <c r="IV10" s="198"/>
    </row>
    <row r="11" s="199" customFormat="true" ht="12.75" hidden="false" customHeight="true" outlineLevel="0" collapsed="false">
      <c r="A11" s="157" t="str">
        <f aca="false">IF(Eingabe!A60="","",Eingabe!A60)</f>
        <v/>
      </c>
      <c r="B11" s="157"/>
      <c r="C11" s="157"/>
      <c r="D11" s="158" t="str">
        <f aca="false">IF(Eingabe!B60="","",Eingabe!B60)</f>
        <v/>
      </c>
      <c r="E11" s="158"/>
      <c r="F11" s="158"/>
      <c r="G11" s="158"/>
      <c r="H11" s="159" t="str">
        <f aca="false">IF(Eingabe!C60="","",Eingabe!C60)</f>
        <v/>
      </c>
      <c r="I11" s="159"/>
      <c r="J11" s="159"/>
      <c r="K11" s="159"/>
      <c r="L11" s="160" t="str">
        <f aca="false">IF(Eingabe!D60="","",Eingabe!D60)</f>
        <v/>
      </c>
      <c r="M11" s="160"/>
      <c r="N11" s="160"/>
      <c r="O11" s="160"/>
      <c r="P11" s="160"/>
      <c r="Q11" s="160"/>
      <c r="R11" s="160"/>
      <c r="S11" s="160"/>
      <c r="T11" s="160"/>
      <c r="U11" s="160"/>
      <c r="V11" s="160"/>
      <c r="W11" s="160"/>
      <c r="X11" s="160"/>
      <c r="Y11" s="160"/>
      <c r="Z11" s="160"/>
      <c r="AA11" s="160"/>
      <c r="AB11" s="160"/>
      <c r="AC11" s="160"/>
      <c r="AD11" s="160"/>
      <c r="AE11" s="160"/>
      <c r="AF11" s="160"/>
      <c r="AG11" s="160"/>
      <c r="AH11" s="200" t="str">
        <f aca="false">IF(Eingabe!F60&amp;Eingabe!G60="","",Eingabe!F60&amp;"  /  "&amp;Eingabe!G60)</f>
        <v/>
      </c>
      <c r="AI11" s="200"/>
      <c r="AJ11" s="200"/>
      <c r="AK11" s="200"/>
      <c r="AL11" s="200"/>
      <c r="AM11" s="200"/>
      <c r="AN11" s="200"/>
      <c r="AO11" s="200"/>
      <c r="AP11" s="200"/>
      <c r="AQ11" s="200"/>
      <c r="AR11" s="200"/>
      <c r="AS11" s="200"/>
      <c r="AT11" s="200"/>
      <c r="AU11" s="200"/>
      <c r="AV11" s="200"/>
      <c r="AW11" s="200"/>
      <c r="AX11" s="200"/>
      <c r="AY11" s="200"/>
      <c r="AZ11" s="200"/>
      <c r="BA11" s="200"/>
      <c r="BB11" s="200"/>
      <c r="BC11" s="200"/>
      <c r="BD11" s="200"/>
      <c r="BE11" s="201" t="str">
        <f aca="false">IF(Eingabe!I60="","",Eingabe!I60)</f>
        <v/>
      </c>
      <c r="BF11" s="201"/>
      <c r="BG11" s="201"/>
      <c r="BH11" s="201"/>
      <c r="BI11" s="201"/>
      <c r="BJ11" s="202" t="str">
        <f aca="false">IF(Eingabe!I60="","",Eingabe!I60*Eingabe!B60)</f>
        <v/>
      </c>
      <c r="BK11" s="202"/>
      <c r="BL11" s="202"/>
      <c r="BM11" s="202"/>
      <c r="BN11" s="202"/>
      <c r="BO11" s="198"/>
      <c r="BP11" s="198"/>
      <c r="BQ11" s="198"/>
      <c r="BR11" s="198"/>
      <c r="BS11" s="198"/>
      <c r="BT11" s="198"/>
      <c r="BU11" s="198"/>
      <c r="BV11" s="198"/>
      <c r="BW11" s="198"/>
      <c r="BX11" s="198"/>
      <c r="BY11" s="198"/>
      <c r="BZ11" s="198"/>
      <c r="CA11" s="198"/>
      <c r="CB11" s="198"/>
      <c r="CC11" s="198"/>
      <c r="CD11" s="198"/>
      <c r="CE11" s="198"/>
      <c r="CF11" s="198"/>
      <c r="CG11" s="198"/>
      <c r="CH11" s="198"/>
      <c r="CI11" s="198"/>
      <c r="CJ11" s="198"/>
      <c r="CK11" s="198"/>
      <c r="CL11" s="198"/>
      <c r="CM11" s="198"/>
      <c r="CN11" s="198"/>
      <c r="CO11" s="198"/>
      <c r="CP11" s="198"/>
      <c r="CQ11" s="198"/>
      <c r="CR11" s="198"/>
      <c r="CS11" s="198"/>
      <c r="CT11" s="198"/>
      <c r="CU11" s="198"/>
      <c r="CV11" s="198"/>
      <c r="CW11" s="198"/>
      <c r="CX11" s="198"/>
      <c r="CY11" s="198"/>
      <c r="CZ11" s="198"/>
      <c r="DA11" s="198"/>
      <c r="DB11" s="198"/>
      <c r="DC11" s="198"/>
      <c r="DD11" s="198"/>
      <c r="DE11" s="198"/>
      <c r="DF11" s="198"/>
      <c r="DG11" s="198"/>
      <c r="DH11" s="198"/>
      <c r="DI11" s="198"/>
      <c r="DJ11" s="198"/>
      <c r="DK11" s="198"/>
      <c r="DL11" s="198"/>
      <c r="DM11" s="198"/>
      <c r="DN11" s="198"/>
      <c r="DO11" s="198"/>
      <c r="DP11" s="198"/>
      <c r="DQ11" s="198"/>
      <c r="DR11" s="198"/>
      <c r="DS11" s="198"/>
      <c r="DT11" s="198"/>
      <c r="DU11" s="198"/>
      <c r="DV11" s="198"/>
      <c r="DW11" s="198"/>
      <c r="DX11" s="198"/>
      <c r="DY11" s="198"/>
      <c r="DZ11" s="198"/>
      <c r="EA11" s="198"/>
      <c r="EB11" s="198"/>
      <c r="EC11" s="198"/>
      <c r="ED11" s="198"/>
      <c r="EE11" s="198"/>
      <c r="EF11" s="198"/>
      <c r="EG11" s="198"/>
      <c r="EH11" s="198"/>
      <c r="EI11" s="198"/>
      <c r="EJ11" s="198"/>
      <c r="EK11" s="198"/>
      <c r="EL11" s="198"/>
      <c r="EM11" s="198"/>
      <c r="EN11" s="198"/>
      <c r="EO11" s="198"/>
      <c r="EP11" s="198"/>
      <c r="EQ11" s="198"/>
      <c r="ER11" s="198"/>
      <c r="ES11" s="198"/>
      <c r="ET11" s="198"/>
      <c r="EU11" s="198"/>
      <c r="EV11" s="198"/>
      <c r="EW11" s="198"/>
      <c r="EX11" s="198"/>
      <c r="EY11" s="198"/>
      <c r="EZ11" s="198"/>
      <c r="FA11" s="198"/>
      <c r="FB11" s="198"/>
      <c r="FC11" s="198"/>
      <c r="FD11" s="198"/>
      <c r="FE11" s="198"/>
      <c r="FF11" s="198"/>
      <c r="FG11" s="198"/>
      <c r="FH11" s="198"/>
      <c r="FI11" s="198"/>
      <c r="FJ11" s="198"/>
      <c r="FK11" s="198"/>
      <c r="FL11" s="198"/>
      <c r="FM11" s="198"/>
      <c r="FN11" s="198"/>
      <c r="FO11" s="198"/>
      <c r="FP11" s="198"/>
      <c r="FQ11" s="198"/>
      <c r="FR11" s="198"/>
      <c r="FS11" s="198"/>
      <c r="FT11" s="198"/>
      <c r="FU11" s="198"/>
      <c r="FV11" s="198"/>
      <c r="FW11" s="198"/>
      <c r="FX11" s="198"/>
      <c r="FY11" s="198"/>
      <c r="FZ11" s="198"/>
      <c r="GA11" s="198"/>
      <c r="GB11" s="198"/>
      <c r="GC11" s="198"/>
      <c r="GD11" s="198"/>
      <c r="GE11" s="198"/>
      <c r="GF11" s="198"/>
      <c r="GG11" s="198"/>
      <c r="GH11" s="198"/>
      <c r="GI11" s="198"/>
      <c r="GJ11" s="198"/>
      <c r="GK11" s="198"/>
      <c r="GL11" s="198"/>
      <c r="GM11" s="198"/>
      <c r="GN11" s="198"/>
      <c r="GO11" s="198"/>
      <c r="GP11" s="198"/>
      <c r="GQ11" s="198"/>
      <c r="GR11" s="198"/>
      <c r="GS11" s="198"/>
      <c r="GT11" s="198"/>
      <c r="GU11" s="198"/>
      <c r="GV11" s="198"/>
      <c r="GW11" s="198"/>
      <c r="GX11" s="198"/>
      <c r="GY11" s="198"/>
      <c r="GZ11" s="198"/>
      <c r="HA11" s="198"/>
      <c r="HB11" s="198"/>
      <c r="HC11" s="198"/>
      <c r="HD11" s="198"/>
      <c r="HE11" s="198"/>
      <c r="HF11" s="198"/>
      <c r="HG11" s="198"/>
      <c r="HH11" s="198"/>
      <c r="HI11" s="198"/>
      <c r="HJ11" s="198"/>
      <c r="HK11" s="198"/>
      <c r="HL11" s="198"/>
      <c r="HM11" s="198"/>
      <c r="HN11" s="198"/>
      <c r="HO11" s="198"/>
      <c r="HP11" s="198"/>
      <c r="HQ11" s="198"/>
      <c r="HR11" s="198"/>
      <c r="HS11" s="198"/>
      <c r="HT11" s="198"/>
      <c r="HU11" s="198"/>
      <c r="HV11" s="198"/>
      <c r="HW11" s="198"/>
      <c r="HX11" s="198"/>
      <c r="HY11" s="198"/>
      <c r="HZ11" s="198"/>
      <c r="IA11" s="198"/>
      <c r="IB11" s="198"/>
      <c r="IC11" s="198"/>
      <c r="ID11" s="198"/>
      <c r="IE11" s="198"/>
      <c r="IF11" s="198"/>
      <c r="IG11" s="198"/>
      <c r="IH11" s="198"/>
      <c r="II11" s="198"/>
      <c r="IJ11" s="198"/>
      <c r="IK11" s="198"/>
      <c r="IL11" s="198"/>
      <c r="IM11" s="198"/>
      <c r="IN11" s="198"/>
      <c r="IO11" s="198"/>
      <c r="IP11" s="198"/>
      <c r="IQ11" s="198"/>
      <c r="IR11" s="198"/>
      <c r="IS11" s="198"/>
      <c r="IT11" s="198"/>
      <c r="IU11" s="198"/>
      <c r="IV11" s="198"/>
    </row>
    <row r="12" s="199" customFormat="true" ht="12.75" hidden="false" customHeight="true" outlineLevel="0" collapsed="false">
      <c r="A12" s="157" t="str">
        <f aca="false">IF(Eingabe!A61="","",Eingabe!A61)</f>
        <v/>
      </c>
      <c r="B12" s="157"/>
      <c r="C12" s="157"/>
      <c r="D12" s="158" t="str">
        <f aca="false">IF(Eingabe!B61="","",Eingabe!B61)</f>
        <v/>
      </c>
      <c r="E12" s="158"/>
      <c r="F12" s="158"/>
      <c r="G12" s="158"/>
      <c r="H12" s="159" t="str">
        <f aca="false">IF(Eingabe!C61="","",Eingabe!C61)</f>
        <v/>
      </c>
      <c r="I12" s="159"/>
      <c r="J12" s="159"/>
      <c r="K12" s="159"/>
      <c r="L12" s="160" t="str">
        <f aca="false">IF(Eingabe!D61="","",Eingabe!D61)</f>
        <v/>
      </c>
      <c r="M12" s="160"/>
      <c r="N12" s="160"/>
      <c r="O12" s="160"/>
      <c r="P12" s="160"/>
      <c r="Q12" s="160"/>
      <c r="R12" s="160"/>
      <c r="S12" s="160"/>
      <c r="T12" s="160"/>
      <c r="U12" s="160"/>
      <c r="V12" s="160"/>
      <c r="W12" s="160"/>
      <c r="X12" s="160"/>
      <c r="Y12" s="160"/>
      <c r="Z12" s="160"/>
      <c r="AA12" s="160"/>
      <c r="AB12" s="160"/>
      <c r="AC12" s="160"/>
      <c r="AD12" s="160"/>
      <c r="AE12" s="160"/>
      <c r="AF12" s="160"/>
      <c r="AG12" s="160"/>
      <c r="AH12" s="200" t="str">
        <f aca="false">IF(Eingabe!F61&amp;Eingabe!G61="","",Eingabe!F61&amp;"  /  "&amp;Eingabe!G61)</f>
        <v/>
      </c>
      <c r="AI12" s="200"/>
      <c r="AJ12" s="200"/>
      <c r="AK12" s="200"/>
      <c r="AL12" s="200"/>
      <c r="AM12" s="200"/>
      <c r="AN12" s="200"/>
      <c r="AO12" s="200"/>
      <c r="AP12" s="200"/>
      <c r="AQ12" s="200"/>
      <c r="AR12" s="200"/>
      <c r="AS12" s="200"/>
      <c r="AT12" s="200"/>
      <c r="AU12" s="200"/>
      <c r="AV12" s="200"/>
      <c r="AW12" s="200"/>
      <c r="AX12" s="200"/>
      <c r="AY12" s="200"/>
      <c r="AZ12" s="200"/>
      <c r="BA12" s="200"/>
      <c r="BB12" s="200"/>
      <c r="BC12" s="200"/>
      <c r="BD12" s="200"/>
      <c r="BE12" s="201" t="str">
        <f aca="false">IF(Eingabe!I61="","",Eingabe!I61)</f>
        <v/>
      </c>
      <c r="BF12" s="201"/>
      <c r="BG12" s="201"/>
      <c r="BH12" s="201"/>
      <c r="BI12" s="201"/>
      <c r="BJ12" s="202" t="str">
        <f aca="false">IF(Eingabe!I61="","",Eingabe!I61*Eingabe!B61)</f>
        <v/>
      </c>
      <c r="BK12" s="202"/>
      <c r="BL12" s="202"/>
      <c r="BM12" s="202"/>
      <c r="BN12" s="202"/>
      <c r="BO12" s="198"/>
      <c r="BP12" s="198"/>
      <c r="BQ12" s="198"/>
      <c r="BR12" s="198"/>
      <c r="BS12" s="198"/>
      <c r="BT12" s="198"/>
      <c r="BU12" s="198"/>
      <c r="BV12" s="198"/>
      <c r="BW12" s="198"/>
      <c r="BX12" s="198"/>
      <c r="BY12" s="198"/>
      <c r="BZ12" s="198"/>
      <c r="CA12" s="198"/>
      <c r="CB12" s="198"/>
      <c r="CC12" s="198"/>
      <c r="CD12" s="198"/>
      <c r="CE12" s="198"/>
      <c r="CF12" s="198"/>
      <c r="CG12" s="198"/>
      <c r="CH12" s="198"/>
      <c r="CI12" s="198"/>
      <c r="CJ12" s="198"/>
      <c r="CK12" s="198"/>
      <c r="CL12" s="198"/>
      <c r="CM12" s="198"/>
      <c r="CN12" s="198"/>
      <c r="CO12" s="198"/>
      <c r="CP12" s="198"/>
      <c r="CQ12" s="198"/>
      <c r="CR12" s="198"/>
      <c r="CS12" s="198"/>
      <c r="CT12" s="198"/>
      <c r="CU12" s="198"/>
      <c r="CV12" s="198"/>
      <c r="CW12" s="198"/>
      <c r="CX12" s="198"/>
      <c r="CY12" s="198"/>
      <c r="CZ12" s="198"/>
      <c r="DA12" s="198"/>
      <c r="DB12" s="198"/>
      <c r="DC12" s="198"/>
      <c r="DD12" s="198"/>
      <c r="DE12" s="198"/>
      <c r="DF12" s="198"/>
      <c r="DG12" s="198"/>
      <c r="DH12" s="198"/>
      <c r="DI12" s="198"/>
      <c r="DJ12" s="198"/>
      <c r="DK12" s="198"/>
      <c r="DL12" s="198"/>
      <c r="DM12" s="198"/>
      <c r="DN12" s="198"/>
      <c r="DO12" s="198"/>
      <c r="DP12" s="198"/>
      <c r="DQ12" s="198"/>
      <c r="DR12" s="198"/>
      <c r="DS12" s="198"/>
      <c r="DT12" s="198"/>
      <c r="DU12" s="198"/>
      <c r="DV12" s="198"/>
      <c r="DW12" s="198"/>
      <c r="DX12" s="198"/>
      <c r="DY12" s="198"/>
      <c r="DZ12" s="198"/>
      <c r="EA12" s="198"/>
      <c r="EB12" s="198"/>
      <c r="EC12" s="198"/>
      <c r="ED12" s="198"/>
      <c r="EE12" s="198"/>
      <c r="EF12" s="198"/>
      <c r="EG12" s="198"/>
      <c r="EH12" s="198"/>
      <c r="EI12" s="198"/>
      <c r="EJ12" s="198"/>
      <c r="EK12" s="198"/>
      <c r="EL12" s="198"/>
      <c r="EM12" s="198"/>
      <c r="EN12" s="198"/>
      <c r="EO12" s="198"/>
      <c r="EP12" s="198"/>
      <c r="EQ12" s="198"/>
      <c r="ER12" s="198"/>
      <c r="ES12" s="198"/>
      <c r="ET12" s="198"/>
      <c r="EU12" s="198"/>
      <c r="EV12" s="198"/>
      <c r="EW12" s="198"/>
      <c r="EX12" s="198"/>
      <c r="EY12" s="198"/>
      <c r="EZ12" s="198"/>
      <c r="FA12" s="198"/>
      <c r="FB12" s="198"/>
      <c r="FC12" s="198"/>
      <c r="FD12" s="198"/>
      <c r="FE12" s="198"/>
      <c r="FF12" s="198"/>
      <c r="FG12" s="198"/>
      <c r="FH12" s="198"/>
      <c r="FI12" s="198"/>
      <c r="FJ12" s="198"/>
      <c r="FK12" s="198"/>
      <c r="FL12" s="198"/>
      <c r="FM12" s="198"/>
      <c r="FN12" s="198"/>
      <c r="FO12" s="198"/>
      <c r="FP12" s="198"/>
      <c r="FQ12" s="198"/>
      <c r="FR12" s="198"/>
      <c r="FS12" s="198"/>
      <c r="FT12" s="198"/>
      <c r="FU12" s="198"/>
      <c r="FV12" s="198"/>
      <c r="FW12" s="198"/>
      <c r="FX12" s="198"/>
      <c r="FY12" s="198"/>
      <c r="FZ12" s="198"/>
      <c r="GA12" s="198"/>
      <c r="GB12" s="198"/>
      <c r="GC12" s="198"/>
      <c r="GD12" s="198"/>
      <c r="GE12" s="198"/>
      <c r="GF12" s="198"/>
      <c r="GG12" s="198"/>
      <c r="GH12" s="198"/>
      <c r="GI12" s="198"/>
      <c r="GJ12" s="198"/>
      <c r="GK12" s="198"/>
      <c r="GL12" s="198"/>
      <c r="GM12" s="198"/>
      <c r="GN12" s="198"/>
      <c r="GO12" s="198"/>
      <c r="GP12" s="198"/>
      <c r="GQ12" s="198"/>
      <c r="GR12" s="198"/>
      <c r="GS12" s="198"/>
      <c r="GT12" s="198"/>
      <c r="GU12" s="198"/>
      <c r="GV12" s="198"/>
      <c r="GW12" s="198"/>
      <c r="GX12" s="198"/>
      <c r="GY12" s="198"/>
      <c r="GZ12" s="198"/>
      <c r="HA12" s="198"/>
      <c r="HB12" s="198"/>
      <c r="HC12" s="198"/>
      <c r="HD12" s="198"/>
      <c r="HE12" s="198"/>
      <c r="HF12" s="198"/>
      <c r="HG12" s="198"/>
      <c r="HH12" s="198"/>
      <c r="HI12" s="198"/>
      <c r="HJ12" s="198"/>
      <c r="HK12" s="198"/>
      <c r="HL12" s="198"/>
      <c r="HM12" s="198"/>
      <c r="HN12" s="198"/>
      <c r="HO12" s="198"/>
      <c r="HP12" s="198"/>
      <c r="HQ12" s="198"/>
      <c r="HR12" s="198"/>
      <c r="HS12" s="198"/>
      <c r="HT12" s="198"/>
      <c r="HU12" s="198"/>
      <c r="HV12" s="198"/>
      <c r="HW12" s="198"/>
      <c r="HX12" s="198"/>
      <c r="HY12" s="198"/>
      <c r="HZ12" s="198"/>
      <c r="IA12" s="198"/>
      <c r="IB12" s="198"/>
      <c r="IC12" s="198"/>
      <c r="ID12" s="198"/>
      <c r="IE12" s="198"/>
      <c r="IF12" s="198"/>
      <c r="IG12" s="198"/>
      <c r="IH12" s="198"/>
      <c r="II12" s="198"/>
      <c r="IJ12" s="198"/>
      <c r="IK12" s="198"/>
      <c r="IL12" s="198"/>
      <c r="IM12" s="198"/>
      <c r="IN12" s="198"/>
      <c r="IO12" s="198"/>
      <c r="IP12" s="198"/>
      <c r="IQ12" s="198"/>
      <c r="IR12" s="198"/>
      <c r="IS12" s="198"/>
      <c r="IT12" s="198"/>
      <c r="IU12" s="198"/>
      <c r="IV12" s="198"/>
    </row>
    <row r="13" s="199" customFormat="true" ht="12.75" hidden="false" customHeight="true" outlineLevel="0" collapsed="false">
      <c r="A13" s="157" t="str">
        <f aca="false">IF(Eingabe!A62="","",Eingabe!A62)</f>
        <v/>
      </c>
      <c r="B13" s="157"/>
      <c r="C13" s="157"/>
      <c r="D13" s="158" t="str">
        <f aca="false">IF(Eingabe!B62="","",Eingabe!B62)</f>
        <v/>
      </c>
      <c r="E13" s="158"/>
      <c r="F13" s="158"/>
      <c r="G13" s="158"/>
      <c r="H13" s="159" t="str">
        <f aca="false">IF(Eingabe!C62="","",Eingabe!C62)</f>
        <v/>
      </c>
      <c r="I13" s="159"/>
      <c r="J13" s="159"/>
      <c r="K13" s="159"/>
      <c r="L13" s="160" t="str">
        <f aca="false">IF(Eingabe!D62="","",Eingabe!D62)</f>
        <v/>
      </c>
      <c r="M13" s="160"/>
      <c r="N13" s="160"/>
      <c r="O13" s="160"/>
      <c r="P13" s="160"/>
      <c r="Q13" s="160"/>
      <c r="R13" s="160"/>
      <c r="S13" s="160"/>
      <c r="T13" s="160"/>
      <c r="U13" s="160"/>
      <c r="V13" s="160"/>
      <c r="W13" s="160"/>
      <c r="X13" s="160"/>
      <c r="Y13" s="160"/>
      <c r="Z13" s="160"/>
      <c r="AA13" s="160"/>
      <c r="AB13" s="160"/>
      <c r="AC13" s="160"/>
      <c r="AD13" s="160"/>
      <c r="AE13" s="160"/>
      <c r="AF13" s="160"/>
      <c r="AG13" s="160"/>
      <c r="AH13" s="200" t="str">
        <f aca="false">IF(Eingabe!F62&amp;Eingabe!G62="","",Eingabe!F62&amp;"  /  "&amp;Eingabe!G62)</f>
        <v/>
      </c>
      <c r="AI13" s="200"/>
      <c r="AJ13" s="200"/>
      <c r="AK13" s="200"/>
      <c r="AL13" s="200"/>
      <c r="AM13" s="200"/>
      <c r="AN13" s="200"/>
      <c r="AO13" s="200"/>
      <c r="AP13" s="200"/>
      <c r="AQ13" s="200"/>
      <c r="AR13" s="200"/>
      <c r="AS13" s="200"/>
      <c r="AT13" s="200"/>
      <c r="AU13" s="200"/>
      <c r="AV13" s="200"/>
      <c r="AW13" s="200"/>
      <c r="AX13" s="200"/>
      <c r="AY13" s="200"/>
      <c r="AZ13" s="200"/>
      <c r="BA13" s="200"/>
      <c r="BB13" s="200"/>
      <c r="BC13" s="200"/>
      <c r="BD13" s="200"/>
      <c r="BE13" s="201" t="str">
        <f aca="false">IF(Eingabe!I62="","",Eingabe!I62)</f>
        <v/>
      </c>
      <c r="BF13" s="201"/>
      <c r="BG13" s="201"/>
      <c r="BH13" s="201"/>
      <c r="BI13" s="201"/>
      <c r="BJ13" s="202" t="str">
        <f aca="false">IF(Eingabe!I62="","",Eingabe!I62*Eingabe!B62)</f>
        <v/>
      </c>
      <c r="BK13" s="202"/>
      <c r="BL13" s="202"/>
      <c r="BM13" s="202"/>
      <c r="BN13" s="202"/>
      <c r="BO13" s="198"/>
      <c r="BP13" s="198"/>
      <c r="BQ13" s="198"/>
      <c r="BR13" s="198"/>
      <c r="BS13" s="198"/>
      <c r="BT13" s="198"/>
      <c r="BU13" s="198"/>
      <c r="BV13" s="198"/>
      <c r="BW13" s="198"/>
      <c r="BX13" s="198"/>
      <c r="BY13" s="198"/>
      <c r="BZ13" s="198"/>
      <c r="CA13" s="198"/>
      <c r="CB13" s="198"/>
      <c r="CC13" s="198"/>
      <c r="CD13" s="198"/>
      <c r="CE13" s="198"/>
      <c r="CF13" s="198"/>
      <c r="CG13" s="198"/>
      <c r="CH13" s="198"/>
      <c r="CI13" s="198"/>
      <c r="CJ13" s="198"/>
      <c r="CK13" s="198"/>
      <c r="CL13" s="198"/>
      <c r="CM13" s="198"/>
      <c r="CN13" s="198"/>
      <c r="CO13" s="198"/>
      <c r="CP13" s="198"/>
      <c r="CQ13" s="198"/>
      <c r="CR13" s="198"/>
      <c r="CS13" s="198"/>
      <c r="CT13" s="198"/>
      <c r="CU13" s="198"/>
      <c r="CV13" s="198"/>
      <c r="CW13" s="198"/>
      <c r="CX13" s="198"/>
      <c r="CY13" s="198"/>
      <c r="CZ13" s="198"/>
      <c r="DA13" s="198"/>
      <c r="DB13" s="198"/>
      <c r="DC13" s="198"/>
      <c r="DD13" s="198"/>
      <c r="DE13" s="198"/>
      <c r="DF13" s="198"/>
      <c r="DG13" s="198"/>
      <c r="DH13" s="198"/>
      <c r="DI13" s="198"/>
      <c r="DJ13" s="198"/>
      <c r="DK13" s="198"/>
      <c r="DL13" s="198"/>
      <c r="DM13" s="198"/>
      <c r="DN13" s="198"/>
      <c r="DO13" s="198"/>
      <c r="DP13" s="198"/>
      <c r="DQ13" s="198"/>
      <c r="DR13" s="198"/>
      <c r="DS13" s="198"/>
      <c r="DT13" s="198"/>
      <c r="DU13" s="198"/>
      <c r="DV13" s="198"/>
      <c r="DW13" s="198"/>
      <c r="DX13" s="198"/>
      <c r="DY13" s="198"/>
      <c r="DZ13" s="198"/>
      <c r="EA13" s="198"/>
      <c r="EB13" s="198"/>
      <c r="EC13" s="198"/>
      <c r="ED13" s="198"/>
      <c r="EE13" s="198"/>
      <c r="EF13" s="198"/>
      <c r="EG13" s="198"/>
      <c r="EH13" s="198"/>
      <c r="EI13" s="198"/>
      <c r="EJ13" s="198"/>
      <c r="EK13" s="198"/>
      <c r="EL13" s="198"/>
      <c r="EM13" s="198"/>
      <c r="EN13" s="198"/>
      <c r="EO13" s="198"/>
      <c r="EP13" s="198"/>
      <c r="EQ13" s="198"/>
      <c r="ER13" s="198"/>
      <c r="ES13" s="198"/>
      <c r="ET13" s="198"/>
      <c r="EU13" s="198"/>
      <c r="EV13" s="198"/>
      <c r="EW13" s="198"/>
      <c r="EX13" s="198"/>
      <c r="EY13" s="198"/>
      <c r="EZ13" s="198"/>
      <c r="FA13" s="198"/>
      <c r="FB13" s="198"/>
      <c r="FC13" s="198"/>
      <c r="FD13" s="198"/>
      <c r="FE13" s="198"/>
      <c r="FF13" s="198"/>
      <c r="FG13" s="198"/>
      <c r="FH13" s="198"/>
      <c r="FI13" s="198"/>
      <c r="FJ13" s="198"/>
      <c r="FK13" s="198"/>
      <c r="FL13" s="198"/>
      <c r="FM13" s="198"/>
      <c r="FN13" s="198"/>
      <c r="FO13" s="198"/>
      <c r="FP13" s="198"/>
      <c r="FQ13" s="198"/>
      <c r="FR13" s="198"/>
      <c r="FS13" s="198"/>
      <c r="FT13" s="198"/>
      <c r="FU13" s="198"/>
      <c r="FV13" s="198"/>
      <c r="FW13" s="198"/>
      <c r="FX13" s="198"/>
      <c r="FY13" s="198"/>
      <c r="FZ13" s="198"/>
      <c r="GA13" s="198"/>
      <c r="GB13" s="198"/>
      <c r="GC13" s="198"/>
      <c r="GD13" s="198"/>
      <c r="GE13" s="198"/>
      <c r="GF13" s="198"/>
      <c r="GG13" s="198"/>
      <c r="GH13" s="198"/>
      <c r="GI13" s="198"/>
      <c r="GJ13" s="198"/>
      <c r="GK13" s="198"/>
      <c r="GL13" s="198"/>
      <c r="GM13" s="198"/>
      <c r="GN13" s="198"/>
      <c r="GO13" s="198"/>
      <c r="GP13" s="198"/>
      <c r="GQ13" s="198"/>
      <c r="GR13" s="198"/>
      <c r="GS13" s="198"/>
      <c r="GT13" s="198"/>
      <c r="GU13" s="198"/>
      <c r="GV13" s="198"/>
      <c r="GW13" s="198"/>
      <c r="GX13" s="198"/>
      <c r="GY13" s="198"/>
      <c r="GZ13" s="198"/>
      <c r="HA13" s="198"/>
      <c r="HB13" s="198"/>
      <c r="HC13" s="198"/>
      <c r="HD13" s="198"/>
      <c r="HE13" s="198"/>
      <c r="HF13" s="198"/>
      <c r="HG13" s="198"/>
      <c r="HH13" s="198"/>
      <c r="HI13" s="198"/>
      <c r="HJ13" s="198"/>
      <c r="HK13" s="198"/>
      <c r="HL13" s="198"/>
      <c r="HM13" s="198"/>
      <c r="HN13" s="198"/>
      <c r="HO13" s="198"/>
      <c r="HP13" s="198"/>
      <c r="HQ13" s="198"/>
      <c r="HR13" s="198"/>
      <c r="HS13" s="198"/>
      <c r="HT13" s="198"/>
      <c r="HU13" s="198"/>
      <c r="HV13" s="198"/>
      <c r="HW13" s="198"/>
      <c r="HX13" s="198"/>
      <c r="HY13" s="198"/>
      <c r="HZ13" s="198"/>
      <c r="IA13" s="198"/>
      <c r="IB13" s="198"/>
      <c r="IC13" s="198"/>
      <c r="ID13" s="198"/>
      <c r="IE13" s="198"/>
      <c r="IF13" s="198"/>
      <c r="IG13" s="198"/>
      <c r="IH13" s="198"/>
      <c r="II13" s="198"/>
      <c r="IJ13" s="198"/>
      <c r="IK13" s="198"/>
      <c r="IL13" s="198"/>
      <c r="IM13" s="198"/>
      <c r="IN13" s="198"/>
      <c r="IO13" s="198"/>
      <c r="IP13" s="198"/>
      <c r="IQ13" s="198"/>
      <c r="IR13" s="198"/>
      <c r="IS13" s="198"/>
      <c r="IT13" s="198"/>
      <c r="IU13" s="198"/>
      <c r="IV13" s="198"/>
    </row>
    <row r="14" s="199" customFormat="true" ht="12.75" hidden="false" customHeight="true" outlineLevel="0" collapsed="false">
      <c r="A14" s="157" t="str">
        <f aca="false">IF(Eingabe!A63="","",Eingabe!A63)</f>
        <v/>
      </c>
      <c r="B14" s="157"/>
      <c r="C14" s="157"/>
      <c r="D14" s="158" t="str">
        <f aca="false">IF(Eingabe!B63="","",Eingabe!B63)</f>
        <v/>
      </c>
      <c r="E14" s="158"/>
      <c r="F14" s="158"/>
      <c r="G14" s="158"/>
      <c r="H14" s="159" t="str">
        <f aca="false">IF(Eingabe!C63="","",Eingabe!C63)</f>
        <v/>
      </c>
      <c r="I14" s="159"/>
      <c r="J14" s="159"/>
      <c r="K14" s="159"/>
      <c r="L14" s="160" t="str">
        <f aca="false">IF(Eingabe!D63="","",Eingabe!D63)</f>
        <v/>
      </c>
      <c r="M14" s="160"/>
      <c r="N14" s="160"/>
      <c r="O14" s="160"/>
      <c r="P14" s="160"/>
      <c r="Q14" s="160"/>
      <c r="R14" s="160"/>
      <c r="S14" s="160"/>
      <c r="T14" s="160"/>
      <c r="U14" s="160"/>
      <c r="V14" s="160"/>
      <c r="W14" s="160"/>
      <c r="X14" s="160"/>
      <c r="Y14" s="160"/>
      <c r="Z14" s="160"/>
      <c r="AA14" s="160"/>
      <c r="AB14" s="160"/>
      <c r="AC14" s="160"/>
      <c r="AD14" s="160"/>
      <c r="AE14" s="160"/>
      <c r="AF14" s="160"/>
      <c r="AG14" s="160"/>
      <c r="AH14" s="200" t="str">
        <f aca="false">IF(Eingabe!F63&amp;Eingabe!G63="","",Eingabe!F63&amp;"  /  "&amp;Eingabe!G63)</f>
        <v/>
      </c>
      <c r="AI14" s="200"/>
      <c r="AJ14" s="200"/>
      <c r="AK14" s="200"/>
      <c r="AL14" s="200"/>
      <c r="AM14" s="200"/>
      <c r="AN14" s="200"/>
      <c r="AO14" s="200"/>
      <c r="AP14" s="200"/>
      <c r="AQ14" s="200"/>
      <c r="AR14" s="200"/>
      <c r="AS14" s="200"/>
      <c r="AT14" s="200"/>
      <c r="AU14" s="200"/>
      <c r="AV14" s="200"/>
      <c r="AW14" s="200"/>
      <c r="AX14" s="200"/>
      <c r="AY14" s="200"/>
      <c r="AZ14" s="200"/>
      <c r="BA14" s="200"/>
      <c r="BB14" s="200"/>
      <c r="BC14" s="200"/>
      <c r="BD14" s="200"/>
      <c r="BE14" s="201" t="str">
        <f aca="false">IF(Eingabe!I63="","",Eingabe!I63)</f>
        <v/>
      </c>
      <c r="BF14" s="201"/>
      <c r="BG14" s="201"/>
      <c r="BH14" s="201"/>
      <c r="BI14" s="201"/>
      <c r="BJ14" s="202" t="str">
        <f aca="false">IF(Eingabe!I63="","",Eingabe!I63*Eingabe!B63)</f>
        <v/>
      </c>
      <c r="BK14" s="202"/>
      <c r="BL14" s="202"/>
      <c r="BM14" s="202"/>
      <c r="BN14" s="202"/>
      <c r="BO14" s="198"/>
      <c r="BP14" s="198"/>
      <c r="BQ14" s="198"/>
      <c r="BR14" s="198"/>
      <c r="BS14" s="198"/>
      <c r="BT14" s="198"/>
      <c r="BU14" s="198"/>
      <c r="BV14" s="198"/>
      <c r="BW14" s="198"/>
      <c r="BX14" s="198"/>
      <c r="BY14" s="198"/>
      <c r="BZ14" s="198"/>
      <c r="CA14" s="198"/>
      <c r="CB14" s="198"/>
      <c r="CC14" s="198"/>
      <c r="CD14" s="198"/>
      <c r="CE14" s="198"/>
      <c r="CF14" s="198"/>
      <c r="CG14" s="198"/>
      <c r="CH14" s="198"/>
      <c r="CI14" s="198"/>
      <c r="CJ14" s="198"/>
      <c r="CK14" s="198"/>
      <c r="CL14" s="198"/>
      <c r="CM14" s="198"/>
      <c r="CN14" s="198"/>
      <c r="CO14" s="198"/>
      <c r="CP14" s="198"/>
      <c r="CQ14" s="198"/>
      <c r="CR14" s="198"/>
      <c r="CS14" s="198"/>
      <c r="CT14" s="198"/>
      <c r="CU14" s="198"/>
      <c r="CV14" s="198"/>
      <c r="CW14" s="198"/>
      <c r="CX14" s="198"/>
      <c r="CY14" s="198"/>
      <c r="CZ14" s="198"/>
      <c r="DA14" s="198"/>
      <c r="DB14" s="198"/>
      <c r="DC14" s="198"/>
      <c r="DD14" s="198"/>
      <c r="DE14" s="198"/>
      <c r="DF14" s="198"/>
      <c r="DG14" s="198"/>
      <c r="DH14" s="198"/>
      <c r="DI14" s="198"/>
      <c r="DJ14" s="198"/>
      <c r="DK14" s="198"/>
      <c r="DL14" s="198"/>
      <c r="DM14" s="198"/>
      <c r="DN14" s="198"/>
      <c r="DO14" s="198"/>
      <c r="DP14" s="198"/>
      <c r="DQ14" s="198"/>
      <c r="DR14" s="198"/>
      <c r="DS14" s="198"/>
      <c r="DT14" s="198"/>
      <c r="DU14" s="198"/>
      <c r="DV14" s="198"/>
      <c r="DW14" s="198"/>
      <c r="DX14" s="198"/>
      <c r="DY14" s="198"/>
      <c r="DZ14" s="198"/>
      <c r="EA14" s="198"/>
      <c r="EB14" s="198"/>
      <c r="EC14" s="198"/>
      <c r="ED14" s="198"/>
      <c r="EE14" s="198"/>
      <c r="EF14" s="198"/>
      <c r="EG14" s="198"/>
      <c r="EH14" s="198"/>
      <c r="EI14" s="198"/>
      <c r="EJ14" s="198"/>
      <c r="EK14" s="198"/>
      <c r="EL14" s="198"/>
      <c r="EM14" s="198"/>
      <c r="EN14" s="198"/>
      <c r="EO14" s="198"/>
      <c r="EP14" s="198"/>
      <c r="EQ14" s="198"/>
      <c r="ER14" s="198"/>
      <c r="ES14" s="198"/>
      <c r="ET14" s="198"/>
      <c r="EU14" s="198"/>
      <c r="EV14" s="198"/>
      <c r="EW14" s="198"/>
      <c r="EX14" s="198"/>
      <c r="EY14" s="198"/>
      <c r="EZ14" s="198"/>
      <c r="FA14" s="198"/>
      <c r="FB14" s="198"/>
      <c r="FC14" s="198"/>
      <c r="FD14" s="198"/>
      <c r="FE14" s="198"/>
      <c r="FF14" s="198"/>
      <c r="FG14" s="198"/>
      <c r="FH14" s="198"/>
      <c r="FI14" s="198"/>
      <c r="FJ14" s="198"/>
      <c r="FK14" s="198"/>
      <c r="FL14" s="198"/>
      <c r="FM14" s="198"/>
      <c r="FN14" s="198"/>
      <c r="FO14" s="198"/>
      <c r="FP14" s="198"/>
      <c r="FQ14" s="198"/>
      <c r="FR14" s="198"/>
      <c r="FS14" s="198"/>
      <c r="FT14" s="198"/>
      <c r="FU14" s="198"/>
      <c r="FV14" s="198"/>
      <c r="FW14" s="198"/>
      <c r="FX14" s="198"/>
      <c r="FY14" s="198"/>
      <c r="FZ14" s="198"/>
      <c r="GA14" s="198"/>
      <c r="GB14" s="198"/>
      <c r="GC14" s="198"/>
      <c r="GD14" s="198"/>
      <c r="GE14" s="198"/>
      <c r="GF14" s="198"/>
      <c r="GG14" s="198"/>
      <c r="GH14" s="198"/>
      <c r="GI14" s="198"/>
      <c r="GJ14" s="198"/>
      <c r="GK14" s="198"/>
      <c r="GL14" s="198"/>
      <c r="GM14" s="198"/>
      <c r="GN14" s="198"/>
      <c r="GO14" s="198"/>
      <c r="GP14" s="198"/>
      <c r="GQ14" s="198"/>
      <c r="GR14" s="198"/>
      <c r="GS14" s="198"/>
      <c r="GT14" s="198"/>
      <c r="GU14" s="198"/>
      <c r="GV14" s="198"/>
      <c r="GW14" s="198"/>
      <c r="GX14" s="198"/>
      <c r="GY14" s="198"/>
      <c r="GZ14" s="198"/>
      <c r="HA14" s="198"/>
      <c r="HB14" s="198"/>
      <c r="HC14" s="198"/>
      <c r="HD14" s="198"/>
      <c r="HE14" s="198"/>
      <c r="HF14" s="198"/>
      <c r="HG14" s="198"/>
      <c r="HH14" s="198"/>
      <c r="HI14" s="198"/>
      <c r="HJ14" s="198"/>
      <c r="HK14" s="198"/>
      <c r="HL14" s="198"/>
      <c r="HM14" s="198"/>
      <c r="HN14" s="198"/>
      <c r="HO14" s="198"/>
      <c r="HP14" s="198"/>
      <c r="HQ14" s="198"/>
      <c r="HR14" s="198"/>
      <c r="HS14" s="198"/>
      <c r="HT14" s="198"/>
      <c r="HU14" s="198"/>
      <c r="HV14" s="198"/>
      <c r="HW14" s="198"/>
      <c r="HX14" s="198"/>
      <c r="HY14" s="198"/>
      <c r="HZ14" s="198"/>
      <c r="IA14" s="198"/>
      <c r="IB14" s="198"/>
      <c r="IC14" s="198"/>
      <c r="ID14" s="198"/>
      <c r="IE14" s="198"/>
      <c r="IF14" s="198"/>
      <c r="IG14" s="198"/>
      <c r="IH14" s="198"/>
      <c r="II14" s="198"/>
      <c r="IJ14" s="198"/>
      <c r="IK14" s="198"/>
      <c r="IL14" s="198"/>
      <c r="IM14" s="198"/>
      <c r="IN14" s="198"/>
      <c r="IO14" s="198"/>
      <c r="IP14" s="198"/>
      <c r="IQ14" s="198"/>
      <c r="IR14" s="198"/>
      <c r="IS14" s="198"/>
      <c r="IT14" s="198"/>
      <c r="IU14" s="198"/>
      <c r="IV14" s="198"/>
    </row>
    <row r="15" s="199" customFormat="true" ht="12.75" hidden="false" customHeight="true" outlineLevel="0" collapsed="false">
      <c r="A15" s="157" t="str">
        <f aca="false">IF(Eingabe!A64="","",Eingabe!A64)</f>
        <v/>
      </c>
      <c r="B15" s="157"/>
      <c r="C15" s="157"/>
      <c r="D15" s="158" t="str">
        <f aca="false">IF(Eingabe!B64="","",Eingabe!B64)</f>
        <v/>
      </c>
      <c r="E15" s="158"/>
      <c r="F15" s="158"/>
      <c r="G15" s="158"/>
      <c r="H15" s="159" t="str">
        <f aca="false">IF(Eingabe!C64="","",Eingabe!C64)</f>
        <v/>
      </c>
      <c r="I15" s="159"/>
      <c r="J15" s="159"/>
      <c r="K15" s="159"/>
      <c r="L15" s="160" t="str">
        <f aca="false">IF(Eingabe!D64="","",Eingabe!D64)</f>
        <v/>
      </c>
      <c r="M15" s="160"/>
      <c r="N15" s="160"/>
      <c r="O15" s="160"/>
      <c r="P15" s="160"/>
      <c r="Q15" s="160"/>
      <c r="R15" s="160"/>
      <c r="S15" s="160"/>
      <c r="T15" s="160"/>
      <c r="U15" s="160"/>
      <c r="V15" s="160"/>
      <c r="W15" s="160"/>
      <c r="X15" s="160"/>
      <c r="Y15" s="160"/>
      <c r="Z15" s="160"/>
      <c r="AA15" s="160"/>
      <c r="AB15" s="160"/>
      <c r="AC15" s="160"/>
      <c r="AD15" s="160"/>
      <c r="AE15" s="160"/>
      <c r="AF15" s="160"/>
      <c r="AG15" s="160"/>
      <c r="AH15" s="200" t="str">
        <f aca="false">IF(Eingabe!F64&amp;Eingabe!G64="","",Eingabe!F64&amp;"  /  "&amp;Eingabe!G64)</f>
        <v/>
      </c>
      <c r="AI15" s="200"/>
      <c r="AJ15" s="200"/>
      <c r="AK15" s="200"/>
      <c r="AL15" s="200"/>
      <c r="AM15" s="200"/>
      <c r="AN15" s="200"/>
      <c r="AO15" s="200"/>
      <c r="AP15" s="200"/>
      <c r="AQ15" s="200"/>
      <c r="AR15" s="200"/>
      <c r="AS15" s="200"/>
      <c r="AT15" s="200"/>
      <c r="AU15" s="200"/>
      <c r="AV15" s="200"/>
      <c r="AW15" s="200"/>
      <c r="AX15" s="200"/>
      <c r="AY15" s="200"/>
      <c r="AZ15" s="200"/>
      <c r="BA15" s="200"/>
      <c r="BB15" s="200"/>
      <c r="BC15" s="200"/>
      <c r="BD15" s="200"/>
      <c r="BE15" s="201" t="str">
        <f aca="false">IF(Eingabe!I64="","",Eingabe!I64)</f>
        <v/>
      </c>
      <c r="BF15" s="201"/>
      <c r="BG15" s="201"/>
      <c r="BH15" s="201"/>
      <c r="BI15" s="201"/>
      <c r="BJ15" s="202" t="str">
        <f aca="false">IF(Eingabe!I64="","",Eingabe!I64*Eingabe!B64)</f>
        <v/>
      </c>
      <c r="BK15" s="202"/>
      <c r="BL15" s="202"/>
      <c r="BM15" s="202"/>
      <c r="BN15" s="202"/>
      <c r="BO15" s="198"/>
      <c r="BP15" s="198"/>
      <c r="BQ15" s="198"/>
      <c r="BR15" s="198"/>
      <c r="BS15" s="198"/>
      <c r="BT15" s="198"/>
      <c r="BU15" s="198"/>
      <c r="BV15" s="198"/>
      <c r="BW15" s="198"/>
      <c r="BX15" s="198"/>
      <c r="BY15" s="198"/>
      <c r="BZ15" s="198"/>
      <c r="CA15" s="198"/>
      <c r="CB15" s="198"/>
      <c r="CC15" s="198"/>
      <c r="CD15" s="198"/>
      <c r="CE15" s="198"/>
      <c r="CF15" s="198"/>
      <c r="CG15" s="198"/>
      <c r="CH15" s="198"/>
      <c r="CI15" s="198"/>
      <c r="CJ15" s="198"/>
      <c r="CK15" s="198"/>
      <c r="CL15" s="198"/>
      <c r="CM15" s="198"/>
      <c r="CN15" s="198"/>
      <c r="CO15" s="198"/>
      <c r="CP15" s="198"/>
      <c r="CQ15" s="198"/>
      <c r="CR15" s="198"/>
      <c r="CS15" s="198"/>
      <c r="CT15" s="198"/>
      <c r="CU15" s="198"/>
      <c r="CV15" s="198"/>
      <c r="CW15" s="198"/>
      <c r="CX15" s="198"/>
      <c r="CY15" s="198"/>
      <c r="CZ15" s="198"/>
      <c r="DA15" s="198"/>
      <c r="DB15" s="198"/>
      <c r="DC15" s="198"/>
      <c r="DD15" s="198"/>
      <c r="DE15" s="198"/>
      <c r="DF15" s="198"/>
      <c r="DG15" s="198"/>
      <c r="DH15" s="198"/>
      <c r="DI15" s="198"/>
      <c r="DJ15" s="198"/>
      <c r="DK15" s="198"/>
      <c r="DL15" s="198"/>
      <c r="DM15" s="198"/>
      <c r="DN15" s="198"/>
      <c r="DO15" s="198"/>
      <c r="DP15" s="198"/>
      <c r="DQ15" s="198"/>
      <c r="DR15" s="198"/>
      <c r="DS15" s="198"/>
      <c r="DT15" s="198"/>
      <c r="DU15" s="198"/>
      <c r="DV15" s="198"/>
      <c r="DW15" s="198"/>
      <c r="DX15" s="198"/>
      <c r="DY15" s="198"/>
      <c r="DZ15" s="198"/>
      <c r="EA15" s="198"/>
      <c r="EB15" s="198"/>
      <c r="EC15" s="198"/>
      <c r="ED15" s="198"/>
      <c r="EE15" s="198"/>
      <c r="EF15" s="198"/>
      <c r="EG15" s="198"/>
      <c r="EH15" s="198"/>
      <c r="EI15" s="198"/>
      <c r="EJ15" s="198"/>
      <c r="EK15" s="198"/>
      <c r="EL15" s="198"/>
      <c r="EM15" s="198"/>
      <c r="EN15" s="198"/>
      <c r="EO15" s="198"/>
      <c r="EP15" s="198"/>
      <c r="EQ15" s="198"/>
      <c r="ER15" s="198"/>
      <c r="ES15" s="198"/>
      <c r="ET15" s="198"/>
      <c r="EU15" s="198"/>
      <c r="EV15" s="198"/>
      <c r="EW15" s="198"/>
      <c r="EX15" s="198"/>
      <c r="EY15" s="198"/>
      <c r="EZ15" s="198"/>
      <c r="FA15" s="198"/>
      <c r="FB15" s="198"/>
      <c r="FC15" s="198"/>
      <c r="FD15" s="198"/>
      <c r="FE15" s="198"/>
      <c r="FF15" s="198"/>
      <c r="FG15" s="198"/>
      <c r="FH15" s="198"/>
      <c r="FI15" s="198"/>
      <c r="FJ15" s="198"/>
      <c r="FK15" s="198"/>
      <c r="FL15" s="198"/>
      <c r="FM15" s="198"/>
      <c r="FN15" s="198"/>
      <c r="FO15" s="198"/>
      <c r="FP15" s="198"/>
      <c r="FQ15" s="198"/>
      <c r="FR15" s="198"/>
      <c r="FS15" s="198"/>
      <c r="FT15" s="198"/>
      <c r="FU15" s="198"/>
      <c r="FV15" s="198"/>
      <c r="FW15" s="198"/>
      <c r="FX15" s="198"/>
      <c r="FY15" s="198"/>
      <c r="FZ15" s="198"/>
      <c r="GA15" s="198"/>
      <c r="GB15" s="198"/>
      <c r="GC15" s="198"/>
      <c r="GD15" s="198"/>
      <c r="GE15" s="198"/>
      <c r="GF15" s="198"/>
      <c r="GG15" s="198"/>
      <c r="GH15" s="198"/>
      <c r="GI15" s="198"/>
      <c r="GJ15" s="198"/>
      <c r="GK15" s="198"/>
      <c r="GL15" s="198"/>
      <c r="GM15" s="198"/>
      <c r="GN15" s="198"/>
      <c r="GO15" s="198"/>
      <c r="GP15" s="198"/>
      <c r="GQ15" s="198"/>
      <c r="GR15" s="198"/>
      <c r="GS15" s="198"/>
      <c r="GT15" s="198"/>
      <c r="GU15" s="198"/>
      <c r="GV15" s="198"/>
      <c r="GW15" s="198"/>
      <c r="GX15" s="198"/>
      <c r="GY15" s="198"/>
      <c r="GZ15" s="198"/>
      <c r="HA15" s="198"/>
      <c r="HB15" s="198"/>
      <c r="HC15" s="198"/>
      <c r="HD15" s="198"/>
      <c r="HE15" s="198"/>
      <c r="HF15" s="198"/>
      <c r="HG15" s="198"/>
      <c r="HH15" s="198"/>
      <c r="HI15" s="198"/>
      <c r="HJ15" s="198"/>
      <c r="HK15" s="198"/>
      <c r="HL15" s="198"/>
      <c r="HM15" s="198"/>
      <c r="HN15" s="198"/>
      <c r="HO15" s="198"/>
      <c r="HP15" s="198"/>
      <c r="HQ15" s="198"/>
      <c r="HR15" s="198"/>
      <c r="HS15" s="198"/>
      <c r="HT15" s="198"/>
      <c r="HU15" s="198"/>
      <c r="HV15" s="198"/>
      <c r="HW15" s="198"/>
      <c r="HX15" s="198"/>
      <c r="HY15" s="198"/>
      <c r="HZ15" s="198"/>
      <c r="IA15" s="198"/>
      <c r="IB15" s="198"/>
      <c r="IC15" s="198"/>
      <c r="ID15" s="198"/>
      <c r="IE15" s="198"/>
      <c r="IF15" s="198"/>
      <c r="IG15" s="198"/>
      <c r="IH15" s="198"/>
      <c r="II15" s="198"/>
      <c r="IJ15" s="198"/>
      <c r="IK15" s="198"/>
      <c r="IL15" s="198"/>
      <c r="IM15" s="198"/>
      <c r="IN15" s="198"/>
      <c r="IO15" s="198"/>
      <c r="IP15" s="198"/>
      <c r="IQ15" s="198"/>
      <c r="IR15" s="198"/>
      <c r="IS15" s="198"/>
      <c r="IT15" s="198"/>
      <c r="IU15" s="198"/>
      <c r="IV15" s="198"/>
    </row>
    <row r="16" s="199" customFormat="true" ht="12.75" hidden="false" customHeight="true" outlineLevel="0" collapsed="false">
      <c r="A16" s="157" t="str">
        <f aca="false">IF(Eingabe!A65="","",Eingabe!A65)</f>
        <v/>
      </c>
      <c r="B16" s="157"/>
      <c r="C16" s="157"/>
      <c r="D16" s="158" t="str">
        <f aca="false">IF(Eingabe!B65="","",Eingabe!B65)</f>
        <v/>
      </c>
      <c r="E16" s="158"/>
      <c r="F16" s="158"/>
      <c r="G16" s="158"/>
      <c r="H16" s="159" t="str">
        <f aca="false">IF(Eingabe!C65="","",Eingabe!C65)</f>
        <v/>
      </c>
      <c r="I16" s="159"/>
      <c r="J16" s="159"/>
      <c r="K16" s="159"/>
      <c r="L16" s="160" t="str">
        <f aca="false">IF(Eingabe!D65="","",Eingabe!D65)</f>
        <v/>
      </c>
      <c r="M16" s="160"/>
      <c r="N16" s="160"/>
      <c r="O16" s="160"/>
      <c r="P16" s="160"/>
      <c r="Q16" s="160"/>
      <c r="R16" s="160"/>
      <c r="S16" s="160"/>
      <c r="T16" s="160"/>
      <c r="U16" s="160"/>
      <c r="V16" s="160"/>
      <c r="W16" s="160"/>
      <c r="X16" s="160"/>
      <c r="Y16" s="160"/>
      <c r="Z16" s="160"/>
      <c r="AA16" s="160"/>
      <c r="AB16" s="160"/>
      <c r="AC16" s="160"/>
      <c r="AD16" s="160"/>
      <c r="AE16" s="160"/>
      <c r="AF16" s="160"/>
      <c r="AG16" s="160"/>
      <c r="AH16" s="200" t="str">
        <f aca="false">IF(Eingabe!F65&amp;Eingabe!G65="","",Eingabe!F65&amp;"  /  "&amp;Eingabe!G65)</f>
        <v/>
      </c>
      <c r="AI16" s="200"/>
      <c r="AJ16" s="200"/>
      <c r="AK16" s="200"/>
      <c r="AL16" s="200"/>
      <c r="AM16" s="200"/>
      <c r="AN16" s="200"/>
      <c r="AO16" s="200"/>
      <c r="AP16" s="200"/>
      <c r="AQ16" s="200"/>
      <c r="AR16" s="200"/>
      <c r="AS16" s="200"/>
      <c r="AT16" s="200"/>
      <c r="AU16" s="200"/>
      <c r="AV16" s="200"/>
      <c r="AW16" s="200"/>
      <c r="AX16" s="200"/>
      <c r="AY16" s="200"/>
      <c r="AZ16" s="200"/>
      <c r="BA16" s="200"/>
      <c r="BB16" s="200"/>
      <c r="BC16" s="200"/>
      <c r="BD16" s="200"/>
      <c r="BE16" s="201" t="str">
        <f aca="false">IF(Eingabe!I65="","",Eingabe!I65)</f>
        <v/>
      </c>
      <c r="BF16" s="201"/>
      <c r="BG16" s="201"/>
      <c r="BH16" s="201"/>
      <c r="BI16" s="201"/>
      <c r="BJ16" s="202" t="str">
        <f aca="false">IF(Eingabe!I65="","",Eingabe!I65*Eingabe!B65)</f>
        <v/>
      </c>
      <c r="BK16" s="202"/>
      <c r="BL16" s="202"/>
      <c r="BM16" s="202"/>
      <c r="BN16" s="202"/>
      <c r="BO16" s="198"/>
      <c r="BP16" s="198"/>
      <c r="BQ16" s="198"/>
      <c r="BR16" s="198"/>
      <c r="BS16" s="198"/>
      <c r="BT16" s="198"/>
      <c r="BU16" s="198"/>
      <c r="BV16" s="198"/>
      <c r="BW16" s="198"/>
      <c r="BX16" s="198"/>
      <c r="BY16" s="198"/>
      <c r="BZ16" s="198"/>
      <c r="CA16" s="198"/>
      <c r="CB16" s="198"/>
      <c r="CC16" s="198"/>
      <c r="CD16" s="198"/>
      <c r="CE16" s="198"/>
      <c r="CF16" s="198"/>
      <c r="CG16" s="198"/>
      <c r="CH16" s="198"/>
      <c r="CI16" s="198"/>
      <c r="CJ16" s="198"/>
      <c r="CK16" s="198"/>
      <c r="CL16" s="198"/>
      <c r="CM16" s="198"/>
      <c r="CN16" s="198"/>
      <c r="CO16" s="198"/>
      <c r="CP16" s="198"/>
      <c r="CQ16" s="198"/>
      <c r="CR16" s="198"/>
      <c r="CS16" s="198"/>
      <c r="CT16" s="198"/>
      <c r="CU16" s="198"/>
      <c r="CV16" s="198"/>
      <c r="CW16" s="198"/>
      <c r="CX16" s="198"/>
      <c r="CY16" s="198"/>
      <c r="CZ16" s="198"/>
      <c r="DA16" s="198"/>
      <c r="DB16" s="198"/>
      <c r="DC16" s="198"/>
      <c r="DD16" s="198"/>
      <c r="DE16" s="198"/>
      <c r="DF16" s="198"/>
      <c r="DG16" s="198"/>
      <c r="DH16" s="198"/>
      <c r="DI16" s="198"/>
      <c r="DJ16" s="198"/>
      <c r="DK16" s="198"/>
      <c r="DL16" s="198"/>
      <c r="DM16" s="198"/>
      <c r="DN16" s="198"/>
      <c r="DO16" s="198"/>
      <c r="DP16" s="198"/>
      <c r="DQ16" s="198"/>
      <c r="DR16" s="198"/>
      <c r="DS16" s="198"/>
      <c r="DT16" s="198"/>
      <c r="DU16" s="198"/>
      <c r="DV16" s="198"/>
      <c r="DW16" s="198"/>
      <c r="DX16" s="198"/>
      <c r="DY16" s="198"/>
      <c r="DZ16" s="198"/>
      <c r="EA16" s="198"/>
      <c r="EB16" s="198"/>
      <c r="EC16" s="198"/>
      <c r="ED16" s="198"/>
      <c r="EE16" s="198"/>
      <c r="EF16" s="198"/>
      <c r="EG16" s="198"/>
      <c r="EH16" s="198"/>
      <c r="EI16" s="198"/>
      <c r="EJ16" s="198"/>
      <c r="EK16" s="198"/>
      <c r="EL16" s="198"/>
      <c r="EM16" s="198"/>
      <c r="EN16" s="198"/>
      <c r="EO16" s="198"/>
      <c r="EP16" s="198"/>
      <c r="EQ16" s="198"/>
      <c r="ER16" s="198"/>
      <c r="ES16" s="198"/>
      <c r="ET16" s="198"/>
      <c r="EU16" s="198"/>
      <c r="EV16" s="198"/>
      <c r="EW16" s="198"/>
      <c r="EX16" s="198"/>
      <c r="EY16" s="198"/>
      <c r="EZ16" s="198"/>
      <c r="FA16" s="198"/>
      <c r="FB16" s="198"/>
      <c r="FC16" s="198"/>
      <c r="FD16" s="198"/>
      <c r="FE16" s="198"/>
      <c r="FF16" s="198"/>
      <c r="FG16" s="198"/>
      <c r="FH16" s="198"/>
      <c r="FI16" s="198"/>
      <c r="FJ16" s="198"/>
      <c r="FK16" s="198"/>
      <c r="FL16" s="198"/>
      <c r="FM16" s="198"/>
      <c r="FN16" s="198"/>
      <c r="FO16" s="198"/>
      <c r="FP16" s="198"/>
      <c r="FQ16" s="198"/>
      <c r="FR16" s="198"/>
      <c r="FS16" s="198"/>
      <c r="FT16" s="198"/>
      <c r="FU16" s="198"/>
      <c r="FV16" s="198"/>
      <c r="FW16" s="198"/>
      <c r="FX16" s="198"/>
      <c r="FY16" s="198"/>
      <c r="FZ16" s="198"/>
      <c r="GA16" s="198"/>
      <c r="GB16" s="198"/>
      <c r="GC16" s="198"/>
      <c r="GD16" s="198"/>
      <c r="GE16" s="198"/>
      <c r="GF16" s="198"/>
      <c r="GG16" s="198"/>
      <c r="GH16" s="198"/>
      <c r="GI16" s="198"/>
      <c r="GJ16" s="198"/>
      <c r="GK16" s="198"/>
      <c r="GL16" s="198"/>
      <c r="GM16" s="198"/>
      <c r="GN16" s="198"/>
      <c r="GO16" s="198"/>
      <c r="GP16" s="198"/>
      <c r="GQ16" s="198"/>
      <c r="GR16" s="198"/>
      <c r="GS16" s="198"/>
      <c r="GT16" s="198"/>
      <c r="GU16" s="198"/>
      <c r="GV16" s="198"/>
      <c r="GW16" s="198"/>
      <c r="GX16" s="198"/>
      <c r="GY16" s="198"/>
      <c r="GZ16" s="198"/>
      <c r="HA16" s="198"/>
      <c r="HB16" s="198"/>
      <c r="HC16" s="198"/>
      <c r="HD16" s="198"/>
      <c r="HE16" s="198"/>
      <c r="HF16" s="198"/>
      <c r="HG16" s="198"/>
      <c r="HH16" s="198"/>
      <c r="HI16" s="198"/>
      <c r="HJ16" s="198"/>
      <c r="HK16" s="198"/>
      <c r="HL16" s="198"/>
      <c r="HM16" s="198"/>
      <c r="HN16" s="198"/>
      <c r="HO16" s="198"/>
      <c r="HP16" s="198"/>
      <c r="HQ16" s="198"/>
      <c r="HR16" s="198"/>
      <c r="HS16" s="198"/>
      <c r="HT16" s="198"/>
      <c r="HU16" s="198"/>
      <c r="HV16" s="198"/>
      <c r="HW16" s="198"/>
      <c r="HX16" s="198"/>
      <c r="HY16" s="198"/>
      <c r="HZ16" s="198"/>
      <c r="IA16" s="198"/>
      <c r="IB16" s="198"/>
      <c r="IC16" s="198"/>
      <c r="ID16" s="198"/>
      <c r="IE16" s="198"/>
      <c r="IF16" s="198"/>
      <c r="IG16" s="198"/>
      <c r="IH16" s="198"/>
      <c r="II16" s="198"/>
      <c r="IJ16" s="198"/>
      <c r="IK16" s="198"/>
      <c r="IL16" s="198"/>
      <c r="IM16" s="198"/>
      <c r="IN16" s="198"/>
      <c r="IO16" s="198"/>
      <c r="IP16" s="198"/>
      <c r="IQ16" s="198"/>
      <c r="IR16" s="198"/>
      <c r="IS16" s="198"/>
      <c r="IT16" s="198"/>
      <c r="IU16" s="198"/>
      <c r="IV16" s="198"/>
    </row>
    <row r="17" s="199" customFormat="true" ht="12.75" hidden="false" customHeight="true" outlineLevel="0" collapsed="false">
      <c r="A17" s="157" t="str">
        <f aca="false">IF(Eingabe!A66="","",Eingabe!A66)</f>
        <v/>
      </c>
      <c r="B17" s="157"/>
      <c r="C17" s="157"/>
      <c r="D17" s="158" t="str">
        <f aca="false">IF(Eingabe!B66="","",Eingabe!B66)</f>
        <v/>
      </c>
      <c r="E17" s="158"/>
      <c r="F17" s="158"/>
      <c r="G17" s="158"/>
      <c r="H17" s="159" t="str">
        <f aca="false">IF(Eingabe!C66="","",Eingabe!C66)</f>
        <v/>
      </c>
      <c r="I17" s="159"/>
      <c r="J17" s="159"/>
      <c r="K17" s="159"/>
      <c r="L17" s="160" t="str">
        <f aca="false">IF(Eingabe!D66="","",Eingabe!D66)</f>
        <v/>
      </c>
      <c r="M17" s="160"/>
      <c r="N17" s="160"/>
      <c r="O17" s="160"/>
      <c r="P17" s="160"/>
      <c r="Q17" s="160"/>
      <c r="R17" s="160"/>
      <c r="S17" s="160"/>
      <c r="T17" s="160"/>
      <c r="U17" s="160"/>
      <c r="V17" s="160"/>
      <c r="W17" s="160"/>
      <c r="X17" s="160"/>
      <c r="Y17" s="160"/>
      <c r="Z17" s="160"/>
      <c r="AA17" s="160"/>
      <c r="AB17" s="160"/>
      <c r="AC17" s="160"/>
      <c r="AD17" s="160"/>
      <c r="AE17" s="160"/>
      <c r="AF17" s="160"/>
      <c r="AG17" s="160"/>
      <c r="AH17" s="200" t="str">
        <f aca="false">IF(Eingabe!F66&amp;Eingabe!G66="","",Eingabe!F66&amp;"  /  "&amp;Eingabe!G66)</f>
        <v/>
      </c>
      <c r="AI17" s="200"/>
      <c r="AJ17" s="200"/>
      <c r="AK17" s="200"/>
      <c r="AL17" s="200"/>
      <c r="AM17" s="200"/>
      <c r="AN17" s="200"/>
      <c r="AO17" s="200"/>
      <c r="AP17" s="200"/>
      <c r="AQ17" s="200"/>
      <c r="AR17" s="200"/>
      <c r="AS17" s="200"/>
      <c r="AT17" s="200"/>
      <c r="AU17" s="200"/>
      <c r="AV17" s="200"/>
      <c r="AW17" s="200"/>
      <c r="AX17" s="200"/>
      <c r="AY17" s="200"/>
      <c r="AZ17" s="200"/>
      <c r="BA17" s="200"/>
      <c r="BB17" s="200"/>
      <c r="BC17" s="200"/>
      <c r="BD17" s="200"/>
      <c r="BE17" s="201" t="str">
        <f aca="false">IF(Eingabe!I66="","",Eingabe!I66)</f>
        <v/>
      </c>
      <c r="BF17" s="201"/>
      <c r="BG17" s="201"/>
      <c r="BH17" s="201"/>
      <c r="BI17" s="201"/>
      <c r="BJ17" s="202" t="str">
        <f aca="false">IF(Eingabe!I66="","",Eingabe!I66*Eingabe!B66)</f>
        <v/>
      </c>
      <c r="BK17" s="202"/>
      <c r="BL17" s="202"/>
      <c r="BM17" s="202"/>
      <c r="BN17" s="202"/>
      <c r="BO17" s="198"/>
      <c r="BP17" s="198"/>
      <c r="BQ17" s="198"/>
      <c r="BR17" s="198"/>
      <c r="BS17" s="198"/>
      <c r="BT17" s="198"/>
      <c r="BU17" s="198"/>
      <c r="BV17" s="198"/>
      <c r="BW17" s="198"/>
      <c r="BX17" s="198"/>
      <c r="BY17" s="198"/>
      <c r="BZ17" s="198"/>
      <c r="CA17" s="198"/>
      <c r="CB17" s="198"/>
      <c r="CC17" s="198"/>
      <c r="CD17" s="198"/>
      <c r="CE17" s="198"/>
      <c r="CF17" s="198"/>
      <c r="CG17" s="198"/>
      <c r="CH17" s="198"/>
      <c r="CI17" s="198"/>
      <c r="CJ17" s="198"/>
      <c r="CK17" s="198"/>
      <c r="CL17" s="198"/>
      <c r="CM17" s="198"/>
      <c r="CN17" s="198"/>
      <c r="CO17" s="198"/>
      <c r="CP17" s="198"/>
      <c r="CQ17" s="198"/>
      <c r="CR17" s="198"/>
      <c r="CS17" s="198"/>
      <c r="CT17" s="198"/>
      <c r="CU17" s="198"/>
      <c r="CV17" s="198"/>
      <c r="CW17" s="198"/>
      <c r="CX17" s="198"/>
      <c r="CY17" s="198"/>
      <c r="CZ17" s="198"/>
      <c r="DA17" s="198"/>
      <c r="DB17" s="198"/>
      <c r="DC17" s="198"/>
      <c r="DD17" s="198"/>
      <c r="DE17" s="198"/>
      <c r="DF17" s="198"/>
      <c r="DG17" s="198"/>
      <c r="DH17" s="198"/>
      <c r="DI17" s="198"/>
      <c r="DJ17" s="198"/>
      <c r="DK17" s="198"/>
      <c r="DL17" s="198"/>
      <c r="DM17" s="198"/>
      <c r="DN17" s="198"/>
      <c r="DO17" s="198"/>
      <c r="DP17" s="198"/>
      <c r="DQ17" s="198"/>
      <c r="DR17" s="198"/>
      <c r="DS17" s="198"/>
      <c r="DT17" s="198"/>
      <c r="DU17" s="198"/>
      <c r="DV17" s="198"/>
      <c r="DW17" s="198"/>
      <c r="DX17" s="198"/>
      <c r="DY17" s="198"/>
      <c r="DZ17" s="198"/>
      <c r="EA17" s="198"/>
      <c r="EB17" s="198"/>
      <c r="EC17" s="198"/>
      <c r="ED17" s="198"/>
      <c r="EE17" s="198"/>
      <c r="EF17" s="198"/>
      <c r="EG17" s="198"/>
      <c r="EH17" s="198"/>
      <c r="EI17" s="198"/>
      <c r="EJ17" s="198"/>
      <c r="EK17" s="198"/>
      <c r="EL17" s="198"/>
      <c r="EM17" s="198"/>
      <c r="EN17" s="198"/>
      <c r="EO17" s="198"/>
      <c r="EP17" s="198"/>
      <c r="EQ17" s="198"/>
      <c r="ER17" s="198"/>
      <c r="ES17" s="198"/>
      <c r="ET17" s="198"/>
      <c r="EU17" s="198"/>
      <c r="EV17" s="198"/>
      <c r="EW17" s="198"/>
      <c r="EX17" s="198"/>
      <c r="EY17" s="198"/>
      <c r="EZ17" s="198"/>
      <c r="FA17" s="198"/>
      <c r="FB17" s="198"/>
      <c r="FC17" s="198"/>
      <c r="FD17" s="198"/>
      <c r="FE17" s="198"/>
      <c r="FF17" s="198"/>
      <c r="FG17" s="198"/>
      <c r="FH17" s="198"/>
      <c r="FI17" s="198"/>
      <c r="FJ17" s="198"/>
      <c r="FK17" s="198"/>
      <c r="FL17" s="198"/>
      <c r="FM17" s="198"/>
      <c r="FN17" s="198"/>
      <c r="FO17" s="198"/>
      <c r="FP17" s="198"/>
      <c r="FQ17" s="198"/>
      <c r="FR17" s="198"/>
      <c r="FS17" s="198"/>
      <c r="FT17" s="198"/>
      <c r="FU17" s="198"/>
      <c r="FV17" s="198"/>
      <c r="FW17" s="198"/>
      <c r="FX17" s="198"/>
      <c r="FY17" s="198"/>
      <c r="FZ17" s="198"/>
      <c r="GA17" s="198"/>
      <c r="GB17" s="198"/>
      <c r="GC17" s="198"/>
      <c r="GD17" s="198"/>
      <c r="GE17" s="198"/>
      <c r="GF17" s="198"/>
      <c r="GG17" s="198"/>
      <c r="GH17" s="198"/>
      <c r="GI17" s="198"/>
      <c r="GJ17" s="198"/>
      <c r="GK17" s="198"/>
      <c r="GL17" s="198"/>
      <c r="GM17" s="198"/>
      <c r="GN17" s="198"/>
      <c r="GO17" s="198"/>
      <c r="GP17" s="198"/>
      <c r="GQ17" s="198"/>
      <c r="GR17" s="198"/>
      <c r="GS17" s="198"/>
      <c r="GT17" s="198"/>
      <c r="GU17" s="198"/>
      <c r="GV17" s="198"/>
      <c r="GW17" s="198"/>
      <c r="GX17" s="198"/>
      <c r="GY17" s="198"/>
      <c r="GZ17" s="198"/>
      <c r="HA17" s="198"/>
      <c r="HB17" s="198"/>
      <c r="HC17" s="198"/>
      <c r="HD17" s="198"/>
      <c r="HE17" s="198"/>
      <c r="HF17" s="198"/>
      <c r="HG17" s="198"/>
      <c r="HH17" s="198"/>
      <c r="HI17" s="198"/>
      <c r="HJ17" s="198"/>
      <c r="HK17" s="198"/>
      <c r="HL17" s="198"/>
      <c r="HM17" s="198"/>
      <c r="HN17" s="198"/>
      <c r="HO17" s="198"/>
      <c r="HP17" s="198"/>
      <c r="HQ17" s="198"/>
      <c r="HR17" s="198"/>
      <c r="HS17" s="198"/>
      <c r="HT17" s="198"/>
      <c r="HU17" s="198"/>
      <c r="HV17" s="198"/>
      <c r="HW17" s="198"/>
      <c r="HX17" s="198"/>
      <c r="HY17" s="198"/>
      <c r="HZ17" s="198"/>
      <c r="IA17" s="198"/>
      <c r="IB17" s="198"/>
      <c r="IC17" s="198"/>
      <c r="ID17" s="198"/>
      <c r="IE17" s="198"/>
      <c r="IF17" s="198"/>
      <c r="IG17" s="198"/>
      <c r="IH17" s="198"/>
      <c r="II17" s="198"/>
      <c r="IJ17" s="198"/>
      <c r="IK17" s="198"/>
      <c r="IL17" s="198"/>
      <c r="IM17" s="198"/>
      <c r="IN17" s="198"/>
      <c r="IO17" s="198"/>
      <c r="IP17" s="198"/>
      <c r="IQ17" s="198"/>
      <c r="IR17" s="198"/>
      <c r="IS17" s="198"/>
      <c r="IT17" s="198"/>
      <c r="IU17" s="198"/>
      <c r="IV17" s="198"/>
    </row>
    <row r="18" s="199" customFormat="true" ht="12.75" hidden="false" customHeight="true" outlineLevel="0" collapsed="false">
      <c r="A18" s="157" t="str">
        <f aca="false">IF(Eingabe!A67="","",Eingabe!A67)</f>
        <v/>
      </c>
      <c r="B18" s="157"/>
      <c r="C18" s="157"/>
      <c r="D18" s="158" t="str">
        <f aca="false">IF(Eingabe!B67="","",Eingabe!B67)</f>
        <v/>
      </c>
      <c r="E18" s="158"/>
      <c r="F18" s="158"/>
      <c r="G18" s="158"/>
      <c r="H18" s="159" t="str">
        <f aca="false">IF(Eingabe!C67="","",Eingabe!C67)</f>
        <v/>
      </c>
      <c r="I18" s="159"/>
      <c r="J18" s="159"/>
      <c r="K18" s="159"/>
      <c r="L18" s="160" t="str">
        <f aca="false">IF(Eingabe!D67="","",Eingabe!D67)</f>
        <v/>
      </c>
      <c r="M18" s="160"/>
      <c r="N18" s="160"/>
      <c r="O18" s="160"/>
      <c r="P18" s="160"/>
      <c r="Q18" s="160"/>
      <c r="R18" s="160"/>
      <c r="S18" s="160"/>
      <c r="T18" s="160"/>
      <c r="U18" s="160"/>
      <c r="V18" s="160"/>
      <c r="W18" s="160"/>
      <c r="X18" s="160"/>
      <c r="Y18" s="160"/>
      <c r="Z18" s="160"/>
      <c r="AA18" s="160"/>
      <c r="AB18" s="160"/>
      <c r="AC18" s="160"/>
      <c r="AD18" s="160"/>
      <c r="AE18" s="160"/>
      <c r="AF18" s="160"/>
      <c r="AG18" s="160"/>
      <c r="AH18" s="200" t="str">
        <f aca="false">IF(Eingabe!F67&amp;Eingabe!G67="","",Eingabe!F67&amp;"  /  "&amp;Eingabe!G67)</f>
        <v/>
      </c>
      <c r="AI18" s="200"/>
      <c r="AJ18" s="200"/>
      <c r="AK18" s="200"/>
      <c r="AL18" s="200"/>
      <c r="AM18" s="200"/>
      <c r="AN18" s="200"/>
      <c r="AO18" s="200"/>
      <c r="AP18" s="200"/>
      <c r="AQ18" s="200"/>
      <c r="AR18" s="200"/>
      <c r="AS18" s="200"/>
      <c r="AT18" s="200"/>
      <c r="AU18" s="200"/>
      <c r="AV18" s="200"/>
      <c r="AW18" s="200"/>
      <c r="AX18" s="200"/>
      <c r="AY18" s="200"/>
      <c r="AZ18" s="200"/>
      <c r="BA18" s="200"/>
      <c r="BB18" s="200"/>
      <c r="BC18" s="200"/>
      <c r="BD18" s="200"/>
      <c r="BE18" s="201" t="str">
        <f aca="false">IF(Eingabe!I67="","",Eingabe!I67)</f>
        <v/>
      </c>
      <c r="BF18" s="201"/>
      <c r="BG18" s="201"/>
      <c r="BH18" s="201"/>
      <c r="BI18" s="201"/>
      <c r="BJ18" s="202" t="str">
        <f aca="false">IF(Eingabe!I67="","",Eingabe!I67*Eingabe!B67)</f>
        <v/>
      </c>
      <c r="BK18" s="202"/>
      <c r="BL18" s="202"/>
      <c r="BM18" s="202"/>
      <c r="BN18" s="202"/>
      <c r="BO18" s="198"/>
      <c r="BP18" s="198"/>
      <c r="BQ18" s="198"/>
      <c r="BR18" s="198"/>
      <c r="BS18" s="198"/>
      <c r="BT18" s="198"/>
      <c r="BU18" s="198"/>
      <c r="BV18" s="198"/>
      <c r="BW18" s="198"/>
      <c r="BX18" s="198"/>
      <c r="BY18" s="198"/>
      <c r="BZ18" s="198"/>
      <c r="CA18" s="198"/>
      <c r="CB18" s="198"/>
      <c r="CC18" s="198"/>
      <c r="CD18" s="198"/>
      <c r="CE18" s="198"/>
      <c r="CF18" s="198"/>
      <c r="CG18" s="198"/>
      <c r="CH18" s="198"/>
      <c r="CI18" s="198"/>
      <c r="CJ18" s="198"/>
      <c r="CK18" s="198"/>
      <c r="CL18" s="198"/>
      <c r="CM18" s="198"/>
      <c r="CN18" s="198"/>
      <c r="CO18" s="198"/>
      <c r="CP18" s="198"/>
      <c r="CQ18" s="198"/>
      <c r="CR18" s="198"/>
      <c r="CS18" s="198"/>
      <c r="CT18" s="198"/>
      <c r="CU18" s="198"/>
      <c r="CV18" s="198"/>
      <c r="CW18" s="198"/>
      <c r="CX18" s="198"/>
      <c r="CY18" s="198"/>
      <c r="CZ18" s="198"/>
      <c r="DA18" s="198"/>
      <c r="DB18" s="198"/>
      <c r="DC18" s="198"/>
      <c r="DD18" s="198"/>
      <c r="DE18" s="198"/>
      <c r="DF18" s="198"/>
      <c r="DG18" s="198"/>
      <c r="DH18" s="198"/>
      <c r="DI18" s="198"/>
      <c r="DJ18" s="198"/>
      <c r="DK18" s="198"/>
      <c r="DL18" s="198"/>
      <c r="DM18" s="198"/>
      <c r="DN18" s="198"/>
      <c r="DO18" s="198"/>
      <c r="DP18" s="198"/>
      <c r="DQ18" s="198"/>
      <c r="DR18" s="198"/>
      <c r="DS18" s="198"/>
      <c r="DT18" s="198"/>
      <c r="DU18" s="198"/>
      <c r="DV18" s="198"/>
      <c r="DW18" s="198"/>
      <c r="DX18" s="198"/>
      <c r="DY18" s="198"/>
      <c r="DZ18" s="198"/>
      <c r="EA18" s="198"/>
      <c r="EB18" s="198"/>
      <c r="EC18" s="198"/>
      <c r="ED18" s="198"/>
      <c r="EE18" s="198"/>
      <c r="EF18" s="198"/>
      <c r="EG18" s="198"/>
      <c r="EH18" s="198"/>
      <c r="EI18" s="198"/>
      <c r="EJ18" s="198"/>
      <c r="EK18" s="198"/>
      <c r="EL18" s="198"/>
      <c r="EM18" s="198"/>
      <c r="EN18" s="198"/>
      <c r="EO18" s="198"/>
      <c r="EP18" s="198"/>
      <c r="EQ18" s="198"/>
      <c r="ER18" s="198"/>
      <c r="ES18" s="198"/>
      <c r="ET18" s="198"/>
      <c r="EU18" s="198"/>
      <c r="EV18" s="198"/>
      <c r="EW18" s="198"/>
      <c r="EX18" s="198"/>
      <c r="EY18" s="198"/>
      <c r="EZ18" s="198"/>
      <c r="FA18" s="198"/>
      <c r="FB18" s="198"/>
      <c r="FC18" s="198"/>
      <c r="FD18" s="198"/>
      <c r="FE18" s="198"/>
      <c r="FF18" s="198"/>
      <c r="FG18" s="198"/>
      <c r="FH18" s="198"/>
      <c r="FI18" s="198"/>
      <c r="FJ18" s="198"/>
      <c r="FK18" s="198"/>
      <c r="FL18" s="198"/>
      <c r="FM18" s="198"/>
      <c r="FN18" s="198"/>
      <c r="FO18" s="198"/>
      <c r="FP18" s="198"/>
      <c r="FQ18" s="198"/>
      <c r="FR18" s="198"/>
      <c r="FS18" s="198"/>
      <c r="FT18" s="198"/>
      <c r="FU18" s="198"/>
      <c r="FV18" s="198"/>
      <c r="FW18" s="198"/>
      <c r="FX18" s="198"/>
      <c r="FY18" s="198"/>
      <c r="FZ18" s="198"/>
      <c r="GA18" s="198"/>
      <c r="GB18" s="198"/>
      <c r="GC18" s="198"/>
      <c r="GD18" s="198"/>
      <c r="GE18" s="198"/>
      <c r="GF18" s="198"/>
      <c r="GG18" s="198"/>
      <c r="GH18" s="198"/>
      <c r="GI18" s="198"/>
      <c r="GJ18" s="198"/>
      <c r="GK18" s="198"/>
      <c r="GL18" s="198"/>
      <c r="GM18" s="198"/>
      <c r="GN18" s="198"/>
      <c r="GO18" s="198"/>
      <c r="GP18" s="198"/>
      <c r="GQ18" s="198"/>
      <c r="GR18" s="198"/>
      <c r="GS18" s="198"/>
      <c r="GT18" s="198"/>
      <c r="GU18" s="198"/>
      <c r="GV18" s="198"/>
      <c r="GW18" s="198"/>
      <c r="GX18" s="198"/>
      <c r="GY18" s="198"/>
      <c r="GZ18" s="198"/>
      <c r="HA18" s="198"/>
      <c r="HB18" s="198"/>
      <c r="HC18" s="198"/>
      <c r="HD18" s="198"/>
      <c r="HE18" s="198"/>
      <c r="HF18" s="198"/>
      <c r="HG18" s="198"/>
      <c r="HH18" s="198"/>
      <c r="HI18" s="198"/>
      <c r="HJ18" s="198"/>
      <c r="HK18" s="198"/>
      <c r="HL18" s="198"/>
      <c r="HM18" s="198"/>
      <c r="HN18" s="198"/>
      <c r="HO18" s="198"/>
      <c r="HP18" s="198"/>
      <c r="HQ18" s="198"/>
      <c r="HR18" s="198"/>
      <c r="HS18" s="198"/>
      <c r="HT18" s="198"/>
      <c r="HU18" s="198"/>
      <c r="HV18" s="198"/>
      <c r="HW18" s="198"/>
      <c r="HX18" s="198"/>
      <c r="HY18" s="198"/>
      <c r="HZ18" s="198"/>
      <c r="IA18" s="198"/>
      <c r="IB18" s="198"/>
      <c r="IC18" s="198"/>
      <c r="ID18" s="198"/>
      <c r="IE18" s="198"/>
      <c r="IF18" s="198"/>
      <c r="IG18" s="198"/>
      <c r="IH18" s="198"/>
      <c r="II18" s="198"/>
      <c r="IJ18" s="198"/>
      <c r="IK18" s="198"/>
      <c r="IL18" s="198"/>
      <c r="IM18" s="198"/>
      <c r="IN18" s="198"/>
      <c r="IO18" s="198"/>
      <c r="IP18" s="198"/>
      <c r="IQ18" s="198"/>
      <c r="IR18" s="198"/>
      <c r="IS18" s="198"/>
      <c r="IT18" s="198"/>
      <c r="IU18" s="198"/>
      <c r="IV18" s="198"/>
    </row>
    <row r="19" s="199" customFormat="true" ht="12.75" hidden="false" customHeight="true" outlineLevel="0" collapsed="false">
      <c r="A19" s="157" t="str">
        <f aca="false">IF(Eingabe!A68="","",Eingabe!A68)</f>
        <v/>
      </c>
      <c r="B19" s="157"/>
      <c r="C19" s="157"/>
      <c r="D19" s="158" t="str">
        <f aca="false">IF(Eingabe!B68="","",Eingabe!B68)</f>
        <v/>
      </c>
      <c r="E19" s="158"/>
      <c r="F19" s="158"/>
      <c r="G19" s="158"/>
      <c r="H19" s="159" t="str">
        <f aca="false">IF(Eingabe!C68="","",Eingabe!C68)</f>
        <v/>
      </c>
      <c r="I19" s="159"/>
      <c r="J19" s="159"/>
      <c r="K19" s="159"/>
      <c r="L19" s="160" t="str">
        <f aca="false">IF(Eingabe!D68="","",Eingabe!D68)</f>
        <v/>
      </c>
      <c r="M19" s="160"/>
      <c r="N19" s="160"/>
      <c r="O19" s="160"/>
      <c r="P19" s="160"/>
      <c r="Q19" s="160"/>
      <c r="R19" s="160"/>
      <c r="S19" s="160"/>
      <c r="T19" s="160"/>
      <c r="U19" s="160"/>
      <c r="V19" s="160"/>
      <c r="W19" s="160"/>
      <c r="X19" s="160"/>
      <c r="Y19" s="160"/>
      <c r="Z19" s="160"/>
      <c r="AA19" s="160"/>
      <c r="AB19" s="160"/>
      <c r="AC19" s="160"/>
      <c r="AD19" s="160"/>
      <c r="AE19" s="160"/>
      <c r="AF19" s="160"/>
      <c r="AG19" s="160"/>
      <c r="AH19" s="200" t="str">
        <f aca="false">IF(Eingabe!F68&amp;Eingabe!G68="","",Eingabe!F68&amp;"  /  "&amp;Eingabe!G68)</f>
        <v/>
      </c>
      <c r="AI19" s="200"/>
      <c r="AJ19" s="200"/>
      <c r="AK19" s="200"/>
      <c r="AL19" s="200"/>
      <c r="AM19" s="200"/>
      <c r="AN19" s="200"/>
      <c r="AO19" s="200"/>
      <c r="AP19" s="200"/>
      <c r="AQ19" s="200"/>
      <c r="AR19" s="200"/>
      <c r="AS19" s="200"/>
      <c r="AT19" s="200"/>
      <c r="AU19" s="200"/>
      <c r="AV19" s="200"/>
      <c r="AW19" s="200"/>
      <c r="AX19" s="200"/>
      <c r="AY19" s="200"/>
      <c r="AZ19" s="200"/>
      <c r="BA19" s="200"/>
      <c r="BB19" s="200"/>
      <c r="BC19" s="200"/>
      <c r="BD19" s="200"/>
      <c r="BE19" s="201" t="str">
        <f aca="false">IF(Eingabe!I68="","",Eingabe!I68)</f>
        <v/>
      </c>
      <c r="BF19" s="201"/>
      <c r="BG19" s="201"/>
      <c r="BH19" s="201"/>
      <c r="BI19" s="201"/>
      <c r="BJ19" s="202" t="str">
        <f aca="false">IF(Eingabe!I68="","",Eingabe!I68*Eingabe!B68)</f>
        <v/>
      </c>
      <c r="BK19" s="202"/>
      <c r="BL19" s="202"/>
      <c r="BM19" s="202"/>
      <c r="BN19" s="202"/>
      <c r="BO19" s="198"/>
      <c r="BP19" s="198"/>
      <c r="BQ19" s="198"/>
      <c r="BR19" s="198"/>
      <c r="BS19" s="198"/>
      <c r="BT19" s="198"/>
      <c r="BU19" s="198"/>
      <c r="BV19" s="198"/>
      <c r="BW19" s="198"/>
      <c r="BX19" s="198"/>
      <c r="BY19" s="198"/>
      <c r="BZ19" s="198"/>
      <c r="CA19" s="198"/>
      <c r="CB19" s="198"/>
      <c r="CC19" s="198"/>
      <c r="CD19" s="198"/>
      <c r="CE19" s="198"/>
      <c r="CF19" s="198"/>
      <c r="CG19" s="198"/>
      <c r="CH19" s="198"/>
      <c r="CI19" s="198"/>
      <c r="CJ19" s="198"/>
      <c r="CK19" s="198"/>
      <c r="CL19" s="198"/>
      <c r="CM19" s="198"/>
      <c r="CN19" s="198"/>
      <c r="CO19" s="198"/>
      <c r="CP19" s="198"/>
      <c r="CQ19" s="198"/>
      <c r="CR19" s="198"/>
      <c r="CS19" s="198"/>
      <c r="CT19" s="198"/>
      <c r="CU19" s="198"/>
      <c r="CV19" s="198"/>
      <c r="CW19" s="198"/>
      <c r="CX19" s="198"/>
      <c r="CY19" s="198"/>
      <c r="CZ19" s="198"/>
      <c r="DA19" s="198"/>
      <c r="DB19" s="198"/>
      <c r="DC19" s="198"/>
      <c r="DD19" s="198"/>
      <c r="DE19" s="198"/>
      <c r="DF19" s="198"/>
      <c r="DG19" s="198"/>
      <c r="DH19" s="198"/>
      <c r="DI19" s="198"/>
      <c r="DJ19" s="198"/>
      <c r="DK19" s="198"/>
      <c r="DL19" s="198"/>
      <c r="DM19" s="198"/>
      <c r="DN19" s="198"/>
      <c r="DO19" s="198"/>
      <c r="DP19" s="198"/>
      <c r="DQ19" s="198"/>
      <c r="DR19" s="198"/>
      <c r="DS19" s="198"/>
      <c r="DT19" s="198"/>
      <c r="DU19" s="198"/>
      <c r="DV19" s="198"/>
      <c r="DW19" s="198"/>
      <c r="DX19" s="198"/>
      <c r="DY19" s="198"/>
      <c r="DZ19" s="198"/>
      <c r="EA19" s="198"/>
      <c r="EB19" s="198"/>
      <c r="EC19" s="198"/>
      <c r="ED19" s="198"/>
      <c r="EE19" s="198"/>
      <c r="EF19" s="198"/>
      <c r="EG19" s="198"/>
      <c r="EH19" s="198"/>
      <c r="EI19" s="198"/>
      <c r="EJ19" s="198"/>
      <c r="EK19" s="198"/>
      <c r="EL19" s="198"/>
      <c r="EM19" s="198"/>
      <c r="EN19" s="198"/>
      <c r="EO19" s="198"/>
      <c r="EP19" s="198"/>
      <c r="EQ19" s="198"/>
      <c r="ER19" s="198"/>
      <c r="ES19" s="198"/>
      <c r="ET19" s="198"/>
      <c r="EU19" s="198"/>
      <c r="EV19" s="198"/>
      <c r="EW19" s="198"/>
      <c r="EX19" s="198"/>
      <c r="EY19" s="198"/>
      <c r="EZ19" s="198"/>
      <c r="FA19" s="198"/>
      <c r="FB19" s="198"/>
      <c r="FC19" s="198"/>
      <c r="FD19" s="198"/>
      <c r="FE19" s="198"/>
      <c r="FF19" s="198"/>
      <c r="FG19" s="198"/>
      <c r="FH19" s="198"/>
      <c r="FI19" s="198"/>
      <c r="FJ19" s="198"/>
      <c r="FK19" s="198"/>
      <c r="FL19" s="198"/>
      <c r="FM19" s="198"/>
      <c r="FN19" s="198"/>
      <c r="FO19" s="198"/>
      <c r="FP19" s="198"/>
      <c r="FQ19" s="198"/>
      <c r="FR19" s="198"/>
      <c r="FS19" s="198"/>
      <c r="FT19" s="198"/>
      <c r="FU19" s="198"/>
      <c r="FV19" s="198"/>
      <c r="FW19" s="198"/>
      <c r="FX19" s="198"/>
      <c r="FY19" s="198"/>
      <c r="FZ19" s="198"/>
      <c r="GA19" s="198"/>
      <c r="GB19" s="198"/>
      <c r="GC19" s="198"/>
      <c r="GD19" s="198"/>
      <c r="GE19" s="198"/>
      <c r="GF19" s="198"/>
      <c r="GG19" s="198"/>
      <c r="GH19" s="198"/>
      <c r="GI19" s="198"/>
      <c r="GJ19" s="198"/>
      <c r="GK19" s="198"/>
      <c r="GL19" s="198"/>
      <c r="GM19" s="198"/>
      <c r="GN19" s="198"/>
      <c r="GO19" s="198"/>
      <c r="GP19" s="198"/>
      <c r="GQ19" s="198"/>
      <c r="GR19" s="198"/>
      <c r="GS19" s="198"/>
      <c r="GT19" s="198"/>
      <c r="GU19" s="198"/>
      <c r="GV19" s="198"/>
      <c r="GW19" s="198"/>
      <c r="GX19" s="198"/>
      <c r="GY19" s="198"/>
      <c r="GZ19" s="198"/>
      <c r="HA19" s="198"/>
      <c r="HB19" s="198"/>
      <c r="HC19" s="198"/>
      <c r="HD19" s="198"/>
      <c r="HE19" s="198"/>
      <c r="HF19" s="198"/>
      <c r="HG19" s="198"/>
      <c r="HH19" s="198"/>
      <c r="HI19" s="198"/>
      <c r="HJ19" s="198"/>
      <c r="HK19" s="198"/>
      <c r="HL19" s="198"/>
      <c r="HM19" s="198"/>
      <c r="HN19" s="198"/>
      <c r="HO19" s="198"/>
      <c r="HP19" s="198"/>
      <c r="HQ19" s="198"/>
      <c r="HR19" s="198"/>
      <c r="HS19" s="198"/>
      <c r="HT19" s="198"/>
      <c r="HU19" s="198"/>
      <c r="HV19" s="198"/>
      <c r="HW19" s="198"/>
      <c r="HX19" s="198"/>
      <c r="HY19" s="198"/>
      <c r="HZ19" s="198"/>
      <c r="IA19" s="198"/>
      <c r="IB19" s="198"/>
      <c r="IC19" s="198"/>
      <c r="ID19" s="198"/>
      <c r="IE19" s="198"/>
      <c r="IF19" s="198"/>
      <c r="IG19" s="198"/>
      <c r="IH19" s="198"/>
      <c r="II19" s="198"/>
      <c r="IJ19" s="198"/>
      <c r="IK19" s="198"/>
      <c r="IL19" s="198"/>
      <c r="IM19" s="198"/>
      <c r="IN19" s="198"/>
      <c r="IO19" s="198"/>
      <c r="IP19" s="198"/>
      <c r="IQ19" s="198"/>
      <c r="IR19" s="198"/>
      <c r="IS19" s="198"/>
      <c r="IT19" s="198"/>
      <c r="IU19" s="198"/>
      <c r="IV19" s="198"/>
    </row>
    <row r="20" s="199" customFormat="true" ht="12.75" hidden="false" customHeight="true" outlineLevel="0" collapsed="false">
      <c r="A20" s="157" t="str">
        <f aca="false">IF(Eingabe!A69="","",Eingabe!A69)</f>
        <v/>
      </c>
      <c r="B20" s="157"/>
      <c r="C20" s="157"/>
      <c r="D20" s="158" t="str">
        <f aca="false">IF(Eingabe!B69="","",Eingabe!B69)</f>
        <v/>
      </c>
      <c r="E20" s="158"/>
      <c r="F20" s="158"/>
      <c r="G20" s="158"/>
      <c r="H20" s="159" t="str">
        <f aca="false">IF(Eingabe!C69="","",Eingabe!C69)</f>
        <v/>
      </c>
      <c r="I20" s="159"/>
      <c r="J20" s="159"/>
      <c r="K20" s="159"/>
      <c r="L20" s="160" t="str">
        <f aca="false">IF(Eingabe!D69="","",Eingabe!D69)</f>
        <v/>
      </c>
      <c r="M20" s="160"/>
      <c r="N20" s="160"/>
      <c r="O20" s="160"/>
      <c r="P20" s="160"/>
      <c r="Q20" s="160"/>
      <c r="R20" s="160"/>
      <c r="S20" s="160"/>
      <c r="T20" s="160"/>
      <c r="U20" s="160"/>
      <c r="V20" s="160"/>
      <c r="W20" s="160"/>
      <c r="X20" s="160"/>
      <c r="Y20" s="160"/>
      <c r="Z20" s="160"/>
      <c r="AA20" s="160"/>
      <c r="AB20" s="160"/>
      <c r="AC20" s="160"/>
      <c r="AD20" s="160"/>
      <c r="AE20" s="160"/>
      <c r="AF20" s="160"/>
      <c r="AG20" s="160"/>
      <c r="AH20" s="200" t="str">
        <f aca="false">IF(Eingabe!F69&amp;Eingabe!G69="","",Eingabe!F69&amp;"  /  "&amp;Eingabe!G69)</f>
        <v/>
      </c>
      <c r="AI20" s="200"/>
      <c r="AJ20" s="200"/>
      <c r="AK20" s="200"/>
      <c r="AL20" s="200"/>
      <c r="AM20" s="200"/>
      <c r="AN20" s="200"/>
      <c r="AO20" s="200"/>
      <c r="AP20" s="200"/>
      <c r="AQ20" s="200"/>
      <c r="AR20" s="200"/>
      <c r="AS20" s="200"/>
      <c r="AT20" s="200"/>
      <c r="AU20" s="200"/>
      <c r="AV20" s="200"/>
      <c r="AW20" s="200"/>
      <c r="AX20" s="200"/>
      <c r="AY20" s="200"/>
      <c r="AZ20" s="200"/>
      <c r="BA20" s="200"/>
      <c r="BB20" s="200"/>
      <c r="BC20" s="200"/>
      <c r="BD20" s="200"/>
      <c r="BE20" s="201" t="str">
        <f aca="false">IF(Eingabe!I69="","",Eingabe!I69)</f>
        <v/>
      </c>
      <c r="BF20" s="201"/>
      <c r="BG20" s="201"/>
      <c r="BH20" s="201"/>
      <c r="BI20" s="201"/>
      <c r="BJ20" s="202" t="str">
        <f aca="false">IF(Eingabe!I69="","",Eingabe!I69*Eingabe!B69)</f>
        <v/>
      </c>
      <c r="BK20" s="202"/>
      <c r="BL20" s="202"/>
      <c r="BM20" s="202"/>
      <c r="BN20" s="202"/>
      <c r="BO20" s="198"/>
      <c r="BP20" s="198"/>
      <c r="BQ20" s="198"/>
      <c r="BR20" s="198"/>
      <c r="BS20" s="198"/>
      <c r="BT20" s="198"/>
      <c r="BU20" s="198"/>
      <c r="BV20" s="198"/>
      <c r="BW20" s="198"/>
      <c r="BX20" s="198"/>
      <c r="BY20" s="198"/>
      <c r="BZ20" s="198"/>
      <c r="CA20" s="198"/>
      <c r="CB20" s="198"/>
      <c r="CC20" s="198"/>
      <c r="CD20" s="198"/>
      <c r="CE20" s="198"/>
      <c r="CF20" s="198"/>
      <c r="CG20" s="198"/>
      <c r="CH20" s="198"/>
      <c r="CI20" s="198"/>
      <c r="CJ20" s="198"/>
      <c r="CK20" s="198"/>
      <c r="CL20" s="198"/>
      <c r="CM20" s="198"/>
      <c r="CN20" s="198"/>
      <c r="CO20" s="198"/>
      <c r="CP20" s="198"/>
      <c r="CQ20" s="198"/>
      <c r="CR20" s="198"/>
      <c r="CS20" s="198"/>
      <c r="CT20" s="198"/>
      <c r="CU20" s="198"/>
      <c r="CV20" s="198"/>
      <c r="CW20" s="198"/>
      <c r="CX20" s="198"/>
      <c r="CY20" s="198"/>
      <c r="CZ20" s="198"/>
      <c r="DA20" s="198"/>
      <c r="DB20" s="198"/>
      <c r="DC20" s="198"/>
      <c r="DD20" s="198"/>
      <c r="DE20" s="198"/>
      <c r="DF20" s="198"/>
      <c r="DG20" s="198"/>
      <c r="DH20" s="198"/>
      <c r="DI20" s="198"/>
      <c r="DJ20" s="198"/>
      <c r="DK20" s="198"/>
      <c r="DL20" s="198"/>
      <c r="DM20" s="198"/>
      <c r="DN20" s="198"/>
      <c r="DO20" s="198"/>
      <c r="DP20" s="198"/>
      <c r="DQ20" s="198"/>
      <c r="DR20" s="198"/>
      <c r="DS20" s="198"/>
      <c r="DT20" s="198"/>
      <c r="DU20" s="198"/>
      <c r="DV20" s="198"/>
      <c r="DW20" s="198"/>
      <c r="DX20" s="198"/>
      <c r="DY20" s="198"/>
      <c r="DZ20" s="198"/>
      <c r="EA20" s="198"/>
      <c r="EB20" s="198"/>
      <c r="EC20" s="198"/>
      <c r="ED20" s="198"/>
      <c r="EE20" s="198"/>
      <c r="EF20" s="198"/>
      <c r="EG20" s="198"/>
      <c r="EH20" s="198"/>
      <c r="EI20" s="198"/>
      <c r="EJ20" s="198"/>
      <c r="EK20" s="198"/>
      <c r="EL20" s="198"/>
      <c r="EM20" s="198"/>
      <c r="EN20" s="198"/>
      <c r="EO20" s="198"/>
      <c r="EP20" s="198"/>
      <c r="EQ20" s="198"/>
      <c r="ER20" s="198"/>
      <c r="ES20" s="198"/>
      <c r="ET20" s="198"/>
      <c r="EU20" s="198"/>
      <c r="EV20" s="198"/>
      <c r="EW20" s="198"/>
      <c r="EX20" s="198"/>
      <c r="EY20" s="198"/>
      <c r="EZ20" s="198"/>
      <c r="FA20" s="198"/>
      <c r="FB20" s="198"/>
      <c r="FC20" s="198"/>
      <c r="FD20" s="198"/>
      <c r="FE20" s="198"/>
      <c r="FF20" s="198"/>
      <c r="FG20" s="198"/>
      <c r="FH20" s="198"/>
      <c r="FI20" s="198"/>
      <c r="FJ20" s="198"/>
      <c r="FK20" s="198"/>
      <c r="FL20" s="198"/>
      <c r="FM20" s="198"/>
      <c r="FN20" s="198"/>
      <c r="FO20" s="198"/>
      <c r="FP20" s="198"/>
      <c r="FQ20" s="198"/>
      <c r="FR20" s="198"/>
      <c r="FS20" s="198"/>
      <c r="FT20" s="198"/>
      <c r="FU20" s="198"/>
      <c r="FV20" s="198"/>
      <c r="FW20" s="198"/>
      <c r="FX20" s="198"/>
      <c r="FY20" s="198"/>
      <c r="FZ20" s="198"/>
      <c r="GA20" s="198"/>
      <c r="GB20" s="198"/>
      <c r="GC20" s="198"/>
      <c r="GD20" s="198"/>
      <c r="GE20" s="198"/>
      <c r="GF20" s="198"/>
      <c r="GG20" s="198"/>
      <c r="GH20" s="198"/>
      <c r="GI20" s="198"/>
      <c r="GJ20" s="198"/>
      <c r="GK20" s="198"/>
      <c r="GL20" s="198"/>
      <c r="GM20" s="198"/>
      <c r="GN20" s="198"/>
      <c r="GO20" s="198"/>
      <c r="GP20" s="198"/>
      <c r="GQ20" s="198"/>
      <c r="GR20" s="198"/>
      <c r="GS20" s="198"/>
      <c r="GT20" s="198"/>
      <c r="GU20" s="198"/>
      <c r="GV20" s="198"/>
      <c r="GW20" s="198"/>
      <c r="GX20" s="198"/>
      <c r="GY20" s="198"/>
      <c r="GZ20" s="198"/>
      <c r="HA20" s="198"/>
      <c r="HB20" s="198"/>
      <c r="HC20" s="198"/>
      <c r="HD20" s="198"/>
      <c r="HE20" s="198"/>
      <c r="HF20" s="198"/>
      <c r="HG20" s="198"/>
      <c r="HH20" s="198"/>
      <c r="HI20" s="198"/>
      <c r="HJ20" s="198"/>
      <c r="HK20" s="198"/>
      <c r="HL20" s="198"/>
      <c r="HM20" s="198"/>
      <c r="HN20" s="198"/>
      <c r="HO20" s="198"/>
      <c r="HP20" s="198"/>
      <c r="HQ20" s="198"/>
      <c r="HR20" s="198"/>
      <c r="HS20" s="198"/>
      <c r="HT20" s="198"/>
      <c r="HU20" s="198"/>
      <c r="HV20" s="198"/>
      <c r="HW20" s="198"/>
      <c r="HX20" s="198"/>
      <c r="HY20" s="198"/>
      <c r="HZ20" s="198"/>
      <c r="IA20" s="198"/>
      <c r="IB20" s="198"/>
      <c r="IC20" s="198"/>
      <c r="ID20" s="198"/>
      <c r="IE20" s="198"/>
      <c r="IF20" s="198"/>
      <c r="IG20" s="198"/>
      <c r="IH20" s="198"/>
      <c r="II20" s="198"/>
      <c r="IJ20" s="198"/>
      <c r="IK20" s="198"/>
      <c r="IL20" s="198"/>
      <c r="IM20" s="198"/>
      <c r="IN20" s="198"/>
      <c r="IO20" s="198"/>
      <c r="IP20" s="198"/>
      <c r="IQ20" s="198"/>
      <c r="IR20" s="198"/>
      <c r="IS20" s="198"/>
      <c r="IT20" s="198"/>
      <c r="IU20" s="198"/>
      <c r="IV20" s="198"/>
    </row>
    <row r="21" s="199" customFormat="true" ht="12.75" hidden="false" customHeight="true" outlineLevel="0" collapsed="false">
      <c r="A21" s="157" t="str">
        <f aca="false">IF(Eingabe!A70="","",Eingabe!A70)</f>
        <v/>
      </c>
      <c r="B21" s="157"/>
      <c r="C21" s="157"/>
      <c r="D21" s="158" t="str">
        <f aca="false">IF(Eingabe!B70="","",Eingabe!B70)</f>
        <v/>
      </c>
      <c r="E21" s="158"/>
      <c r="F21" s="158"/>
      <c r="G21" s="158"/>
      <c r="H21" s="159" t="str">
        <f aca="false">IF(Eingabe!C70="","",Eingabe!C70)</f>
        <v/>
      </c>
      <c r="I21" s="159"/>
      <c r="J21" s="159"/>
      <c r="K21" s="159"/>
      <c r="L21" s="160" t="str">
        <f aca="false">IF(Eingabe!D70="","",Eingabe!D70)</f>
        <v/>
      </c>
      <c r="M21" s="160"/>
      <c r="N21" s="160"/>
      <c r="O21" s="160"/>
      <c r="P21" s="160"/>
      <c r="Q21" s="160"/>
      <c r="R21" s="160"/>
      <c r="S21" s="160"/>
      <c r="T21" s="160"/>
      <c r="U21" s="160"/>
      <c r="V21" s="160"/>
      <c r="W21" s="160"/>
      <c r="X21" s="160"/>
      <c r="Y21" s="160"/>
      <c r="Z21" s="160"/>
      <c r="AA21" s="160"/>
      <c r="AB21" s="160"/>
      <c r="AC21" s="160"/>
      <c r="AD21" s="160"/>
      <c r="AE21" s="160"/>
      <c r="AF21" s="160"/>
      <c r="AG21" s="160"/>
      <c r="AH21" s="200" t="str">
        <f aca="false">IF(Eingabe!F70&amp;Eingabe!G70="","",Eingabe!F70&amp;"  /  "&amp;Eingabe!G70)</f>
        <v/>
      </c>
      <c r="AI21" s="200"/>
      <c r="AJ21" s="200"/>
      <c r="AK21" s="200"/>
      <c r="AL21" s="200"/>
      <c r="AM21" s="200"/>
      <c r="AN21" s="200"/>
      <c r="AO21" s="200"/>
      <c r="AP21" s="200"/>
      <c r="AQ21" s="200"/>
      <c r="AR21" s="200"/>
      <c r="AS21" s="200"/>
      <c r="AT21" s="200"/>
      <c r="AU21" s="200"/>
      <c r="AV21" s="200"/>
      <c r="AW21" s="200"/>
      <c r="AX21" s="200"/>
      <c r="AY21" s="200"/>
      <c r="AZ21" s="200"/>
      <c r="BA21" s="200"/>
      <c r="BB21" s="200"/>
      <c r="BC21" s="200"/>
      <c r="BD21" s="200"/>
      <c r="BE21" s="201" t="str">
        <f aca="false">IF(Eingabe!I70="","",Eingabe!I70)</f>
        <v/>
      </c>
      <c r="BF21" s="201"/>
      <c r="BG21" s="201"/>
      <c r="BH21" s="201"/>
      <c r="BI21" s="201"/>
      <c r="BJ21" s="202" t="str">
        <f aca="false">IF(Eingabe!I70="","",Eingabe!I70*Eingabe!B70)</f>
        <v/>
      </c>
      <c r="BK21" s="202"/>
      <c r="BL21" s="202"/>
      <c r="BM21" s="202"/>
      <c r="BN21" s="202"/>
      <c r="BO21" s="198"/>
      <c r="BP21" s="198"/>
      <c r="BQ21" s="198"/>
      <c r="BR21" s="198"/>
      <c r="BS21" s="198"/>
      <c r="BT21" s="198"/>
      <c r="BU21" s="198"/>
      <c r="BV21" s="198"/>
      <c r="BW21" s="198"/>
      <c r="BX21" s="198"/>
      <c r="BY21" s="198"/>
      <c r="BZ21" s="198"/>
      <c r="CA21" s="198"/>
      <c r="CB21" s="198"/>
      <c r="CC21" s="198"/>
      <c r="CD21" s="198"/>
      <c r="CE21" s="198"/>
      <c r="CF21" s="198"/>
      <c r="CG21" s="198"/>
      <c r="CH21" s="198"/>
      <c r="CI21" s="198"/>
      <c r="CJ21" s="198"/>
      <c r="CK21" s="198"/>
      <c r="CL21" s="198"/>
      <c r="CM21" s="198"/>
      <c r="CN21" s="198"/>
      <c r="CO21" s="198"/>
      <c r="CP21" s="198"/>
      <c r="CQ21" s="198"/>
      <c r="CR21" s="198"/>
      <c r="CS21" s="198"/>
      <c r="CT21" s="198"/>
      <c r="CU21" s="198"/>
      <c r="CV21" s="198"/>
      <c r="CW21" s="198"/>
      <c r="CX21" s="198"/>
      <c r="CY21" s="198"/>
      <c r="CZ21" s="198"/>
      <c r="DA21" s="198"/>
      <c r="DB21" s="198"/>
      <c r="DC21" s="198"/>
      <c r="DD21" s="198"/>
      <c r="DE21" s="198"/>
      <c r="DF21" s="198"/>
      <c r="DG21" s="198"/>
      <c r="DH21" s="198"/>
      <c r="DI21" s="198"/>
      <c r="DJ21" s="198"/>
      <c r="DK21" s="198"/>
      <c r="DL21" s="198"/>
      <c r="DM21" s="198"/>
      <c r="DN21" s="198"/>
      <c r="DO21" s="198"/>
      <c r="DP21" s="198"/>
      <c r="DQ21" s="198"/>
      <c r="DR21" s="198"/>
      <c r="DS21" s="198"/>
      <c r="DT21" s="198"/>
      <c r="DU21" s="198"/>
      <c r="DV21" s="198"/>
      <c r="DW21" s="198"/>
      <c r="DX21" s="198"/>
      <c r="DY21" s="198"/>
      <c r="DZ21" s="198"/>
      <c r="EA21" s="198"/>
      <c r="EB21" s="198"/>
      <c r="EC21" s="198"/>
      <c r="ED21" s="198"/>
      <c r="EE21" s="198"/>
      <c r="EF21" s="198"/>
      <c r="EG21" s="198"/>
      <c r="EH21" s="198"/>
      <c r="EI21" s="198"/>
      <c r="EJ21" s="198"/>
      <c r="EK21" s="198"/>
      <c r="EL21" s="198"/>
      <c r="EM21" s="198"/>
      <c r="EN21" s="198"/>
      <c r="EO21" s="198"/>
      <c r="EP21" s="198"/>
      <c r="EQ21" s="198"/>
      <c r="ER21" s="198"/>
      <c r="ES21" s="198"/>
      <c r="ET21" s="198"/>
      <c r="EU21" s="198"/>
      <c r="EV21" s="198"/>
      <c r="EW21" s="198"/>
      <c r="EX21" s="198"/>
      <c r="EY21" s="198"/>
      <c r="EZ21" s="198"/>
      <c r="FA21" s="198"/>
      <c r="FB21" s="198"/>
      <c r="FC21" s="198"/>
      <c r="FD21" s="198"/>
      <c r="FE21" s="198"/>
      <c r="FF21" s="198"/>
      <c r="FG21" s="198"/>
      <c r="FH21" s="198"/>
      <c r="FI21" s="198"/>
      <c r="FJ21" s="198"/>
      <c r="FK21" s="198"/>
      <c r="FL21" s="198"/>
      <c r="FM21" s="198"/>
      <c r="FN21" s="198"/>
      <c r="FO21" s="198"/>
      <c r="FP21" s="198"/>
      <c r="FQ21" s="198"/>
      <c r="FR21" s="198"/>
      <c r="FS21" s="198"/>
      <c r="FT21" s="198"/>
      <c r="FU21" s="198"/>
      <c r="FV21" s="198"/>
      <c r="FW21" s="198"/>
      <c r="FX21" s="198"/>
      <c r="FY21" s="198"/>
      <c r="FZ21" s="198"/>
      <c r="GA21" s="198"/>
      <c r="GB21" s="198"/>
      <c r="GC21" s="198"/>
      <c r="GD21" s="198"/>
      <c r="GE21" s="198"/>
      <c r="GF21" s="198"/>
      <c r="GG21" s="198"/>
      <c r="GH21" s="198"/>
      <c r="GI21" s="198"/>
      <c r="GJ21" s="198"/>
      <c r="GK21" s="198"/>
      <c r="GL21" s="198"/>
      <c r="GM21" s="198"/>
      <c r="GN21" s="198"/>
      <c r="GO21" s="198"/>
      <c r="GP21" s="198"/>
      <c r="GQ21" s="198"/>
      <c r="GR21" s="198"/>
      <c r="GS21" s="198"/>
      <c r="GT21" s="198"/>
      <c r="GU21" s="198"/>
      <c r="GV21" s="198"/>
      <c r="GW21" s="198"/>
      <c r="GX21" s="198"/>
      <c r="GY21" s="198"/>
      <c r="GZ21" s="198"/>
      <c r="HA21" s="198"/>
      <c r="HB21" s="198"/>
      <c r="HC21" s="198"/>
      <c r="HD21" s="198"/>
      <c r="HE21" s="198"/>
      <c r="HF21" s="198"/>
      <c r="HG21" s="198"/>
      <c r="HH21" s="198"/>
      <c r="HI21" s="198"/>
      <c r="HJ21" s="198"/>
      <c r="HK21" s="198"/>
      <c r="HL21" s="198"/>
      <c r="HM21" s="198"/>
      <c r="HN21" s="198"/>
      <c r="HO21" s="198"/>
      <c r="HP21" s="198"/>
      <c r="HQ21" s="198"/>
      <c r="HR21" s="198"/>
      <c r="HS21" s="198"/>
      <c r="HT21" s="198"/>
      <c r="HU21" s="198"/>
      <c r="HV21" s="198"/>
      <c r="HW21" s="198"/>
      <c r="HX21" s="198"/>
      <c r="HY21" s="198"/>
      <c r="HZ21" s="198"/>
      <c r="IA21" s="198"/>
      <c r="IB21" s="198"/>
      <c r="IC21" s="198"/>
      <c r="ID21" s="198"/>
      <c r="IE21" s="198"/>
      <c r="IF21" s="198"/>
      <c r="IG21" s="198"/>
      <c r="IH21" s="198"/>
      <c r="II21" s="198"/>
      <c r="IJ21" s="198"/>
      <c r="IK21" s="198"/>
      <c r="IL21" s="198"/>
      <c r="IM21" s="198"/>
      <c r="IN21" s="198"/>
      <c r="IO21" s="198"/>
      <c r="IP21" s="198"/>
      <c r="IQ21" s="198"/>
      <c r="IR21" s="198"/>
      <c r="IS21" s="198"/>
      <c r="IT21" s="198"/>
      <c r="IU21" s="198"/>
      <c r="IV21" s="198"/>
    </row>
    <row r="22" s="199" customFormat="true" ht="12.75" hidden="false" customHeight="true" outlineLevel="0" collapsed="false">
      <c r="A22" s="157" t="str">
        <f aca="false">IF(Eingabe!A71="","",Eingabe!A71)</f>
        <v/>
      </c>
      <c r="B22" s="157"/>
      <c r="C22" s="157"/>
      <c r="D22" s="158" t="str">
        <f aca="false">IF(Eingabe!B71="","",Eingabe!B71)</f>
        <v/>
      </c>
      <c r="E22" s="158"/>
      <c r="F22" s="158"/>
      <c r="G22" s="158"/>
      <c r="H22" s="159" t="str">
        <f aca="false">IF(Eingabe!C71="","",Eingabe!C71)</f>
        <v/>
      </c>
      <c r="I22" s="159"/>
      <c r="J22" s="159"/>
      <c r="K22" s="159"/>
      <c r="L22" s="160" t="str">
        <f aca="false">IF(Eingabe!D71="","",Eingabe!D71)</f>
        <v/>
      </c>
      <c r="M22" s="160"/>
      <c r="N22" s="160"/>
      <c r="O22" s="160"/>
      <c r="P22" s="160"/>
      <c r="Q22" s="160"/>
      <c r="R22" s="160"/>
      <c r="S22" s="160"/>
      <c r="T22" s="160"/>
      <c r="U22" s="160"/>
      <c r="V22" s="160"/>
      <c r="W22" s="160"/>
      <c r="X22" s="160"/>
      <c r="Y22" s="160"/>
      <c r="Z22" s="160"/>
      <c r="AA22" s="160"/>
      <c r="AB22" s="160"/>
      <c r="AC22" s="160"/>
      <c r="AD22" s="160"/>
      <c r="AE22" s="160"/>
      <c r="AF22" s="160"/>
      <c r="AG22" s="160"/>
      <c r="AH22" s="200" t="str">
        <f aca="false">IF(Eingabe!F71&amp;Eingabe!G71="","",Eingabe!F71&amp;"  /  "&amp;Eingabe!G71)</f>
        <v/>
      </c>
      <c r="AI22" s="200"/>
      <c r="AJ22" s="200"/>
      <c r="AK22" s="200"/>
      <c r="AL22" s="200"/>
      <c r="AM22" s="200"/>
      <c r="AN22" s="200"/>
      <c r="AO22" s="200"/>
      <c r="AP22" s="200"/>
      <c r="AQ22" s="200"/>
      <c r="AR22" s="200"/>
      <c r="AS22" s="200"/>
      <c r="AT22" s="200"/>
      <c r="AU22" s="200"/>
      <c r="AV22" s="200"/>
      <c r="AW22" s="200"/>
      <c r="AX22" s="200"/>
      <c r="AY22" s="200"/>
      <c r="AZ22" s="200"/>
      <c r="BA22" s="200"/>
      <c r="BB22" s="200"/>
      <c r="BC22" s="200"/>
      <c r="BD22" s="200"/>
      <c r="BE22" s="201" t="str">
        <f aca="false">IF(Eingabe!I71="","",Eingabe!I71)</f>
        <v/>
      </c>
      <c r="BF22" s="201"/>
      <c r="BG22" s="201"/>
      <c r="BH22" s="201"/>
      <c r="BI22" s="201"/>
      <c r="BJ22" s="202" t="str">
        <f aca="false">IF(Eingabe!I71="","",Eingabe!I71*Eingabe!B71)</f>
        <v/>
      </c>
      <c r="BK22" s="202"/>
      <c r="BL22" s="202"/>
      <c r="BM22" s="202"/>
      <c r="BN22" s="202"/>
      <c r="BO22" s="198"/>
      <c r="BP22" s="198"/>
      <c r="BQ22" s="198"/>
      <c r="BR22" s="198"/>
      <c r="BS22" s="198"/>
      <c r="BT22" s="198"/>
      <c r="BU22" s="198"/>
      <c r="BV22" s="198"/>
      <c r="BW22" s="198"/>
      <c r="BX22" s="198"/>
      <c r="BY22" s="198"/>
      <c r="BZ22" s="198"/>
      <c r="CA22" s="198"/>
      <c r="CB22" s="198"/>
      <c r="CC22" s="198"/>
      <c r="CD22" s="198"/>
      <c r="CE22" s="198"/>
      <c r="CF22" s="198"/>
      <c r="CG22" s="198"/>
      <c r="CH22" s="198"/>
      <c r="CI22" s="198"/>
      <c r="CJ22" s="198"/>
      <c r="CK22" s="198"/>
      <c r="CL22" s="198"/>
      <c r="CM22" s="198"/>
      <c r="CN22" s="198"/>
      <c r="CO22" s="198"/>
      <c r="CP22" s="198"/>
      <c r="CQ22" s="198"/>
      <c r="CR22" s="198"/>
      <c r="CS22" s="198"/>
      <c r="CT22" s="198"/>
      <c r="CU22" s="198"/>
      <c r="CV22" s="198"/>
      <c r="CW22" s="198"/>
      <c r="CX22" s="198"/>
      <c r="CY22" s="198"/>
      <c r="CZ22" s="198"/>
      <c r="DA22" s="198"/>
      <c r="DB22" s="198"/>
      <c r="DC22" s="198"/>
      <c r="DD22" s="198"/>
      <c r="DE22" s="198"/>
      <c r="DF22" s="198"/>
      <c r="DG22" s="198"/>
      <c r="DH22" s="198"/>
      <c r="DI22" s="198"/>
      <c r="DJ22" s="198"/>
      <c r="DK22" s="198"/>
      <c r="DL22" s="198"/>
      <c r="DM22" s="198"/>
      <c r="DN22" s="198"/>
      <c r="DO22" s="198"/>
      <c r="DP22" s="198"/>
      <c r="DQ22" s="198"/>
      <c r="DR22" s="198"/>
      <c r="DS22" s="198"/>
      <c r="DT22" s="198"/>
      <c r="DU22" s="198"/>
      <c r="DV22" s="198"/>
      <c r="DW22" s="198"/>
      <c r="DX22" s="198"/>
      <c r="DY22" s="198"/>
      <c r="DZ22" s="198"/>
      <c r="EA22" s="198"/>
      <c r="EB22" s="198"/>
      <c r="EC22" s="198"/>
      <c r="ED22" s="198"/>
      <c r="EE22" s="198"/>
      <c r="EF22" s="198"/>
      <c r="EG22" s="198"/>
      <c r="EH22" s="198"/>
      <c r="EI22" s="198"/>
      <c r="EJ22" s="198"/>
      <c r="EK22" s="198"/>
      <c r="EL22" s="198"/>
      <c r="EM22" s="198"/>
      <c r="EN22" s="198"/>
      <c r="EO22" s="198"/>
      <c r="EP22" s="198"/>
      <c r="EQ22" s="198"/>
      <c r="ER22" s="198"/>
      <c r="ES22" s="198"/>
      <c r="ET22" s="198"/>
      <c r="EU22" s="198"/>
      <c r="EV22" s="198"/>
      <c r="EW22" s="198"/>
      <c r="EX22" s="198"/>
      <c r="EY22" s="198"/>
      <c r="EZ22" s="198"/>
      <c r="FA22" s="198"/>
      <c r="FB22" s="198"/>
      <c r="FC22" s="198"/>
      <c r="FD22" s="198"/>
      <c r="FE22" s="198"/>
      <c r="FF22" s="198"/>
      <c r="FG22" s="198"/>
      <c r="FH22" s="198"/>
      <c r="FI22" s="198"/>
      <c r="FJ22" s="198"/>
      <c r="FK22" s="198"/>
      <c r="FL22" s="198"/>
      <c r="FM22" s="198"/>
      <c r="FN22" s="198"/>
      <c r="FO22" s="198"/>
      <c r="FP22" s="198"/>
      <c r="FQ22" s="198"/>
      <c r="FR22" s="198"/>
      <c r="FS22" s="198"/>
      <c r="FT22" s="198"/>
      <c r="FU22" s="198"/>
      <c r="FV22" s="198"/>
      <c r="FW22" s="198"/>
      <c r="FX22" s="198"/>
      <c r="FY22" s="198"/>
      <c r="FZ22" s="198"/>
      <c r="GA22" s="198"/>
      <c r="GB22" s="198"/>
      <c r="GC22" s="198"/>
      <c r="GD22" s="198"/>
      <c r="GE22" s="198"/>
      <c r="GF22" s="198"/>
      <c r="GG22" s="198"/>
      <c r="GH22" s="198"/>
      <c r="GI22" s="198"/>
      <c r="GJ22" s="198"/>
      <c r="GK22" s="198"/>
      <c r="GL22" s="198"/>
      <c r="GM22" s="198"/>
      <c r="GN22" s="198"/>
      <c r="GO22" s="198"/>
      <c r="GP22" s="198"/>
      <c r="GQ22" s="198"/>
      <c r="GR22" s="198"/>
      <c r="GS22" s="198"/>
      <c r="GT22" s="198"/>
      <c r="GU22" s="198"/>
      <c r="GV22" s="198"/>
      <c r="GW22" s="198"/>
      <c r="GX22" s="198"/>
      <c r="GY22" s="198"/>
      <c r="GZ22" s="198"/>
      <c r="HA22" s="198"/>
      <c r="HB22" s="198"/>
      <c r="HC22" s="198"/>
      <c r="HD22" s="198"/>
      <c r="HE22" s="198"/>
      <c r="HF22" s="198"/>
      <c r="HG22" s="198"/>
      <c r="HH22" s="198"/>
      <c r="HI22" s="198"/>
      <c r="HJ22" s="198"/>
      <c r="HK22" s="198"/>
      <c r="HL22" s="198"/>
      <c r="HM22" s="198"/>
      <c r="HN22" s="198"/>
      <c r="HO22" s="198"/>
      <c r="HP22" s="198"/>
      <c r="HQ22" s="198"/>
      <c r="HR22" s="198"/>
      <c r="HS22" s="198"/>
      <c r="HT22" s="198"/>
      <c r="HU22" s="198"/>
      <c r="HV22" s="198"/>
      <c r="HW22" s="198"/>
      <c r="HX22" s="198"/>
      <c r="HY22" s="198"/>
      <c r="HZ22" s="198"/>
      <c r="IA22" s="198"/>
      <c r="IB22" s="198"/>
      <c r="IC22" s="198"/>
      <c r="ID22" s="198"/>
      <c r="IE22" s="198"/>
      <c r="IF22" s="198"/>
      <c r="IG22" s="198"/>
      <c r="IH22" s="198"/>
      <c r="II22" s="198"/>
      <c r="IJ22" s="198"/>
      <c r="IK22" s="198"/>
      <c r="IL22" s="198"/>
      <c r="IM22" s="198"/>
      <c r="IN22" s="198"/>
      <c r="IO22" s="198"/>
      <c r="IP22" s="198"/>
      <c r="IQ22" s="198"/>
      <c r="IR22" s="198"/>
      <c r="IS22" s="198"/>
      <c r="IT22" s="198"/>
      <c r="IU22" s="198"/>
      <c r="IV22" s="198"/>
    </row>
    <row r="23" s="199" customFormat="true" ht="12.75" hidden="false" customHeight="true" outlineLevel="0" collapsed="false">
      <c r="A23" s="157" t="str">
        <f aca="false">IF(Eingabe!A72="","",Eingabe!A72)</f>
        <v/>
      </c>
      <c r="B23" s="157"/>
      <c r="C23" s="157"/>
      <c r="D23" s="158" t="str">
        <f aca="false">IF(Eingabe!B72="","",Eingabe!B72)</f>
        <v/>
      </c>
      <c r="E23" s="158"/>
      <c r="F23" s="158"/>
      <c r="G23" s="158"/>
      <c r="H23" s="159" t="str">
        <f aca="false">IF(Eingabe!C72="","",Eingabe!C72)</f>
        <v/>
      </c>
      <c r="I23" s="159"/>
      <c r="J23" s="159"/>
      <c r="K23" s="159"/>
      <c r="L23" s="160" t="str">
        <f aca="false">IF(Eingabe!D72="","",Eingabe!D72)</f>
        <v/>
      </c>
      <c r="M23" s="160"/>
      <c r="N23" s="160"/>
      <c r="O23" s="160"/>
      <c r="P23" s="160"/>
      <c r="Q23" s="160"/>
      <c r="R23" s="160"/>
      <c r="S23" s="160"/>
      <c r="T23" s="160"/>
      <c r="U23" s="160"/>
      <c r="V23" s="160"/>
      <c r="W23" s="160"/>
      <c r="X23" s="160"/>
      <c r="Y23" s="160"/>
      <c r="Z23" s="160"/>
      <c r="AA23" s="160"/>
      <c r="AB23" s="160"/>
      <c r="AC23" s="160"/>
      <c r="AD23" s="160"/>
      <c r="AE23" s="160"/>
      <c r="AF23" s="160"/>
      <c r="AG23" s="160"/>
      <c r="AH23" s="200" t="str">
        <f aca="false">IF(Eingabe!F72&amp;Eingabe!G72="","",Eingabe!F72&amp;"  /  "&amp;Eingabe!G72)</f>
        <v/>
      </c>
      <c r="AI23" s="200"/>
      <c r="AJ23" s="200"/>
      <c r="AK23" s="200"/>
      <c r="AL23" s="200"/>
      <c r="AM23" s="200"/>
      <c r="AN23" s="200"/>
      <c r="AO23" s="200"/>
      <c r="AP23" s="200"/>
      <c r="AQ23" s="200"/>
      <c r="AR23" s="200"/>
      <c r="AS23" s="200"/>
      <c r="AT23" s="200"/>
      <c r="AU23" s="200"/>
      <c r="AV23" s="200"/>
      <c r="AW23" s="200"/>
      <c r="AX23" s="200"/>
      <c r="AY23" s="200"/>
      <c r="AZ23" s="200"/>
      <c r="BA23" s="200"/>
      <c r="BB23" s="200"/>
      <c r="BC23" s="200"/>
      <c r="BD23" s="200"/>
      <c r="BE23" s="201" t="str">
        <f aca="false">IF(Eingabe!I72="","",Eingabe!I72)</f>
        <v/>
      </c>
      <c r="BF23" s="201"/>
      <c r="BG23" s="201"/>
      <c r="BH23" s="201"/>
      <c r="BI23" s="201"/>
      <c r="BJ23" s="202" t="str">
        <f aca="false">IF(Eingabe!I72="","",Eingabe!I72*Eingabe!B72)</f>
        <v/>
      </c>
      <c r="BK23" s="202"/>
      <c r="BL23" s="202"/>
      <c r="BM23" s="202"/>
      <c r="BN23" s="202"/>
      <c r="BO23" s="198"/>
      <c r="BP23" s="198"/>
      <c r="BQ23" s="198"/>
      <c r="BR23" s="198"/>
      <c r="BS23" s="198"/>
      <c r="BT23" s="198"/>
      <c r="BU23" s="198"/>
      <c r="BV23" s="198"/>
      <c r="BW23" s="198"/>
      <c r="BX23" s="198"/>
      <c r="BY23" s="198"/>
      <c r="BZ23" s="198"/>
      <c r="CA23" s="198"/>
      <c r="CB23" s="198"/>
      <c r="CC23" s="198"/>
      <c r="CD23" s="198"/>
      <c r="CE23" s="198"/>
      <c r="CF23" s="198"/>
      <c r="CG23" s="198"/>
      <c r="CH23" s="198"/>
      <c r="CI23" s="198"/>
      <c r="CJ23" s="198"/>
      <c r="CK23" s="198"/>
      <c r="CL23" s="198"/>
      <c r="CM23" s="198"/>
      <c r="CN23" s="198"/>
      <c r="CO23" s="198"/>
      <c r="CP23" s="198"/>
      <c r="CQ23" s="198"/>
      <c r="CR23" s="198"/>
      <c r="CS23" s="198"/>
      <c r="CT23" s="198"/>
      <c r="CU23" s="198"/>
      <c r="CV23" s="198"/>
      <c r="CW23" s="198"/>
      <c r="CX23" s="198"/>
      <c r="CY23" s="198"/>
      <c r="CZ23" s="198"/>
      <c r="DA23" s="198"/>
      <c r="DB23" s="198"/>
      <c r="DC23" s="198"/>
      <c r="DD23" s="198"/>
      <c r="DE23" s="198"/>
      <c r="DF23" s="198"/>
      <c r="DG23" s="198"/>
      <c r="DH23" s="198"/>
      <c r="DI23" s="198"/>
      <c r="DJ23" s="198"/>
      <c r="DK23" s="198"/>
      <c r="DL23" s="198"/>
      <c r="DM23" s="198"/>
      <c r="DN23" s="198"/>
      <c r="DO23" s="198"/>
      <c r="DP23" s="198"/>
      <c r="DQ23" s="198"/>
      <c r="DR23" s="198"/>
      <c r="DS23" s="198"/>
      <c r="DT23" s="198"/>
      <c r="DU23" s="198"/>
      <c r="DV23" s="198"/>
      <c r="DW23" s="198"/>
      <c r="DX23" s="198"/>
      <c r="DY23" s="198"/>
      <c r="DZ23" s="198"/>
      <c r="EA23" s="198"/>
      <c r="EB23" s="198"/>
      <c r="EC23" s="198"/>
      <c r="ED23" s="198"/>
      <c r="EE23" s="198"/>
      <c r="EF23" s="198"/>
      <c r="EG23" s="198"/>
      <c r="EH23" s="198"/>
      <c r="EI23" s="198"/>
      <c r="EJ23" s="198"/>
      <c r="EK23" s="198"/>
      <c r="EL23" s="198"/>
      <c r="EM23" s="198"/>
      <c r="EN23" s="198"/>
      <c r="EO23" s="198"/>
      <c r="EP23" s="198"/>
      <c r="EQ23" s="198"/>
      <c r="ER23" s="198"/>
      <c r="ES23" s="198"/>
      <c r="ET23" s="198"/>
      <c r="EU23" s="198"/>
      <c r="EV23" s="198"/>
      <c r="EW23" s="198"/>
      <c r="EX23" s="198"/>
      <c r="EY23" s="198"/>
      <c r="EZ23" s="198"/>
      <c r="FA23" s="198"/>
      <c r="FB23" s="198"/>
      <c r="FC23" s="198"/>
      <c r="FD23" s="198"/>
      <c r="FE23" s="198"/>
      <c r="FF23" s="198"/>
      <c r="FG23" s="198"/>
      <c r="FH23" s="198"/>
      <c r="FI23" s="198"/>
      <c r="FJ23" s="198"/>
      <c r="FK23" s="198"/>
      <c r="FL23" s="198"/>
      <c r="FM23" s="198"/>
      <c r="FN23" s="198"/>
      <c r="FO23" s="198"/>
      <c r="FP23" s="198"/>
      <c r="FQ23" s="198"/>
      <c r="FR23" s="198"/>
      <c r="FS23" s="198"/>
      <c r="FT23" s="198"/>
      <c r="FU23" s="198"/>
      <c r="FV23" s="198"/>
      <c r="FW23" s="198"/>
      <c r="FX23" s="198"/>
      <c r="FY23" s="198"/>
      <c r="FZ23" s="198"/>
      <c r="GA23" s="198"/>
      <c r="GB23" s="198"/>
      <c r="GC23" s="198"/>
      <c r="GD23" s="198"/>
      <c r="GE23" s="198"/>
      <c r="GF23" s="198"/>
      <c r="GG23" s="198"/>
      <c r="GH23" s="198"/>
      <c r="GI23" s="198"/>
      <c r="GJ23" s="198"/>
      <c r="GK23" s="198"/>
      <c r="GL23" s="198"/>
      <c r="GM23" s="198"/>
      <c r="GN23" s="198"/>
      <c r="GO23" s="198"/>
      <c r="GP23" s="198"/>
      <c r="GQ23" s="198"/>
      <c r="GR23" s="198"/>
      <c r="GS23" s="198"/>
      <c r="GT23" s="198"/>
      <c r="GU23" s="198"/>
      <c r="GV23" s="198"/>
      <c r="GW23" s="198"/>
      <c r="GX23" s="198"/>
      <c r="GY23" s="198"/>
      <c r="GZ23" s="198"/>
      <c r="HA23" s="198"/>
      <c r="HB23" s="198"/>
      <c r="HC23" s="198"/>
      <c r="HD23" s="198"/>
      <c r="HE23" s="198"/>
      <c r="HF23" s="198"/>
      <c r="HG23" s="198"/>
      <c r="HH23" s="198"/>
      <c r="HI23" s="198"/>
      <c r="HJ23" s="198"/>
      <c r="HK23" s="198"/>
      <c r="HL23" s="198"/>
      <c r="HM23" s="198"/>
      <c r="HN23" s="198"/>
      <c r="HO23" s="198"/>
      <c r="HP23" s="198"/>
      <c r="HQ23" s="198"/>
      <c r="HR23" s="198"/>
      <c r="HS23" s="198"/>
      <c r="HT23" s="198"/>
      <c r="HU23" s="198"/>
      <c r="HV23" s="198"/>
      <c r="HW23" s="198"/>
      <c r="HX23" s="198"/>
      <c r="HY23" s="198"/>
      <c r="HZ23" s="198"/>
      <c r="IA23" s="198"/>
      <c r="IB23" s="198"/>
      <c r="IC23" s="198"/>
      <c r="ID23" s="198"/>
      <c r="IE23" s="198"/>
      <c r="IF23" s="198"/>
      <c r="IG23" s="198"/>
      <c r="IH23" s="198"/>
      <c r="II23" s="198"/>
      <c r="IJ23" s="198"/>
      <c r="IK23" s="198"/>
      <c r="IL23" s="198"/>
      <c r="IM23" s="198"/>
      <c r="IN23" s="198"/>
      <c r="IO23" s="198"/>
      <c r="IP23" s="198"/>
      <c r="IQ23" s="198"/>
      <c r="IR23" s="198"/>
      <c r="IS23" s="198"/>
      <c r="IT23" s="198"/>
      <c r="IU23" s="198"/>
      <c r="IV23" s="198"/>
    </row>
    <row r="24" s="199" customFormat="true" ht="12.75" hidden="false" customHeight="true" outlineLevel="0" collapsed="false">
      <c r="A24" s="157" t="str">
        <f aca="false">IF(Eingabe!A73="","",Eingabe!A73)</f>
        <v/>
      </c>
      <c r="B24" s="157"/>
      <c r="C24" s="157"/>
      <c r="D24" s="158" t="str">
        <f aca="false">IF(Eingabe!B73="","",Eingabe!B73)</f>
        <v/>
      </c>
      <c r="E24" s="158"/>
      <c r="F24" s="158"/>
      <c r="G24" s="158"/>
      <c r="H24" s="159" t="str">
        <f aca="false">IF(Eingabe!C73="","",Eingabe!C73)</f>
        <v/>
      </c>
      <c r="I24" s="159"/>
      <c r="J24" s="159"/>
      <c r="K24" s="159"/>
      <c r="L24" s="160" t="str">
        <f aca="false">IF(Eingabe!D73="","",Eingabe!D73)</f>
        <v/>
      </c>
      <c r="M24" s="160"/>
      <c r="N24" s="160"/>
      <c r="O24" s="160"/>
      <c r="P24" s="160"/>
      <c r="Q24" s="160"/>
      <c r="R24" s="160"/>
      <c r="S24" s="160"/>
      <c r="T24" s="160"/>
      <c r="U24" s="160"/>
      <c r="V24" s="160"/>
      <c r="W24" s="160"/>
      <c r="X24" s="160"/>
      <c r="Y24" s="160"/>
      <c r="Z24" s="160"/>
      <c r="AA24" s="160"/>
      <c r="AB24" s="160"/>
      <c r="AC24" s="160"/>
      <c r="AD24" s="160"/>
      <c r="AE24" s="160"/>
      <c r="AF24" s="160"/>
      <c r="AG24" s="160"/>
      <c r="AH24" s="200" t="str">
        <f aca="false">IF(Eingabe!F73&amp;Eingabe!G73="","",Eingabe!F73&amp;"  /  "&amp;Eingabe!G73)</f>
        <v/>
      </c>
      <c r="AI24" s="200"/>
      <c r="AJ24" s="200"/>
      <c r="AK24" s="200"/>
      <c r="AL24" s="200"/>
      <c r="AM24" s="200"/>
      <c r="AN24" s="200"/>
      <c r="AO24" s="200"/>
      <c r="AP24" s="200"/>
      <c r="AQ24" s="200"/>
      <c r="AR24" s="200"/>
      <c r="AS24" s="200"/>
      <c r="AT24" s="200"/>
      <c r="AU24" s="200"/>
      <c r="AV24" s="200"/>
      <c r="AW24" s="200"/>
      <c r="AX24" s="200"/>
      <c r="AY24" s="200"/>
      <c r="AZ24" s="200"/>
      <c r="BA24" s="200"/>
      <c r="BB24" s="200"/>
      <c r="BC24" s="200"/>
      <c r="BD24" s="200"/>
      <c r="BE24" s="201" t="str">
        <f aca="false">IF(Eingabe!I73="","",Eingabe!I73)</f>
        <v/>
      </c>
      <c r="BF24" s="201"/>
      <c r="BG24" s="201"/>
      <c r="BH24" s="201"/>
      <c r="BI24" s="201"/>
      <c r="BJ24" s="202" t="str">
        <f aca="false">IF(Eingabe!I73="","",Eingabe!I73*Eingabe!B73)</f>
        <v/>
      </c>
      <c r="BK24" s="202"/>
      <c r="BL24" s="202"/>
      <c r="BM24" s="202"/>
      <c r="BN24" s="202"/>
      <c r="BO24" s="198"/>
      <c r="BP24" s="198"/>
      <c r="BQ24" s="198"/>
      <c r="BR24" s="198"/>
      <c r="BS24" s="198"/>
      <c r="BT24" s="198"/>
      <c r="BU24" s="198"/>
      <c r="BV24" s="198"/>
      <c r="BW24" s="198"/>
      <c r="BX24" s="198"/>
      <c r="BY24" s="198"/>
      <c r="BZ24" s="198"/>
      <c r="CA24" s="198"/>
      <c r="CB24" s="198"/>
      <c r="CC24" s="198"/>
      <c r="CD24" s="198"/>
      <c r="CE24" s="198"/>
      <c r="CF24" s="198"/>
      <c r="CG24" s="198"/>
      <c r="CH24" s="198"/>
      <c r="CI24" s="198"/>
      <c r="CJ24" s="198"/>
      <c r="CK24" s="198"/>
      <c r="CL24" s="198"/>
      <c r="CM24" s="198"/>
      <c r="CN24" s="198"/>
      <c r="CO24" s="198"/>
      <c r="CP24" s="198"/>
      <c r="CQ24" s="198"/>
      <c r="CR24" s="198"/>
      <c r="CS24" s="198"/>
      <c r="CT24" s="198"/>
      <c r="CU24" s="198"/>
      <c r="CV24" s="198"/>
      <c r="CW24" s="198"/>
      <c r="CX24" s="198"/>
      <c r="CY24" s="198"/>
      <c r="CZ24" s="198"/>
      <c r="DA24" s="198"/>
      <c r="DB24" s="198"/>
      <c r="DC24" s="198"/>
      <c r="DD24" s="198"/>
      <c r="DE24" s="198"/>
      <c r="DF24" s="198"/>
      <c r="DG24" s="198"/>
      <c r="DH24" s="198"/>
      <c r="DI24" s="198"/>
      <c r="DJ24" s="198"/>
      <c r="DK24" s="198"/>
      <c r="DL24" s="198"/>
      <c r="DM24" s="198"/>
      <c r="DN24" s="198"/>
      <c r="DO24" s="198"/>
      <c r="DP24" s="198"/>
      <c r="DQ24" s="198"/>
      <c r="DR24" s="198"/>
      <c r="DS24" s="198"/>
      <c r="DT24" s="198"/>
      <c r="DU24" s="198"/>
      <c r="DV24" s="198"/>
      <c r="DW24" s="198"/>
      <c r="DX24" s="198"/>
      <c r="DY24" s="198"/>
      <c r="DZ24" s="198"/>
      <c r="EA24" s="198"/>
      <c r="EB24" s="198"/>
      <c r="EC24" s="198"/>
      <c r="ED24" s="198"/>
      <c r="EE24" s="198"/>
      <c r="EF24" s="198"/>
      <c r="EG24" s="198"/>
      <c r="EH24" s="198"/>
      <c r="EI24" s="198"/>
      <c r="EJ24" s="198"/>
      <c r="EK24" s="198"/>
      <c r="EL24" s="198"/>
      <c r="EM24" s="198"/>
      <c r="EN24" s="198"/>
      <c r="EO24" s="198"/>
      <c r="EP24" s="198"/>
      <c r="EQ24" s="198"/>
      <c r="ER24" s="198"/>
      <c r="ES24" s="198"/>
      <c r="ET24" s="198"/>
      <c r="EU24" s="198"/>
      <c r="EV24" s="198"/>
      <c r="EW24" s="198"/>
      <c r="EX24" s="198"/>
      <c r="EY24" s="198"/>
      <c r="EZ24" s="198"/>
      <c r="FA24" s="198"/>
      <c r="FB24" s="198"/>
      <c r="FC24" s="198"/>
      <c r="FD24" s="198"/>
      <c r="FE24" s="198"/>
      <c r="FF24" s="198"/>
      <c r="FG24" s="198"/>
      <c r="FH24" s="198"/>
      <c r="FI24" s="198"/>
      <c r="FJ24" s="198"/>
      <c r="FK24" s="198"/>
      <c r="FL24" s="198"/>
      <c r="FM24" s="198"/>
      <c r="FN24" s="198"/>
      <c r="FO24" s="198"/>
      <c r="FP24" s="198"/>
      <c r="FQ24" s="198"/>
      <c r="FR24" s="198"/>
      <c r="FS24" s="198"/>
      <c r="FT24" s="198"/>
      <c r="FU24" s="198"/>
      <c r="FV24" s="198"/>
      <c r="FW24" s="198"/>
      <c r="FX24" s="198"/>
      <c r="FY24" s="198"/>
      <c r="FZ24" s="198"/>
      <c r="GA24" s="198"/>
      <c r="GB24" s="198"/>
      <c r="GC24" s="198"/>
      <c r="GD24" s="198"/>
      <c r="GE24" s="198"/>
      <c r="GF24" s="198"/>
      <c r="GG24" s="198"/>
      <c r="GH24" s="198"/>
      <c r="GI24" s="198"/>
      <c r="GJ24" s="198"/>
      <c r="GK24" s="198"/>
      <c r="GL24" s="198"/>
      <c r="GM24" s="198"/>
      <c r="GN24" s="198"/>
      <c r="GO24" s="198"/>
      <c r="GP24" s="198"/>
      <c r="GQ24" s="198"/>
      <c r="GR24" s="198"/>
      <c r="GS24" s="198"/>
      <c r="GT24" s="198"/>
      <c r="GU24" s="198"/>
      <c r="GV24" s="198"/>
      <c r="GW24" s="198"/>
      <c r="GX24" s="198"/>
      <c r="GY24" s="198"/>
      <c r="GZ24" s="198"/>
      <c r="HA24" s="198"/>
      <c r="HB24" s="198"/>
      <c r="HC24" s="198"/>
      <c r="HD24" s="198"/>
      <c r="HE24" s="198"/>
      <c r="HF24" s="198"/>
      <c r="HG24" s="198"/>
      <c r="HH24" s="198"/>
      <c r="HI24" s="198"/>
      <c r="HJ24" s="198"/>
      <c r="HK24" s="198"/>
      <c r="HL24" s="198"/>
      <c r="HM24" s="198"/>
      <c r="HN24" s="198"/>
      <c r="HO24" s="198"/>
      <c r="HP24" s="198"/>
      <c r="HQ24" s="198"/>
      <c r="HR24" s="198"/>
      <c r="HS24" s="198"/>
      <c r="HT24" s="198"/>
      <c r="HU24" s="198"/>
      <c r="HV24" s="198"/>
      <c r="HW24" s="198"/>
      <c r="HX24" s="198"/>
      <c r="HY24" s="198"/>
      <c r="HZ24" s="198"/>
      <c r="IA24" s="198"/>
      <c r="IB24" s="198"/>
      <c r="IC24" s="198"/>
      <c r="ID24" s="198"/>
      <c r="IE24" s="198"/>
      <c r="IF24" s="198"/>
      <c r="IG24" s="198"/>
      <c r="IH24" s="198"/>
      <c r="II24" s="198"/>
      <c r="IJ24" s="198"/>
      <c r="IK24" s="198"/>
      <c r="IL24" s="198"/>
      <c r="IM24" s="198"/>
      <c r="IN24" s="198"/>
      <c r="IO24" s="198"/>
      <c r="IP24" s="198"/>
      <c r="IQ24" s="198"/>
      <c r="IR24" s="198"/>
      <c r="IS24" s="198"/>
      <c r="IT24" s="198"/>
      <c r="IU24" s="198"/>
      <c r="IV24" s="198"/>
    </row>
    <row r="25" s="199" customFormat="true" ht="12.75" hidden="false" customHeight="true" outlineLevel="0" collapsed="false">
      <c r="A25" s="157" t="str">
        <f aca="false">IF(Eingabe!A74="","",Eingabe!A74)</f>
        <v/>
      </c>
      <c r="B25" s="157"/>
      <c r="C25" s="157"/>
      <c r="D25" s="158" t="str">
        <f aca="false">IF(Eingabe!B74="","",Eingabe!B74)</f>
        <v/>
      </c>
      <c r="E25" s="158"/>
      <c r="F25" s="158"/>
      <c r="G25" s="158"/>
      <c r="H25" s="159" t="str">
        <f aca="false">IF(Eingabe!C74="","",Eingabe!C74)</f>
        <v/>
      </c>
      <c r="I25" s="159"/>
      <c r="J25" s="159"/>
      <c r="K25" s="159"/>
      <c r="L25" s="160" t="str">
        <f aca="false">IF(Eingabe!D74="","",Eingabe!D74)</f>
        <v/>
      </c>
      <c r="M25" s="160"/>
      <c r="N25" s="160"/>
      <c r="O25" s="160"/>
      <c r="P25" s="160"/>
      <c r="Q25" s="160"/>
      <c r="R25" s="160"/>
      <c r="S25" s="160"/>
      <c r="T25" s="160"/>
      <c r="U25" s="160"/>
      <c r="V25" s="160"/>
      <c r="W25" s="160"/>
      <c r="X25" s="160"/>
      <c r="Y25" s="160"/>
      <c r="Z25" s="160"/>
      <c r="AA25" s="160"/>
      <c r="AB25" s="160"/>
      <c r="AC25" s="160"/>
      <c r="AD25" s="160"/>
      <c r="AE25" s="160"/>
      <c r="AF25" s="160"/>
      <c r="AG25" s="160"/>
      <c r="AH25" s="200" t="str">
        <f aca="false">IF(Eingabe!F74&amp;Eingabe!G74="","",Eingabe!F74&amp;"  /  "&amp;Eingabe!G74)</f>
        <v/>
      </c>
      <c r="AI25" s="200"/>
      <c r="AJ25" s="200"/>
      <c r="AK25" s="200"/>
      <c r="AL25" s="200"/>
      <c r="AM25" s="200"/>
      <c r="AN25" s="200"/>
      <c r="AO25" s="200"/>
      <c r="AP25" s="200"/>
      <c r="AQ25" s="200"/>
      <c r="AR25" s="200"/>
      <c r="AS25" s="200"/>
      <c r="AT25" s="200"/>
      <c r="AU25" s="200"/>
      <c r="AV25" s="200"/>
      <c r="AW25" s="200"/>
      <c r="AX25" s="200"/>
      <c r="AY25" s="200"/>
      <c r="AZ25" s="200"/>
      <c r="BA25" s="200"/>
      <c r="BB25" s="200"/>
      <c r="BC25" s="200"/>
      <c r="BD25" s="200"/>
      <c r="BE25" s="201" t="str">
        <f aca="false">IF(Eingabe!I74="","",Eingabe!I74)</f>
        <v/>
      </c>
      <c r="BF25" s="201"/>
      <c r="BG25" s="201"/>
      <c r="BH25" s="201"/>
      <c r="BI25" s="201"/>
      <c r="BJ25" s="202" t="str">
        <f aca="false">IF(Eingabe!I74="","",Eingabe!I74*Eingabe!B74)</f>
        <v/>
      </c>
      <c r="BK25" s="202"/>
      <c r="BL25" s="202"/>
      <c r="BM25" s="202"/>
      <c r="BN25" s="202"/>
      <c r="BO25" s="198"/>
      <c r="BP25" s="198"/>
      <c r="BQ25" s="198"/>
      <c r="BR25" s="198"/>
      <c r="BS25" s="198"/>
      <c r="BT25" s="198"/>
      <c r="BU25" s="198"/>
      <c r="BV25" s="198"/>
      <c r="BW25" s="198"/>
      <c r="BX25" s="198"/>
      <c r="BY25" s="198"/>
      <c r="BZ25" s="198"/>
      <c r="CA25" s="198"/>
      <c r="CB25" s="198"/>
      <c r="CC25" s="198"/>
      <c r="CD25" s="198"/>
      <c r="CE25" s="198"/>
      <c r="CF25" s="198"/>
      <c r="CG25" s="198"/>
      <c r="CH25" s="198"/>
      <c r="CI25" s="198"/>
      <c r="CJ25" s="198"/>
      <c r="CK25" s="198"/>
      <c r="CL25" s="198"/>
      <c r="CM25" s="198"/>
      <c r="CN25" s="198"/>
      <c r="CO25" s="198"/>
      <c r="CP25" s="198"/>
      <c r="CQ25" s="198"/>
      <c r="CR25" s="198"/>
      <c r="CS25" s="198"/>
      <c r="CT25" s="198"/>
      <c r="CU25" s="198"/>
      <c r="CV25" s="198"/>
      <c r="CW25" s="198"/>
      <c r="CX25" s="198"/>
      <c r="CY25" s="198"/>
      <c r="CZ25" s="198"/>
      <c r="DA25" s="198"/>
      <c r="DB25" s="198"/>
      <c r="DC25" s="198"/>
      <c r="DD25" s="198"/>
      <c r="DE25" s="198"/>
      <c r="DF25" s="198"/>
      <c r="DG25" s="198"/>
      <c r="DH25" s="198"/>
      <c r="DI25" s="198"/>
      <c r="DJ25" s="198"/>
      <c r="DK25" s="198"/>
      <c r="DL25" s="198"/>
      <c r="DM25" s="198"/>
      <c r="DN25" s="198"/>
      <c r="DO25" s="198"/>
      <c r="DP25" s="198"/>
      <c r="DQ25" s="198"/>
      <c r="DR25" s="198"/>
      <c r="DS25" s="198"/>
      <c r="DT25" s="198"/>
      <c r="DU25" s="198"/>
      <c r="DV25" s="198"/>
      <c r="DW25" s="198"/>
      <c r="DX25" s="198"/>
      <c r="DY25" s="198"/>
      <c r="DZ25" s="198"/>
      <c r="EA25" s="198"/>
      <c r="EB25" s="198"/>
      <c r="EC25" s="198"/>
      <c r="ED25" s="198"/>
      <c r="EE25" s="198"/>
      <c r="EF25" s="198"/>
      <c r="EG25" s="198"/>
      <c r="EH25" s="198"/>
      <c r="EI25" s="198"/>
      <c r="EJ25" s="198"/>
      <c r="EK25" s="198"/>
      <c r="EL25" s="198"/>
      <c r="EM25" s="198"/>
      <c r="EN25" s="198"/>
      <c r="EO25" s="198"/>
      <c r="EP25" s="198"/>
      <c r="EQ25" s="198"/>
      <c r="ER25" s="198"/>
      <c r="ES25" s="198"/>
      <c r="ET25" s="198"/>
      <c r="EU25" s="198"/>
      <c r="EV25" s="198"/>
      <c r="EW25" s="198"/>
      <c r="EX25" s="198"/>
      <c r="EY25" s="198"/>
      <c r="EZ25" s="198"/>
      <c r="FA25" s="198"/>
      <c r="FB25" s="198"/>
      <c r="FC25" s="198"/>
      <c r="FD25" s="198"/>
      <c r="FE25" s="198"/>
      <c r="FF25" s="198"/>
      <c r="FG25" s="198"/>
      <c r="FH25" s="198"/>
      <c r="FI25" s="198"/>
      <c r="FJ25" s="198"/>
      <c r="FK25" s="198"/>
      <c r="FL25" s="198"/>
      <c r="FM25" s="198"/>
      <c r="FN25" s="198"/>
      <c r="FO25" s="198"/>
      <c r="FP25" s="198"/>
      <c r="FQ25" s="198"/>
      <c r="FR25" s="198"/>
      <c r="FS25" s="198"/>
      <c r="FT25" s="198"/>
      <c r="FU25" s="198"/>
      <c r="FV25" s="198"/>
      <c r="FW25" s="198"/>
      <c r="FX25" s="198"/>
      <c r="FY25" s="198"/>
      <c r="FZ25" s="198"/>
      <c r="GA25" s="198"/>
      <c r="GB25" s="198"/>
      <c r="GC25" s="198"/>
      <c r="GD25" s="198"/>
      <c r="GE25" s="198"/>
      <c r="GF25" s="198"/>
      <c r="GG25" s="198"/>
      <c r="GH25" s="198"/>
      <c r="GI25" s="198"/>
      <c r="GJ25" s="198"/>
      <c r="GK25" s="198"/>
      <c r="GL25" s="198"/>
      <c r="GM25" s="198"/>
      <c r="GN25" s="198"/>
      <c r="GO25" s="198"/>
      <c r="GP25" s="198"/>
      <c r="GQ25" s="198"/>
      <c r="GR25" s="198"/>
      <c r="GS25" s="198"/>
      <c r="GT25" s="198"/>
      <c r="GU25" s="198"/>
      <c r="GV25" s="198"/>
      <c r="GW25" s="198"/>
      <c r="GX25" s="198"/>
      <c r="GY25" s="198"/>
      <c r="GZ25" s="198"/>
      <c r="HA25" s="198"/>
      <c r="HB25" s="198"/>
      <c r="HC25" s="198"/>
      <c r="HD25" s="198"/>
      <c r="HE25" s="198"/>
      <c r="HF25" s="198"/>
      <c r="HG25" s="198"/>
      <c r="HH25" s="198"/>
      <c r="HI25" s="198"/>
      <c r="HJ25" s="198"/>
      <c r="HK25" s="198"/>
      <c r="HL25" s="198"/>
      <c r="HM25" s="198"/>
      <c r="HN25" s="198"/>
      <c r="HO25" s="198"/>
      <c r="HP25" s="198"/>
      <c r="HQ25" s="198"/>
      <c r="HR25" s="198"/>
      <c r="HS25" s="198"/>
      <c r="HT25" s="198"/>
      <c r="HU25" s="198"/>
      <c r="HV25" s="198"/>
      <c r="HW25" s="198"/>
      <c r="HX25" s="198"/>
      <c r="HY25" s="198"/>
      <c r="HZ25" s="198"/>
      <c r="IA25" s="198"/>
      <c r="IB25" s="198"/>
      <c r="IC25" s="198"/>
      <c r="ID25" s="198"/>
      <c r="IE25" s="198"/>
      <c r="IF25" s="198"/>
      <c r="IG25" s="198"/>
      <c r="IH25" s="198"/>
      <c r="II25" s="198"/>
      <c r="IJ25" s="198"/>
      <c r="IK25" s="198"/>
      <c r="IL25" s="198"/>
      <c r="IM25" s="198"/>
      <c r="IN25" s="198"/>
      <c r="IO25" s="198"/>
      <c r="IP25" s="198"/>
      <c r="IQ25" s="198"/>
      <c r="IR25" s="198"/>
      <c r="IS25" s="198"/>
      <c r="IT25" s="198"/>
      <c r="IU25" s="198"/>
      <c r="IV25" s="198"/>
    </row>
    <row r="26" s="199" customFormat="true" ht="12.75" hidden="false" customHeight="true" outlineLevel="0" collapsed="false">
      <c r="A26" s="157" t="str">
        <f aca="false">IF(Eingabe!A75="","",Eingabe!A75)</f>
        <v/>
      </c>
      <c r="B26" s="157"/>
      <c r="C26" s="157"/>
      <c r="D26" s="158" t="str">
        <f aca="false">IF(Eingabe!B75="","",Eingabe!B75)</f>
        <v/>
      </c>
      <c r="E26" s="158"/>
      <c r="F26" s="158"/>
      <c r="G26" s="158"/>
      <c r="H26" s="159" t="str">
        <f aca="false">IF(Eingabe!C75="","",Eingabe!C75)</f>
        <v/>
      </c>
      <c r="I26" s="159"/>
      <c r="J26" s="159"/>
      <c r="K26" s="159"/>
      <c r="L26" s="160" t="str">
        <f aca="false">IF(Eingabe!D75="","",Eingabe!D75)</f>
        <v/>
      </c>
      <c r="M26" s="160"/>
      <c r="N26" s="160"/>
      <c r="O26" s="160"/>
      <c r="P26" s="160"/>
      <c r="Q26" s="160"/>
      <c r="R26" s="160"/>
      <c r="S26" s="160"/>
      <c r="T26" s="160"/>
      <c r="U26" s="160"/>
      <c r="V26" s="160"/>
      <c r="W26" s="160"/>
      <c r="X26" s="160"/>
      <c r="Y26" s="160"/>
      <c r="Z26" s="160"/>
      <c r="AA26" s="160"/>
      <c r="AB26" s="160"/>
      <c r="AC26" s="160"/>
      <c r="AD26" s="160"/>
      <c r="AE26" s="160"/>
      <c r="AF26" s="160"/>
      <c r="AG26" s="160"/>
      <c r="AH26" s="200" t="str">
        <f aca="false">IF(Eingabe!F75&amp;Eingabe!G75="","",Eingabe!F75&amp;"  /  "&amp;Eingabe!G75)</f>
        <v/>
      </c>
      <c r="AI26" s="200"/>
      <c r="AJ26" s="200"/>
      <c r="AK26" s="200"/>
      <c r="AL26" s="200"/>
      <c r="AM26" s="200"/>
      <c r="AN26" s="200"/>
      <c r="AO26" s="200"/>
      <c r="AP26" s="200"/>
      <c r="AQ26" s="200"/>
      <c r="AR26" s="200"/>
      <c r="AS26" s="200"/>
      <c r="AT26" s="200"/>
      <c r="AU26" s="200"/>
      <c r="AV26" s="200"/>
      <c r="AW26" s="200"/>
      <c r="AX26" s="200"/>
      <c r="AY26" s="200"/>
      <c r="AZ26" s="200"/>
      <c r="BA26" s="200"/>
      <c r="BB26" s="200"/>
      <c r="BC26" s="200"/>
      <c r="BD26" s="200"/>
      <c r="BE26" s="201" t="str">
        <f aca="false">IF(Eingabe!I75="","",Eingabe!I75)</f>
        <v/>
      </c>
      <c r="BF26" s="201"/>
      <c r="BG26" s="201"/>
      <c r="BH26" s="201"/>
      <c r="BI26" s="201"/>
      <c r="BJ26" s="202" t="str">
        <f aca="false">IF(Eingabe!I75="","",Eingabe!I75*Eingabe!B75)</f>
        <v/>
      </c>
      <c r="BK26" s="202"/>
      <c r="BL26" s="202"/>
      <c r="BM26" s="202"/>
      <c r="BN26" s="202"/>
      <c r="BO26" s="198"/>
      <c r="BP26" s="198"/>
      <c r="BQ26" s="198"/>
      <c r="BR26" s="198"/>
      <c r="BS26" s="198"/>
      <c r="BT26" s="198"/>
      <c r="BU26" s="198"/>
      <c r="BV26" s="198"/>
      <c r="BW26" s="198"/>
      <c r="BX26" s="198"/>
      <c r="BY26" s="198"/>
      <c r="BZ26" s="198"/>
      <c r="CA26" s="198"/>
      <c r="CB26" s="198"/>
      <c r="CC26" s="198"/>
      <c r="CD26" s="198"/>
      <c r="CE26" s="198"/>
      <c r="CF26" s="198"/>
      <c r="CG26" s="198"/>
      <c r="CH26" s="198"/>
      <c r="CI26" s="198"/>
      <c r="CJ26" s="198"/>
      <c r="CK26" s="198"/>
      <c r="CL26" s="198"/>
      <c r="CM26" s="198"/>
      <c r="CN26" s="198"/>
      <c r="CO26" s="198"/>
      <c r="CP26" s="198"/>
      <c r="CQ26" s="198"/>
      <c r="CR26" s="198"/>
      <c r="CS26" s="198"/>
      <c r="CT26" s="198"/>
      <c r="CU26" s="198"/>
      <c r="CV26" s="198"/>
      <c r="CW26" s="198"/>
      <c r="CX26" s="198"/>
      <c r="CY26" s="198"/>
      <c r="CZ26" s="198"/>
      <c r="DA26" s="198"/>
      <c r="DB26" s="198"/>
      <c r="DC26" s="198"/>
      <c r="DD26" s="198"/>
      <c r="DE26" s="198"/>
      <c r="DF26" s="198"/>
      <c r="DG26" s="198"/>
      <c r="DH26" s="198"/>
      <c r="DI26" s="198"/>
      <c r="DJ26" s="198"/>
      <c r="DK26" s="198"/>
      <c r="DL26" s="198"/>
      <c r="DM26" s="198"/>
      <c r="DN26" s="198"/>
      <c r="DO26" s="198"/>
      <c r="DP26" s="198"/>
      <c r="DQ26" s="198"/>
      <c r="DR26" s="198"/>
      <c r="DS26" s="198"/>
      <c r="DT26" s="198"/>
      <c r="DU26" s="198"/>
      <c r="DV26" s="198"/>
      <c r="DW26" s="198"/>
      <c r="DX26" s="198"/>
      <c r="DY26" s="198"/>
      <c r="DZ26" s="198"/>
      <c r="EA26" s="198"/>
      <c r="EB26" s="198"/>
      <c r="EC26" s="198"/>
      <c r="ED26" s="198"/>
      <c r="EE26" s="198"/>
      <c r="EF26" s="198"/>
      <c r="EG26" s="198"/>
      <c r="EH26" s="198"/>
      <c r="EI26" s="198"/>
      <c r="EJ26" s="198"/>
      <c r="EK26" s="198"/>
      <c r="EL26" s="198"/>
      <c r="EM26" s="198"/>
      <c r="EN26" s="198"/>
      <c r="EO26" s="198"/>
      <c r="EP26" s="198"/>
      <c r="EQ26" s="198"/>
      <c r="ER26" s="198"/>
      <c r="ES26" s="198"/>
      <c r="ET26" s="198"/>
      <c r="EU26" s="198"/>
      <c r="EV26" s="198"/>
      <c r="EW26" s="198"/>
      <c r="EX26" s="198"/>
      <c r="EY26" s="198"/>
      <c r="EZ26" s="198"/>
      <c r="FA26" s="198"/>
      <c r="FB26" s="198"/>
      <c r="FC26" s="198"/>
      <c r="FD26" s="198"/>
      <c r="FE26" s="198"/>
      <c r="FF26" s="198"/>
      <c r="FG26" s="198"/>
      <c r="FH26" s="198"/>
      <c r="FI26" s="198"/>
      <c r="FJ26" s="198"/>
      <c r="FK26" s="198"/>
      <c r="FL26" s="198"/>
      <c r="FM26" s="198"/>
      <c r="FN26" s="198"/>
      <c r="FO26" s="198"/>
      <c r="FP26" s="198"/>
      <c r="FQ26" s="198"/>
      <c r="FR26" s="198"/>
      <c r="FS26" s="198"/>
      <c r="FT26" s="198"/>
      <c r="FU26" s="198"/>
      <c r="FV26" s="198"/>
      <c r="FW26" s="198"/>
      <c r="FX26" s="198"/>
      <c r="FY26" s="198"/>
      <c r="FZ26" s="198"/>
      <c r="GA26" s="198"/>
      <c r="GB26" s="198"/>
      <c r="GC26" s="198"/>
      <c r="GD26" s="198"/>
      <c r="GE26" s="198"/>
      <c r="GF26" s="198"/>
      <c r="GG26" s="198"/>
      <c r="GH26" s="198"/>
      <c r="GI26" s="198"/>
      <c r="GJ26" s="198"/>
      <c r="GK26" s="198"/>
      <c r="GL26" s="198"/>
      <c r="GM26" s="198"/>
      <c r="GN26" s="198"/>
      <c r="GO26" s="198"/>
      <c r="GP26" s="198"/>
      <c r="GQ26" s="198"/>
      <c r="GR26" s="198"/>
      <c r="GS26" s="198"/>
      <c r="GT26" s="198"/>
      <c r="GU26" s="198"/>
      <c r="GV26" s="198"/>
      <c r="GW26" s="198"/>
      <c r="GX26" s="198"/>
      <c r="GY26" s="198"/>
      <c r="GZ26" s="198"/>
      <c r="HA26" s="198"/>
      <c r="HB26" s="198"/>
      <c r="HC26" s="198"/>
      <c r="HD26" s="198"/>
      <c r="HE26" s="198"/>
      <c r="HF26" s="198"/>
      <c r="HG26" s="198"/>
      <c r="HH26" s="198"/>
      <c r="HI26" s="198"/>
      <c r="HJ26" s="198"/>
      <c r="HK26" s="198"/>
      <c r="HL26" s="198"/>
      <c r="HM26" s="198"/>
      <c r="HN26" s="198"/>
      <c r="HO26" s="198"/>
      <c r="HP26" s="198"/>
      <c r="HQ26" s="198"/>
      <c r="HR26" s="198"/>
      <c r="HS26" s="198"/>
      <c r="HT26" s="198"/>
      <c r="HU26" s="198"/>
      <c r="HV26" s="198"/>
      <c r="HW26" s="198"/>
      <c r="HX26" s="198"/>
      <c r="HY26" s="198"/>
      <c r="HZ26" s="198"/>
      <c r="IA26" s="198"/>
      <c r="IB26" s="198"/>
      <c r="IC26" s="198"/>
      <c r="ID26" s="198"/>
      <c r="IE26" s="198"/>
      <c r="IF26" s="198"/>
      <c r="IG26" s="198"/>
      <c r="IH26" s="198"/>
      <c r="II26" s="198"/>
      <c r="IJ26" s="198"/>
      <c r="IK26" s="198"/>
      <c r="IL26" s="198"/>
      <c r="IM26" s="198"/>
      <c r="IN26" s="198"/>
      <c r="IO26" s="198"/>
      <c r="IP26" s="198"/>
      <c r="IQ26" s="198"/>
      <c r="IR26" s="198"/>
      <c r="IS26" s="198"/>
      <c r="IT26" s="198"/>
      <c r="IU26" s="198"/>
      <c r="IV26" s="198"/>
    </row>
    <row r="27" s="199" customFormat="true" ht="12.75" hidden="false" customHeight="true" outlineLevel="0" collapsed="false">
      <c r="A27" s="157" t="str">
        <f aca="false">IF(Eingabe!A76="","",Eingabe!A76)</f>
        <v/>
      </c>
      <c r="B27" s="157"/>
      <c r="C27" s="157"/>
      <c r="D27" s="158" t="str">
        <f aca="false">IF(Eingabe!B76="","",Eingabe!B76)</f>
        <v/>
      </c>
      <c r="E27" s="158"/>
      <c r="F27" s="158"/>
      <c r="G27" s="158"/>
      <c r="H27" s="159" t="str">
        <f aca="false">IF(Eingabe!C76="","",Eingabe!C76)</f>
        <v/>
      </c>
      <c r="I27" s="159"/>
      <c r="J27" s="159"/>
      <c r="K27" s="159"/>
      <c r="L27" s="160" t="str">
        <f aca="false">IF(Eingabe!D76="","",Eingabe!D76)</f>
        <v/>
      </c>
      <c r="M27" s="160"/>
      <c r="N27" s="160"/>
      <c r="O27" s="160"/>
      <c r="P27" s="160"/>
      <c r="Q27" s="160"/>
      <c r="R27" s="160"/>
      <c r="S27" s="160"/>
      <c r="T27" s="160"/>
      <c r="U27" s="160"/>
      <c r="V27" s="160"/>
      <c r="W27" s="160"/>
      <c r="X27" s="160"/>
      <c r="Y27" s="160"/>
      <c r="Z27" s="160"/>
      <c r="AA27" s="160"/>
      <c r="AB27" s="160"/>
      <c r="AC27" s="160"/>
      <c r="AD27" s="160"/>
      <c r="AE27" s="160"/>
      <c r="AF27" s="160"/>
      <c r="AG27" s="160"/>
      <c r="AH27" s="200" t="str">
        <f aca="false">IF(Eingabe!F76&amp;Eingabe!G76="","",Eingabe!F76&amp;"  /  "&amp;Eingabe!G76)</f>
        <v/>
      </c>
      <c r="AI27" s="200"/>
      <c r="AJ27" s="200"/>
      <c r="AK27" s="200"/>
      <c r="AL27" s="200"/>
      <c r="AM27" s="200"/>
      <c r="AN27" s="200"/>
      <c r="AO27" s="200"/>
      <c r="AP27" s="200"/>
      <c r="AQ27" s="200"/>
      <c r="AR27" s="200"/>
      <c r="AS27" s="200"/>
      <c r="AT27" s="200"/>
      <c r="AU27" s="200"/>
      <c r="AV27" s="200"/>
      <c r="AW27" s="200"/>
      <c r="AX27" s="200"/>
      <c r="AY27" s="200"/>
      <c r="AZ27" s="200"/>
      <c r="BA27" s="200"/>
      <c r="BB27" s="200"/>
      <c r="BC27" s="200"/>
      <c r="BD27" s="200"/>
      <c r="BE27" s="201" t="str">
        <f aca="false">IF(Eingabe!I76="","",Eingabe!I76)</f>
        <v/>
      </c>
      <c r="BF27" s="201"/>
      <c r="BG27" s="201"/>
      <c r="BH27" s="201"/>
      <c r="BI27" s="201"/>
      <c r="BJ27" s="202" t="str">
        <f aca="false">IF(Eingabe!I76="","",Eingabe!I76*Eingabe!B76)</f>
        <v/>
      </c>
      <c r="BK27" s="202"/>
      <c r="BL27" s="202"/>
      <c r="BM27" s="202"/>
      <c r="BN27" s="202"/>
      <c r="BO27" s="198"/>
      <c r="BP27" s="198"/>
      <c r="BQ27" s="198"/>
      <c r="BR27" s="198"/>
      <c r="BS27" s="198"/>
      <c r="BT27" s="198"/>
      <c r="BU27" s="198"/>
      <c r="BV27" s="198"/>
      <c r="BW27" s="198"/>
      <c r="BX27" s="198"/>
      <c r="BY27" s="198"/>
      <c r="BZ27" s="198"/>
      <c r="CA27" s="198"/>
      <c r="CB27" s="198"/>
      <c r="CC27" s="198"/>
      <c r="CD27" s="198"/>
      <c r="CE27" s="198"/>
      <c r="CF27" s="198"/>
      <c r="CG27" s="198"/>
      <c r="CH27" s="198"/>
      <c r="CI27" s="198"/>
      <c r="CJ27" s="198"/>
      <c r="CK27" s="198"/>
      <c r="CL27" s="198"/>
      <c r="CM27" s="198"/>
      <c r="CN27" s="198"/>
      <c r="CO27" s="198"/>
      <c r="CP27" s="198"/>
      <c r="CQ27" s="198"/>
      <c r="CR27" s="198"/>
      <c r="CS27" s="198"/>
      <c r="CT27" s="198"/>
      <c r="CU27" s="198"/>
      <c r="CV27" s="198"/>
      <c r="CW27" s="198"/>
      <c r="CX27" s="198"/>
      <c r="CY27" s="198"/>
      <c r="CZ27" s="198"/>
      <c r="DA27" s="198"/>
      <c r="DB27" s="198"/>
      <c r="DC27" s="198"/>
      <c r="DD27" s="198"/>
      <c r="DE27" s="198"/>
      <c r="DF27" s="198"/>
      <c r="DG27" s="198"/>
      <c r="DH27" s="198"/>
      <c r="DI27" s="198"/>
      <c r="DJ27" s="198"/>
      <c r="DK27" s="198"/>
      <c r="DL27" s="198"/>
      <c r="DM27" s="198"/>
      <c r="DN27" s="198"/>
      <c r="DO27" s="198"/>
      <c r="DP27" s="198"/>
      <c r="DQ27" s="198"/>
      <c r="DR27" s="198"/>
      <c r="DS27" s="198"/>
      <c r="DT27" s="198"/>
      <c r="DU27" s="198"/>
      <c r="DV27" s="198"/>
      <c r="DW27" s="198"/>
      <c r="DX27" s="198"/>
      <c r="DY27" s="198"/>
      <c r="DZ27" s="198"/>
      <c r="EA27" s="198"/>
      <c r="EB27" s="198"/>
      <c r="EC27" s="198"/>
      <c r="ED27" s="198"/>
      <c r="EE27" s="198"/>
      <c r="EF27" s="198"/>
      <c r="EG27" s="198"/>
      <c r="EH27" s="198"/>
      <c r="EI27" s="198"/>
      <c r="EJ27" s="198"/>
      <c r="EK27" s="198"/>
      <c r="EL27" s="198"/>
      <c r="EM27" s="198"/>
      <c r="EN27" s="198"/>
      <c r="EO27" s="198"/>
      <c r="EP27" s="198"/>
      <c r="EQ27" s="198"/>
      <c r="ER27" s="198"/>
      <c r="ES27" s="198"/>
      <c r="ET27" s="198"/>
      <c r="EU27" s="198"/>
      <c r="EV27" s="198"/>
      <c r="EW27" s="198"/>
      <c r="EX27" s="198"/>
      <c r="EY27" s="198"/>
      <c r="EZ27" s="198"/>
      <c r="FA27" s="198"/>
      <c r="FB27" s="198"/>
      <c r="FC27" s="198"/>
      <c r="FD27" s="198"/>
      <c r="FE27" s="198"/>
      <c r="FF27" s="198"/>
      <c r="FG27" s="198"/>
      <c r="FH27" s="198"/>
      <c r="FI27" s="198"/>
      <c r="FJ27" s="198"/>
      <c r="FK27" s="198"/>
      <c r="FL27" s="198"/>
      <c r="FM27" s="198"/>
      <c r="FN27" s="198"/>
      <c r="FO27" s="198"/>
      <c r="FP27" s="198"/>
      <c r="FQ27" s="198"/>
      <c r="FR27" s="198"/>
      <c r="FS27" s="198"/>
      <c r="FT27" s="198"/>
      <c r="FU27" s="198"/>
      <c r="FV27" s="198"/>
      <c r="FW27" s="198"/>
      <c r="FX27" s="198"/>
      <c r="FY27" s="198"/>
      <c r="FZ27" s="198"/>
      <c r="GA27" s="198"/>
      <c r="GB27" s="198"/>
      <c r="GC27" s="198"/>
      <c r="GD27" s="198"/>
      <c r="GE27" s="198"/>
      <c r="GF27" s="198"/>
      <c r="GG27" s="198"/>
      <c r="GH27" s="198"/>
      <c r="GI27" s="198"/>
      <c r="GJ27" s="198"/>
      <c r="GK27" s="198"/>
      <c r="GL27" s="198"/>
      <c r="GM27" s="198"/>
      <c r="GN27" s="198"/>
      <c r="GO27" s="198"/>
      <c r="GP27" s="198"/>
      <c r="GQ27" s="198"/>
      <c r="GR27" s="198"/>
      <c r="GS27" s="198"/>
      <c r="GT27" s="198"/>
      <c r="GU27" s="198"/>
      <c r="GV27" s="198"/>
      <c r="GW27" s="198"/>
      <c r="GX27" s="198"/>
      <c r="GY27" s="198"/>
      <c r="GZ27" s="198"/>
      <c r="HA27" s="198"/>
      <c r="HB27" s="198"/>
      <c r="HC27" s="198"/>
      <c r="HD27" s="198"/>
      <c r="HE27" s="198"/>
      <c r="HF27" s="198"/>
      <c r="HG27" s="198"/>
      <c r="HH27" s="198"/>
      <c r="HI27" s="198"/>
      <c r="HJ27" s="198"/>
      <c r="HK27" s="198"/>
      <c r="HL27" s="198"/>
      <c r="HM27" s="198"/>
      <c r="HN27" s="198"/>
      <c r="HO27" s="198"/>
      <c r="HP27" s="198"/>
      <c r="HQ27" s="198"/>
      <c r="HR27" s="198"/>
      <c r="HS27" s="198"/>
      <c r="HT27" s="198"/>
      <c r="HU27" s="198"/>
      <c r="HV27" s="198"/>
      <c r="HW27" s="198"/>
      <c r="HX27" s="198"/>
      <c r="HY27" s="198"/>
      <c r="HZ27" s="198"/>
      <c r="IA27" s="198"/>
      <c r="IB27" s="198"/>
      <c r="IC27" s="198"/>
      <c r="ID27" s="198"/>
      <c r="IE27" s="198"/>
      <c r="IF27" s="198"/>
      <c r="IG27" s="198"/>
      <c r="IH27" s="198"/>
      <c r="II27" s="198"/>
      <c r="IJ27" s="198"/>
      <c r="IK27" s="198"/>
      <c r="IL27" s="198"/>
      <c r="IM27" s="198"/>
      <c r="IN27" s="198"/>
      <c r="IO27" s="198"/>
      <c r="IP27" s="198"/>
      <c r="IQ27" s="198"/>
      <c r="IR27" s="198"/>
      <c r="IS27" s="198"/>
      <c r="IT27" s="198"/>
      <c r="IU27" s="198"/>
      <c r="IV27" s="198"/>
    </row>
    <row r="28" s="199" customFormat="true" ht="12.75" hidden="false" customHeight="true" outlineLevel="0" collapsed="false">
      <c r="A28" s="157" t="str">
        <f aca="false">IF(Eingabe!A77="","",Eingabe!A77)</f>
        <v/>
      </c>
      <c r="B28" s="157"/>
      <c r="C28" s="157"/>
      <c r="D28" s="158" t="str">
        <f aca="false">IF(Eingabe!B77="","",Eingabe!B77)</f>
        <v/>
      </c>
      <c r="E28" s="158"/>
      <c r="F28" s="158"/>
      <c r="G28" s="158"/>
      <c r="H28" s="159" t="str">
        <f aca="false">IF(Eingabe!C77="","",Eingabe!C77)</f>
        <v/>
      </c>
      <c r="I28" s="159"/>
      <c r="J28" s="159"/>
      <c r="K28" s="159"/>
      <c r="L28" s="160" t="str">
        <f aca="false">IF(Eingabe!D77="","",Eingabe!D77)</f>
        <v/>
      </c>
      <c r="M28" s="160"/>
      <c r="N28" s="160"/>
      <c r="O28" s="160"/>
      <c r="P28" s="160"/>
      <c r="Q28" s="160"/>
      <c r="R28" s="160"/>
      <c r="S28" s="160"/>
      <c r="T28" s="160"/>
      <c r="U28" s="160"/>
      <c r="V28" s="160"/>
      <c r="W28" s="160"/>
      <c r="X28" s="160"/>
      <c r="Y28" s="160"/>
      <c r="Z28" s="160"/>
      <c r="AA28" s="160"/>
      <c r="AB28" s="160"/>
      <c r="AC28" s="160"/>
      <c r="AD28" s="160"/>
      <c r="AE28" s="160"/>
      <c r="AF28" s="160"/>
      <c r="AG28" s="160"/>
      <c r="AH28" s="200" t="str">
        <f aca="false">IF(Eingabe!F77&amp;Eingabe!G77="","",Eingabe!F77&amp;"  /  "&amp;Eingabe!G77)</f>
        <v/>
      </c>
      <c r="AI28" s="200"/>
      <c r="AJ28" s="200"/>
      <c r="AK28" s="200"/>
      <c r="AL28" s="200"/>
      <c r="AM28" s="200"/>
      <c r="AN28" s="200"/>
      <c r="AO28" s="200"/>
      <c r="AP28" s="200"/>
      <c r="AQ28" s="200"/>
      <c r="AR28" s="200"/>
      <c r="AS28" s="200"/>
      <c r="AT28" s="200"/>
      <c r="AU28" s="200"/>
      <c r="AV28" s="200"/>
      <c r="AW28" s="200"/>
      <c r="AX28" s="200"/>
      <c r="AY28" s="200"/>
      <c r="AZ28" s="200"/>
      <c r="BA28" s="200"/>
      <c r="BB28" s="200"/>
      <c r="BC28" s="200"/>
      <c r="BD28" s="200"/>
      <c r="BE28" s="201" t="str">
        <f aca="false">IF(Eingabe!I77="","",Eingabe!I77)</f>
        <v/>
      </c>
      <c r="BF28" s="201"/>
      <c r="BG28" s="201"/>
      <c r="BH28" s="201"/>
      <c r="BI28" s="201"/>
      <c r="BJ28" s="202" t="str">
        <f aca="false">IF(Eingabe!I77="","",Eingabe!I77*Eingabe!B77)</f>
        <v/>
      </c>
      <c r="BK28" s="202"/>
      <c r="BL28" s="202"/>
      <c r="BM28" s="202"/>
      <c r="BN28" s="202"/>
      <c r="BO28" s="198"/>
      <c r="BP28" s="198"/>
      <c r="BQ28" s="198"/>
      <c r="BR28" s="198"/>
      <c r="BS28" s="198"/>
      <c r="BT28" s="198"/>
      <c r="BU28" s="198"/>
      <c r="BV28" s="198"/>
      <c r="BW28" s="198"/>
      <c r="BX28" s="198"/>
      <c r="BY28" s="198"/>
      <c r="BZ28" s="198"/>
      <c r="CA28" s="198"/>
      <c r="CB28" s="198"/>
      <c r="CC28" s="198"/>
      <c r="CD28" s="198"/>
      <c r="CE28" s="198"/>
      <c r="CF28" s="198"/>
      <c r="CG28" s="198"/>
      <c r="CH28" s="198"/>
      <c r="CI28" s="198"/>
      <c r="CJ28" s="198"/>
      <c r="CK28" s="198"/>
      <c r="CL28" s="198"/>
      <c r="CM28" s="198"/>
      <c r="CN28" s="198"/>
      <c r="CO28" s="198"/>
      <c r="CP28" s="198"/>
      <c r="CQ28" s="198"/>
      <c r="CR28" s="198"/>
      <c r="CS28" s="198"/>
      <c r="CT28" s="198"/>
      <c r="CU28" s="198"/>
      <c r="CV28" s="198"/>
      <c r="CW28" s="198"/>
      <c r="CX28" s="198"/>
      <c r="CY28" s="198"/>
      <c r="CZ28" s="198"/>
      <c r="DA28" s="198"/>
      <c r="DB28" s="198"/>
      <c r="DC28" s="198"/>
      <c r="DD28" s="198"/>
      <c r="DE28" s="198"/>
      <c r="DF28" s="198"/>
      <c r="DG28" s="198"/>
      <c r="DH28" s="198"/>
      <c r="DI28" s="198"/>
      <c r="DJ28" s="198"/>
      <c r="DK28" s="198"/>
      <c r="DL28" s="198"/>
      <c r="DM28" s="198"/>
      <c r="DN28" s="198"/>
      <c r="DO28" s="198"/>
      <c r="DP28" s="198"/>
      <c r="DQ28" s="198"/>
      <c r="DR28" s="198"/>
      <c r="DS28" s="198"/>
      <c r="DT28" s="198"/>
      <c r="DU28" s="198"/>
      <c r="DV28" s="198"/>
      <c r="DW28" s="198"/>
      <c r="DX28" s="198"/>
      <c r="DY28" s="198"/>
      <c r="DZ28" s="198"/>
      <c r="EA28" s="198"/>
      <c r="EB28" s="198"/>
      <c r="EC28" s="198"/>
      <c r="ED28" s="198"/>
      <c r="EE28" s="198"/>
      <c r="EF28" s="198"/>
      <c r="EG28" s="198"/>
      <c r="EH28" s="198"/>
      <c r="EI28" s="198"/>
      <c r="EJ28" s="198"/>
      <c r="EK28" s="198"/>
      <c r="EL28" s="198"/>
      <c r="EM28" s="198"/>
      <c r="EN28" s="198"/>
      <c r="EO28" s="198"/>
      <c r="EP28" s="198"/>
      <c r="EQ28" s="198"/>
      <c r="ER28" s="198"/>
      <c r="ES28" s="198"/>
      <c r="ET28" s="198"/>
      <c r="EU28" s="198"/>
      <c r="EV28" s="198"/>
      <c r="EW28" s="198"/>
      <c r="EX28" s="198"/>
      <c r="EY28" s="198"/>
      <c r="EZ28" s="198"/>
      <c r="FA28" s="198"/>
      <c r="FB28" s="198"/>
      <c r="FC28" s="198"/>
      <c r="FD28" s="198"/>
      <c r="FE28" s="198"/>
      <c r="FF28" s="198"/>
      <c r="FG28" s="198"/>
      <c r="FH28" s="198"/>
      <c r="FI28" s="198"/>
      <c r="FJ28" s="198"/>
      <c r="FK28" s="198"/>
      <c r="FL28" s="198"/>
      <c r="FM28" s="198"/>
      <c r="FN28" s="198"/>
      <c r="FO28" s="198"/>
      <c r="FP28" s="198"/>
      <c r="FQ28" s="198"/>
      <c r="FR28" s="198"/>
      <c r="FS28" s="198"/>
      <c r="FT28" s="198"/>
      <c r="FU28" s="198"/>
      <c r="FV28" s="198"/>
      <c r="FW28" s="198"/>
      <c r="FX28" s="198"/>
      <c r="FY28" s="198"/>
      <c r="FZ28" s="198"/>
      <c r="GA28" s="198"/>
      <c r="GB28" s="198"/>
      <c r="GC28" s="198"/>
      <c r="GD28" s="198"/>
      <c r="GE28" s="198"/>
      <c r="GF28" s="198"/>
      <c r="GG28" s="198"/>
      <c r="GH28" s="198"/>
      <c r="GI28" s="198"/>
      <c r="GJ28" s="198"/>
      <c r="GK28" s="198"/>
      <c r="GL28" s="198"/>
      <c r="GM28" s="198"/>
      <c r="GN28" s="198"/>
      <c r="GO28" s="198"/>
      <c r="GP28" s="198"/>
      <c r="GQ28" s="198"/>
      <c r="GR28" s="198"/>
      <c r="GS28" s="198"/>
      <c r="GT28" s="198"/>
      <c r="GU28" s="198"/>
      <c r="GV28" s="198"/>
      <c r="GW28" s="198"/>
      <c r="GX28" s="198"/>
      <c r="GY28" s="198"/>
      <c r="GZ28" s="198"/>
      <c r="HA28" s="198"/>
      <c r="HB28" s="198"/>
      <c r="HC28" s="198"/>
      <c r="HD28" s="198"/>
      <c r="HE28" s="198"/>
      <c r="HF28" s="198"/>
      <c r="HG28" s="198"/>
      <c r="HH28" s="198"/>
      <c r="HI28" s="198"/>
      <c r="HJ28" s="198"/>
      <c r="HK28" s="198"/>
      <c r="HL28" s="198"/>
      <c r="HM28" s="198"/>
      <c r="HN28" s="198"/>
      <c r="HO28" s="198"/>
      <c r="HP28" s="198"/>
      <c r="HQ28" s="198"/>
      <c r="HR28" s="198"/>
      <c r="HS28" s="198"/>
      <c r="HT28" s="198"/>
      <c r="HU28" s="198"/>
      <c r="HV28" s="198"/>
      <c r="HW28" s="198"/>
      <c r="HX28" s="198"/>
      <c r="HY28" s="198"/>
      <c r="HZ28" s="198"/>
      <c r="IA28" s="198"/>
      <c r="IB28" s="198"/>
      <c r="IC28" s="198"/>
      <c r="ID28" s="198"/>
      <c r="IE28" s="198"/>
      <c r="IF28" s="198"/>
      <c r="IG28" s="198"/>
      <c r="IH28" s="198"/>
      <c r="II28" s="198"/>
      <c r="IJ28" s="198"/>
      <c r="IK28" s="198"/>
      <c r="IL28" s="198"/>
      <c r="IM28" s="198"/>
      <c r="IN28" s="198"/>
      <c r="IO28" s="198"/>
      <c r="IP28" s="198"/>
      <c r="IQ28" s="198"/>
      <c r="IR28" s="198"/>
      <c r="IS28" s="198"/>
      <c r="IT28" s="198"/>
      <c r="IU28" s="198"/>
      <c r="IV28" s="198"/>
    </row>
    <row r="29" s="199" customFormat="true" ht="12.75" hidden="false" customHeight="true" outlineLevel="0" collapsed="false">
      <c r="A29" s="157" t="str">
        <f aca="false">IF(Eingabe!A78="","",Eingabe!A78)</f>
        <v/>
      </c>
      <c r="B29" s="157"/>
      <c r="C29" s="157"/>
      <c r="D29" s="158" t="str">
        <f aca="false">IF(Eingabe!B78="","",Eingabe!B78)</f>
        <v/>
      </c>
      <c r="E29" s="158"/>
      <c r="F29" s="158"/>
      <c r="G29" s="158"/>
      <c r="H29" s="159" t="str">
        <f aca="false">IF(Eingabe!C78="","",Eingabe!C78)</f>
        <v/>
      </c>
      <c r="I29" s="159"/>
      <c r="J29" s="159"/>
      <c r="K29" s="159"/>
      <c r="L29" s="160" t="str">
        <f aca="false">IF(Eingabe!D78="","",Eingabe!D78)</f>
        <v/>
      </c>
      <c r="M29" s="160"/>
      <c r="N29" s="160"/>
      <c r="O29" s="160"/>
      <c r="P29" s="160"/>
      <c r="Q29" s="160"/>
      <c r="R29" s="160"/>
      <c r="S29" s="160"/>
      <c r="T29" s="160"/>
      <c r="U29" s="160"/>
      <c r="V29" s="160"/>
      <c r="W29" s="160"/>
      <c r="X29" s="160"/>
      <c r="Y29" s="160"/>
      <c r="Z29" s="160"/>
      <c r="AA29" s="160"/>
      <c r="AB29" s="160"/>
      <c r="AC29" s="160"/>
      <c r="AD29" s="160"/>
      <c r="AE29" s="160"/>
      <c r="AF29" s="160"/>
      <c r="AG29" s="160"/>
      <c r="AH29" s="200" t="str">
        <f aca="false">IF(Eingabe!F78&amp;Eingabe!G78="","",Eingabe!F78&amp;"  /  "&amp;Eingabe!G78)</f>
        <v/>
      </c>
      <c r="AI29" s="200"/>
      <c r="AJ29" s="200"/>
      <c r="AK29" s="200"/>
      <c r="AL29" s="200"/>
      <c r="AM29" s="200"/>
      <c r="AN29" s="200"/>
      <c r="AO29" s="200"/>
      <c r="AP29" s="200"/>
      <c r="AQ29" s="200"/>
      <c r="AR29" s="200"/>
      <c r="AS29" s="200"/>
      <c r="AT29" s="200"/>
      <c r="AU29" s="200"/>
      <c r="AV29" s="200"/>
      <c r="AW29" s="200"/>
      <c r="AX29" s="200"/>
      <c r="AY29" s="200"/>
      <c r="AZ29" s="200"/>
      <c r="BA29" s="200"/>
      <c r="BB29" s="200"/>
      <c r="BC29" s="200"/>
      <c r="BD29" s="200"/>
      <c r="BE29" s="201" t="str">
        <f aca="false">IF(Eingabe!I78="","",Eingabe!I78)</f>
        <v/>
      </c>
      <c r="BF29" s="201"/>
      <c r="BG29" s="201"/>
      <c r="BH29" s="201"/>
      <c r="BI29" s="201"/>
      <c r="BJ29" s="202" t="str">
        <f aca="false">IF(Eingabe!I78="","",Eingabe!I78*Eingabe!B78)</f>
        <v/>
      </c>
      <c r="BK29" s="202"/>
      <c r="BL29" s="202"/>
      <c r="BM29" s="202"/>
      <c r="BN29" s="202"/>
      <c r="BO29" s="198"/>
      <c r="BP29" s="198"/>
      <c r="BQ29" s="198"/>
      <c r="BR29" s="198"/>
      <c r="BS29" s="198"/>
      <c r="BT29" s="198"/>
      <c r="BU29" s="198"/>
      <c r="BV29" s="198"/>
      <c r="BW29" s="198"/>
      <c r="BX29" s="198"/>
      <c r="BY29" s="198"/>
      <c r="BZ29" s="198"/>
      <c r="CA29" s="198"/>
      <c r="CB29" s="198"/>
      <c r="CC29" s="198"/>
      <c r="CD29" s="198"/>
      <c r="CE29" s="198"/>
      <c r="CF29" s="198"/>
      <c r="CG29" s="198"/>
      <c r="CH29" s="198"/>
      <c r="CI29" s="198"/>
      <c r="CJ29" s="198"/>
      <c r="CK29" s="198"/>
      <c r="CL29" s="198"/>
      <c r="CM29" s="198"/>
      <c r="CN29" s="198"/>
      <c r="CO29" s="198"/>
      <c r="CP29" s="198"/>
      <c r="CQ29" s="198"/>
      <c r="CR29" s="198"/>
      <c r="CS29" s="198"/>
      <c r="CT29" s="198"/>
      <c r="CU29" s="198"/>
      <c r="CV29" s="198"/>
      <c r="CW29" s="198"/>
      <c r="CX29" s="198"/>
      <c r="CY29" s="198"/>
      <c r="CZ29" s="198"/>
      <c r="DA29" s="198"/>
      <c r="DB29" s="198"/>
      <c r="DC29" s="198"/>
      <c r="DD29" s="198"/>
      <c r="DE29" s="198"/>
      <c r="DF29" s="198"/>
      <c r="DG29" s="198"/>
      <c r="DH29" s="198"/>
      <c r="DI29" s="198"/>
      <c r="DJ29" s="198"/>
      <c r="DK29" s="198"/>
      <c r="DL29" s="198"/>
      <c r="DM29" s="198"/>
      <c r="DN29" s="198"/>
      <c r="DO29" s="198"/>
      <c r="DP29" s="198"/>
      <c r="DQ29" s="198"/>
      <c r="DR29" s="198"/>
      <c r="DS29" s="198"/>
      <c r="DT29" s="198"/>
      <c r="DU29" s="198"/>
      <c r="DV29" s="198"/>
      <c r="DW29" s="198"/>
      <c r="DX29" s="198"/>
      <c r="DY29" s="198"/>
      <c r="DZ29" s="198"/>
      <c r="EA29" s="198"/>
      <c r="EB29" s="198"/>
      <c r="EC29" s="198"/>
      <c r="ED29" s="198"/>
      <c r="EE29" s="198"/>
      <c r="EF29" s="198"/>
      <c r="EG29" s="198"/>
      <c r="EH29" s="198"/>
      <c r="EI29" s="198"/>
      <c r="EJ29" s="198"/>
      <c r="EK29" s="198"/>
      <c r="EL29" s="198"/>
      <c r="EM29" s="198"/>
      <c r="EN29" s="198"/>
      <c r="EO29" s="198"/>
      <c r="EP29" s="198"/>
      <c r="EQ29" s="198"/>
      <c r="ER29" s="198"/>
      <c r="ES29" s="198"/>
      <c r="ET29" s="198"/>
      <c r="EU29" s="198"/>
      <c r="EV29" s="198"/>
      <c r="EW29" s="198"/>
      <c r="EX29" s="198"/>
      <c r="EY29" s="198"/>
      <c r="EZ29" s="198"/>
      <c r="FA29" s="198"/>
      <c r="FB29" s="198"/>
      <c r="FC29" s="198"/>
      <c r="FD29" s="198"/>
      <c r="FE29" s="198"/>
      <c r="FF29" s="198"/>
      <c r="FG29" s="198"/>
      <c r="FH29" s="198"/>
      <c r="FI29" s="198"/>
      <c r="FJ29" s="198"/>
      <c r="FK29" s="198"/>
      <c r="FL29" s="198"/>
      <c r="FM29" s="198"/>
      <c r="FN29" s="198"/>
      <c r="FO29" s="198"/>
      <c r="FP29" s="198"/>
      <c r="FQ29" s="198"/>
      <c r="FR29" s="198"/>
      <c r="FS29" s="198"/>
      <c r="FT29" s="198"/>
      <c r="FU29" s="198"/>
      <c r="FV29" s="198"/>
      <c r="FW29" s="198"/>
      <c r="FX29" s="198"/>
      <c r="FY29" s="198"/>
      <c r="FZ29" s="198"/>
      <c r="GA29" s="198"/>
      <c r="GB29" s="198"/>
      <c r="GC29" s="198"/>
      <c r="GD29" s="198"/>
      <c r="GE29" s="198"/>
      <c r="GF29" s="198"/>
      <c r="GG29" s="198"/>
      <c r="GH29" s="198"/>
      <c r="GI29" s="198"/>
      <c r="GJ29" s="198"/>
      <c r="GK29" s="198"/>
      <c r="GL29" s="198"/>
      <c r="GM29" s="198"/>
      <c r="GN29" s="198"/>
      <c r="GO29" s="198"/>
      <c r="GP29" s="198"/>
      <c r="GQ29" s="198"/>
      <c r="GR29" s="198"/>
      <c r="GS29" s="198"/>
      <c r="GT29" s="198"/>
      <c r="GU29" s="198"/>
      <c r="GV29" s="198"/>
      <c r="GW29" s="198"/>
      <c r="GX29" s="198"/>
      <c r="GY29" s="198"/>
      <c r="GZ29" s="198"/>
      <c r="HA29" s="198"/>
      <c r="HB29" s="198"/>
      <c r="HC29" s="198"/>
      <c r="HD29" s="198"/>
      <c r="HE29" s="198"/>
      <c r="HF29" s="198"/>
      <c r="HG29" s="198"/>
      <c r="HH29" s="198"/>
      <c r="HI29" s="198"/>
      <c r="HJ29" s="198"/>
      <c r="HK29" s="198"/>
      <c r="HL29" s="198"/>
      <c r="HM29" s="198"/>
      <c r="HN29" s="198"/>
      <c r="HO29" s="198"/>
      <c r="HP29" s="198"/>
      <c r="HQ29" s="198"/>
      <c r="HR29" s="198"/>
      <c r="HS29" s="198"/>
      <c r="HT29" s="198"/>
      <c r="HU29" s="198"/>
      <c r="HV29" s="198"/>
      <c r="HW29" s="198"/>
      <c r="HX29" s="198"/>
      <c r="HY29" s="198"/>
      <c r="HZ29" s="198"/>
      <c r="IA29" s="198"/>
      <c r="IB29" s="198"/>
      <c r="IC29" s="198"/>
      <c r="ID29" s="198"/>
      <c r="IE29" s="198"/>
      <c r="IF29" s="198"/>
      <c r="IG29" s="198"/>
      <c r="IH29" s="198"/>
      <c r="II29" s="198"/>
      <c r="IJ29" s="198"/>
      <c r="IK29" s="198"/>
      <c r="IL29" s="198"/>
      <c r="IM29" s="198"/>
      <c r="IN29" s="198"/>
      <c r="IO29" s="198"/>
      <c r="IP29" s="198"/>
      <c r="IQ29" s="198"/>
      <c r="IR29" s="198"/>
      <c r="IS29" s="198"/>
      <c r="IT29" s="198"/>
      <c r="IU29" s="198"/>
      <c r="IV29" s="198"/>
    </row>
    <row r="30" s="199" customFormat="true" ht="12.75" hidden="false" customHeight="true" outlineLevel="0" collapsed="false">
      <c r="A30" s="157" t="str">
        <f aca="false">IF(Eingabe!A79="","",Eingabe!A79)</f>
        <v/>
      </c>
      <c r="B30" s="157"/>
      <c r="C30" s="157"/>
      <c r="D30" s="158" t="str">
        <f aca="false">IF(Eingabe!B79="","",Eingabe!B79)</f>
        <v/>
      </c>
      <c r="E30" s="158"/>
      <c r="F30" s="158"/>
      <c r="G30" s="158"/>
      <c r="H30" s="159" t="str">
        <f aca="false">IF(Eingabe!C79="","",Eingabe!C79)</f>
        <v/>
      </c>
      <c r="I30" s="159"/>
      <c r="J30" s="159"/>
      <c r="K30" s="159"/>
      <c r="L30" s="160" t="str">
        <f aca="false">IF(Eingabe!D79="","",Eingabe!D79)</f>
        <v/>
      </c>
      <c r="M30" s="160"/>
      <c r="N30" s="160"/>
      <c r="O30" s="160"/>
      <c r="P30" s="160"/>
      <c r="Q30" s="160"/>
      <c r="R30" s="160"/>
      <c r="S30" s="160"/>
      <c r="T30" s="160"/>
      <c r="U30" s="160"/>
      <c r="V30" s="160"/>
      <c r="W30" s="160"/>
      <c r="X30" s="160"/>
      <c r="Y30" s="160"/>
      <c r="Z30" s="160"/>
      <c r="AA30" s="160"/>
      <c r="AB30" s="160"/>
      <c r="AC30" s="160"/>
      <c r="AD30" s="160"/>
      <c r="AE30" s="160"/>
      <c r="AF30" s="160"/>
      <c r="AG30" s="160"/>
      <c r="AH30" s="200" t="str">
        <f aca="false">IF(Eingabe!F79&amp;Eingabe!G79="","",Eingabe!F79&amp;"  /  "&amp;Eingabe!G79)</f>
        <v/>
      </c>
      <c r="AI30" s="200"/>
      <c r="AJ30" s="200"/>
      <c r="AK30" s="200"/>
      <c r="AL30" s="200"/>
      <c r="AM30" s="200"/>
      <c r="AN30" s="200"/>
      <c r="AO30" s="200"/>
      <c r="AP30" s="200"/>
      <c r="AQ30" s="200"/>
      <c r="AR30" s="200"/>
      <c r="AS30" s="200"/>
      <c r="AT30" s="200"/>
      <c r="AU30" s="200"/>
      <c r="AV30" s="200"/>
      <c r="AW30" s="200"/>
      <c r="AX30" s="200"/>
      <c r="AY30" s="200"/>
      <c r="AZ30" s="200"/>
      <c r="BA30" s="200"/>
      <c r="BB30" s="200"/>
      <c r="BC30" s="200"/>
      <c r="BD30" s="200"/>
      <c r="BE30" s="201" t="str">
        <f aca="false">IF(Eingabe!I79="","",Eingabe!I79)</f>
        <v/>
      </c>
      <c r="BF30" s="201"/>
      <c r="BG30" s="201"/>
      <c r="BH30" s="201"/>
      <c r="BI30" s="201"/>
      <c r="BJ30" s="202" t="str">
        <f aca="false">IF(Eingabe!I79="","",Eingabe!I79*Eingabe!B79)</f>
        <v/>
      </c>
      <c r="BK30" s="202"/>
      <c r="BL30" s="202"/>
      <c r="BM30" s="202"/>
      <c r="BN30" s="202"/>
      <c r="BO30" s="198"/>
      <c r="BP30" s="198"/>
      <c r="BQ30" s="198"/>
      <c r="BR30" s="198"/>
      <c r="BS30" s="198"/>
      <c r="BT30" s="198"/>
      <c r="BU30" s="198"/>
      <c r="BV30" s="198"/>
      <c r="BW30" s="198"/>
      <c r="BX30" s="198"/>
      <c r="BY30" s="198"/>
      <c r="BZ30" s="198"/>
      <c r="CA30" s="198"/>
      <c r="CB30" s="198"/>
      <c r="CC30" s="198"/>
      <c r="CD30" s="198"/>
      <c r="CE30" s="198"/>
      <c r="CF30" s="198"/>
      <c r="CG30" s="198"/>
      <c r="CH30" s="198"/>
      <c r="CI30" s="198"/>
      <c r="CJ30" s="198"/>
      <c r="CK30" s="198"/>
      <c r="CL30" s="198"/>
      <c r="CM30" s="198"/>
      <c r="CN30" s="198"/>
      <c r="CO30" s="198"/>
      <c r="CP30" s="198"/>
      <c r="CQ30" s="198"/>
      <c r="CR30" s="198"/>
      <c r="CS30" s="198"/>
      <c r="CT30" s="198"/>
      <c r="CU30" s="198"/>
      <c r="CV30" s="198"/>
      <c r="CW30" s="198"/>
      <c r="CX30" s="198"/>
      <c r="CY30" s="198"/>
      <c r="CZ30" s="198"/>
      <c r="DA30" s="198"/>
      <c r="DB30" s="198"/>
      <c r="DC30" s="198"/>
      <c r="DD30" s="198"/>
      <c r="DE30" s="198"/>
      <c r="DF30" s="198"/>
      <c r="DG30" s="198"/>
      <c r="DH30" s="198"/>
      <c r="DI30" s="198"/>
      <c r="DJ30" s="198"/>
      <c r="DK30" s="198"/>
      <c r="DL30" s="198"/>
      <c r="DM30" s="198"/>
      <c r="DN30" s="198"/>
      <c r="DO30" s="198"/>
      <c r="DP30" s="198"/>
      <c r="DQ30" s="198"/>
      <c r="DR30" s="198"/>
      <c r="DS30" s="198"/>
      <c r="DT30" s="198"/>
      <c r="DU30" s="198"/>
      <c r="DV30" s="198"/>
      <c r="DW30" s="198"/>
      <c r="DX30" s="198"/>
      <c r="DY30" s="198"/>
      <c r="DZ30" s="198"/>
      <c r="EA30" s="198"/>
      <c r="EB30" s="198"/>
      <c r="EC30" s="198"/>
      <c r="ED30" s="198"/>
      <c r="EE30" s="198"/>
      <c r="EF30" s="198"/>
      <c r="EG30" s="198"/>
      <c r="EH30" s="198"/>
      <c r="EI30" s="198"/>
      <c r="EJ30" s="198"/>
      <c r="EK30" s="198"/>
      <c r="EL30" s="198"/>
      <c r="EM30" s="198"/>
      <c r="EN30" s="198"/>
      <c r="EO30" s="198"/>
      <c r="EP30" s="198"/>
      <c r="EQ30" s="198"/>
      <c r="ER30" s="198"/>
      <c r="ES30" s="198"/>
      <c r="ET30" s="198"/>
      <c r="EU30" s="198"/>
      <c r="EV30" s="198"/>
      <c r="EW30" s="198"/>
      <c r="EX30" s="198"/>
      <c r="EY30" s="198"/>
      <c r="EZ30" s="198"/>
      <c r="FA30" s="198"/>
      <c r="FB30" s="198"/>
      <c r="FC30" s="198"/>
      <c r="FD30" s="198"/>
      <c r="FE30" s="198"/>
      <c r="FF30" s="198"/>
      <c r="FG30" s="198"/>
      <c r="FH30" s="198"/>
      <c r="FI30" s="198"/>
      <c r="FJ30" s="198"/>
      <c r="FK30" s="198"/>
      <c r="FL30" s="198"/>
      <c r="FM30" s="198"/>
      <c r="FN30" s="198"/>
      <c r="FO30" s="198"/>
      <c r="FP30" s="198"/>
      <c r="FQ30" s="198"/>
      <c r="FR30" s="198"/>
      <c r="FS30" s="198"/>
      <c r="FT30" s="198"/>
      <c r="FU30" s="198"/>
      <c r="FV30" s="198"/>
      <c r="FW30" s="198"/>
      <c r="FX30" s="198"/>
      <c r="FY30" s="198"/>
      <c r="FZ30" s="198"/>
      <c r="GA30" s="198"/>
      <c r="GB30" s="198"/>
      <c r="GC30" s="198"/>
      <c r="GD30" s="198"/>
      <c r="GE30" s="198"/>
      <c r="GF30" s="198"/>
      <c r="GG30" s="198"/>
      <c r="GH30" s="198"/>
      <c r="GI30" s="198"/>
      <c r="GJ30" s="198"/>
      <c r="GK30" s="198"/>
      <c r="GL30" s="198"/>
      <c r="GM30" s="198"/>
      <c r="GN30" s="198"/>
      <c r="GO30" s="198"/>
      <c r="GP30" s="198"/>
      <c r="GQ30" s="198"/>
      <c r="GR30" s="198"/>
      <c r="GS30" s="198"/>
      <c r="GT30" s="198"/>
      <c r="GU30" s="198"/>
      <c r="GV30" s="198"/>
      <c r="GW30" s="198"/>
      <c r="GX30" s="198"/>
      <c r="GY30" s="198"/>
      <c r="GZ30" s="198"/>
      <c r="HA30" s="198"/>
      <c r="HB30" s="198"/>
      <c r="HC30" s="198"/>
      <c r="HD30" s="198"/>
      <c r="HE30" s="198"/>
      <c r="HF30" s="198"/>
      <c r="HG30" s="198"/>
      <c r="HH30" s="198"/>
      <c r="HI30" s="198"/>
      <c r="HJ30" s="198"/>
      <c r="HK30" s="198"/>
      <c r="HL30" s="198"/>
      <c r="HM30" s="198"/>
      <c r="HN30" s="198"/>
      <c r="HO30" s="198"/>
      <c r="HP30" s="198"/>
      <c r="HQ30" s="198"/>
      <c r="HR30" s="198"/>
      <c r="HS30" s="198"/>
      <c r="HT30" s="198"/>
      <c r="HU30" s="198"/>
      <c r="HV30" s="198"/>
      <c r="HW30" s="198"/>
      <c r="HX30" s="198"/>
      <c r="HY30" s="198"/>
      <c r="HZ30" s="198"/>
      <c r="IA30" s="198"/>
      <c r="IB30" s="198"/>
      <c r="IC30" s="198"/>
      <c r="ID30" s="198"/>
      <c r="IE30" s="198"/>
      <c r="IF30" s="198"/>
      <c r="IG30" s="198"/>
      <c r="IH30" s="198"/>
      <c r="II30" s="198"/>
      <c r="IJ30" s="198"/>
      <c r="IK30" s="198"/>
      <c r="IL30" s="198"/>
      <c r="IM30" s="198"/>
      <c r="IN30" s="198"/>
      <c r="IO30" s="198"/>
      <c r="IP30" s="198"/>
      <c r="IQ30" s="198"/>
      <c r="IR30" s="198"/>
      <c r="IS30" s="198"/>
      <c r="IT30" s="198"/>
      <c r="IU30" s="198"/>
      <c r="IV30" s="198"/>
    </row>
    <row r="31" s="199" customFormat="true" ht="12.75" hidden="false" customHeight="true" outlineLevel="0" collapsed="false">
      <c r="A31" s="157" t="str">
        <f aca="false">IF(Eingabe!A80="","",Eingabe!A80)</f>
        <v/>
      </c>
      <c r="B31" s="157"/>
      <c r="C31" s="157"/>
      <c r="D31" s="158" t="str">
        <f aca="false">IF(Eingabe!B80="","",Eingabe!B80)</f>
        <v/>
      </c>
      <c r="E31" s="158"/>
      <c r="F31" s="158"/>
      <c r="G31" s="158"/>
      <c r="H31" s="159" t="str">
        <f aca="false">IF(Eingabe!C80="","",Eingabe!C80)</f>
        <v/>
      </c>
      <c r="I31" s="159"/>
      <c r="J31" s="159"/>
      <c r="K31" s="159"/>
      <c r="L31" s="160" t="str">
        <f aca="false">IF(Eingabe!D80="","",Eingabe!D80)</f>
        <v/>
      </c>
      <c r="M31" s="160"/>
      <c r="N31" s="160"/>
      <c r="O31" s="160"/>
      <c r="P31" s="160"/>
      <c r="Q31" s="160"/>
      <c r="R31" s="160"/>
      <c r="S31" s="160"/>
      <c r="T31" s="160"/>
      <c r="U31" s="160"/>
      <c r="V31" s="160"/>
      <c r="W31" s="160"/>
      <c r="X31" s="160"/>
      <c r="Y31" s="160"/>
      <c r="Z31" s="160"/>
      <c r="AA31" s="160"/>
      <c r="AB31" s="160"/>
      <c r="AC31" s="160"/>
      <c r="AD31" s="160"/>
      <c r="AE31" s="160"/>
      <c r="AF31" s="160"/>
      <c r="AG31" s="160"/>
      <c r="AH31" s="200" t="str">
        <f aca="false">IF(Eingabe!F80&amp;Eingabe!G80="","",Eingabe!F80&amp;"  /  "&amp;Eingabe!G80)</f>
        <v/>
      </c>
      <c r="AI31" s="200"/>
      <c r="AJ31" s="200"/>
      <c r="AK31" s="200"/>
      <c r="AL31" s="200"/>
      <c r="AM31" s="200"/>
      <c r="AN31" s="200"/>
      <c r="AO31" s="200"/>
      <c r="AP31" s="200"/>
      <c r="AQ31" s="200"/>
      <c r="AR31" s="200"/>
      <c r="AS31" s="200"/>
      <c r="AT31" s="200"/>
      <c r="AU31" s="200"/>
      <c r="AV31" s="200"/>
      <c r="AW31" s="200"/>
      <c r="AX31" s="200"/>
      <c r="AY31" s="200"/>
      <c r="AZ31" s="200"/>
      <c r="BA31" s="200"/>
      <c r="BB31" s="200"/>
      <c r="BC31" s="200"/>
      <c r="BD31" s="200"/>
      <c r="BE31" s="201" t="str">
        <f aca="false">IF(Eingabe!I80="","",Eingabe!I80)</f>
        <v/>
      </c>
      <c r="BF31" s="201"/>
      <c r="BG31" s="201"/>
      <c r="BH31" s="201"/>
      <c r="BI31" s="201"/>
      <c r="BJ31" s="202" t="str">
        <f aca="false">IF(Eingabe!I80="","",Eingabe!I80*Eingabe!B80)</f>
        <v/>
      </c>
      <c r="BK31" s="202"/>
      <c r="BL31" s="202"/>
      <c r="BM31" s="202"/>
      <c r="BN31" s="202"/>
      <c r="BO31" s="198"/>
      <c r="BP31" s="198"/>
      <c r="BQ31" s="198"/>
      <c r="BR31" s="198"/>
      <c r="BS31" s="198"/>
      <c r="BT31" s="198"/>
      <c r="BU31" s="198"/>
      <c r="BV31" s="198"/>
      <c r="BW31" s="198"/>
      <c r="BX31" s="198"/>
      <c r="BY31" s="198"/>
      <c r="BZ31" s="198"/>
      <c r="CA31" s="198"/>
      <c r="CB31" s="198"/>
      <c r="CC31" s="198"/>
      <c r="CD31" s="198"/>
      <c r="CE31" s="198"/>
      <c r="CF31" s="198"/>
      <c r="CG31" s="198"/>
      <c r="CH31" s="198"/>
      <c r="CI31" s="198"/>
      <c r="CJ31" s="198"/>
      <c r="CK31" s="198"/>
      <c r="CL31" s="198"/>
      <c r="CM31" s="198"/>
      <c r="CN31" s="198"/>
      <c r="CO31" s="198"/>
      <c r="CP31" s="198"/>
      <c r="CQ31" s="198"/>
      <c r="CR31" s="198"/>
      <c r="CS31" s="198"/>
      <c r="CT31" s="198"/>
      <c r="CU31" s="198"/>
      <c r="CV31" s="198"/>
      <c r="CW31" s="198"/>
      <c r="CX31" s="198"/>
      <c r="CY31" s="198"/>
      <c r="CZ31" s="198"/>
      <c r="DA31" s="198"/>
      <c r="DB31" s="198"/>
      <c r="DC31" s="198"/>
      <c r="DD31" s="198"/>
      <c r="DE31" s="198"/>
      <c r="DF31" s="198"/>
      <c r="DG31" s="198"/>
      <c r="DH31" s="198"/>
      <c r="DI31" s="198"/>
      <c r="DJ31" s="198"/>
      <c r="DK31" s="198"/>
      <c r="DL31" s="198"/>
      <c r="DM31" s="198"/>
      <c r="DN31" s="198"/>
      <c r="DO31" s="198"/>
      <c r="DP31" s="198"/>
      <c r="DQ31" s="198"/>
      <c r="DR31" s="198"/>
      <c r="DS31" s="198"/>
      <c r="DT31" s="198"/>
      <c r="DU31" s="198"/>
      <c r="DV31" s="198"/>
      <c r="DW31" s="198"/>
      <c r="DX31" s="198"/>
      <c r="DY31" s="198"/>
      <c r="DZ31" s="198"/>
      <c r="EA31" s="198"/>
      <c r="EB31" s="198"/>
      <c r="EC31" s="198"/>
      <c r="ED31" s="198"/>
      <c r="EE31" s="198"/>
      <c r="EF31" s="198"/>
      <c r="EG31" s="198"/>
      <c r="EH31" s="198"/>
      <c r="EI31" s="198"/>
      <c r="EJ31" s="198"/>
      <c r="EK31" s="198"/>
      <c r="EL31" s="198"/>
      <c r="EM31" s="198"/>
      <c r="EN31" s="198"/>
      <c r="EO31" s="198"/>
      <c r="EP31" s="198"/>
      <c r="EQ31" s="198"/>
      <c r="ER31" s="198"/>
      <c r="ES31" s="198"/>
      <c r="ET31" s="198"/>
      <c r="EU31" s="198"/>
      <c r="EV31" s="198"/>
      <c r="EW31" s="198"/>
      <c r="EX31" s="198"/>
      <c r="EY31" s="198"/>
      <c r="EZ31" s="198"/>
      <c r="FA31" s="198"/>
      <c r="FB31" s="198"/>
      <c r="FC31" s="198"/>
      <c r="FD31" s="198"/>
      <c r="FE31" s="198"/>
      <c r="FF31" s="198"/>
      <c r="FG31" s="198"/>
      <c r="FH31" s="198"/>
      <c r="FI31" s="198"/>
      <c r="FJ31" s="198"/>
      <c r="FK31" s="198"/>
      <c r="FL31" s="198"/>
      <c r="FM31" s="198"/>
      <c r="FN31" s="198"/>
      <c r="FO31" s="198"/>
      <c r="FP31" s="198"/>
      <c r="FQ31" s="198"/>
      <c r="FR31" s="198"/>
      <c r="FS31" s="198"/>
      <c r="FT31" s="198"/>
      <c r="FU31" s="198"/>
      <c r="FV31" s="198"/>
      <c r="FW31" s="198"/>
      <c r="FX31" s="198"/>
      <c r="FY31" s="198"/>
      <c r="FZ31" s="198"/>
      <c r="GA31" s="198"/>
      <c r="GB31" s="198"/>
      <c r="GC31" s="198"/>
      <c r="GD31" s="198"/>
      <c r="GE31" s="198"/>
      <c r="GF31" s="198"/>
      <c r="GG31" s="198"/>
      <c r="GH31" s="198"/>
      <c r="GI31" s="198"/>
      <c r="GJ31" s="198"/>
      <c r="GK31" s="198"/>
      <c r="GL31" s="198"/>
      <c r="GM31" s="198"/>
      <c r="GN31" s="198"/>
      <c r="GO31" s="198"/>
      <c r="GP31" s="198"/>
      <c r="GQ31" s="198"/>
      <c r="GR31" s="198"/>
      <c r="GS31" s="198"/>
      <c r="GT31" s="198"/>
      <c r="GU31" s="198"/>
      <c r="GV31" s="198"/>
      <c r="GW31" s="198"/>
      <c r="GX31" s="198"/>
      <c r="GY31" s="198"/>
      <c r="GZ31" s="198"/>
      <c r="HA31" s="198"/>
      <c r="HB31" s="198"/>
      <c r="HC31" s="198"/>
      <c r="HD31" s="198"/>
      <c r="HE31" s="198"/>
      <c r="HF31" s="198"/>
      <c r="HG31" s="198"/>
      <c r="HH31" s="198"/>
      <c r="HI31" s="198"/>
      <c r="HJ31" s="198"/>
      <c r="HK31" s="198"/>
      <c r="HL31" s="198"/>
      <c r="HM31" s="198"/>
      <c r="HN31" s="198"/>
      <c r="HO31" s="198"/>
      <c r="HP31" s="198"/>
      <c r="HQ31" s="198"/>
      <c r="HR31" s="198"/>
      <c r="HS31" s="198"/>
      <c r="HT31" s="198"/>
      <c r="HU31" s="198"/>
      <c r="HV31" s="198"/>
      <c r="HW31" s="198"/>
      <c r="HX31" s="198"/>
      <c r="HY31" s="198"/>
      <c r="HZ31" s="198"/>
      <c r="IA31" s="198"/>
      <c r="IB31" s="198"/>
      <c r="IC31" s="198"/>
      <c r="ID31" s="198"/>
      <c r="IE31" s="198"/>
      <c r="IF31" s="198"/>
      <c r="IG31" s="198"/>
      <c r="IH31" s="198"/>
      <c r="II31" s="198"/>
      <c r="IJ31" s="198"/>
      <c r="IK31" s="198"/>
      <c r="IL31" s="198"/>
      <c r="IM31" s="198"/>
      <c r="IN31" s="198"/>
      <c r="IO31" s="198"/>
      <c r="IP31" s="198"/>
      <c r="IQ31" s="198"/>
      <c r="IR31" s="198"/>
      <c r="IS31" s="198"/>
      <c r="IT31" s="198"/>
      <c r="IU31" s="198"/>
      <c r="IV31" s="198"/>
    </row>
    <row r="32" s="199" customFormat="true" ht="12.75" hidden="false" customHeight="true" outlineLevel="0" collapsed="false">
      <c r="A32" s="157" t="str">
        <f aca="false">IF(Eingabe!A81="","",Eingabe!A81)</f>
        <v/>
      </c>
      <c r="B32" s="157"/>
      <c r="C32" s="157"/>
      <c r="D32" s="158" t="str">
        <f aca="false">IF(Eingabe!B81="","",Eingabe!B81)</f>
        <v/>
      </c>
      <c r="E32" s="158"/>
      <c r="F32" s="158"/>
      <c r="G32" s="158"/>
      <c r="H32" s="159" t="str">
        <f aca="false">IF(Eingabe!C81="","",Eingabe!C81)</f>
        <v/>
      </c>
      <c r="I32" s="159"/>
      <c r="J32" s="159"/>
      <c r="K32" s="159"/>
      <c r="L32" s="160" t="str">
        <f aca="false">IF(Eingabe!D81="","",Eingabe!D81)</f>
        <v/>
      </c>
      <c r="M32" s="160"/>
      <c r="N32" s="160"/>
      <c r="O32" s="160"/>
      <c r="P32" s="160"/>
      <c r="Q32" s="160"/>
      <c r="R32" s="160"/>
      <c r="S32" s="160"/>
      <c r="T32" s="160"/>
      <c r="U32" s="160"/>
      <c r="V32" s="160"/>
      <c r="W32" s="160"/>
      <c r="X32" s="160"/>
      <c r="Y32" s="160"/>
      <c r="Z32" s="160"/>
      <c r="AA32" s="160"/>
      <c r="AB32" s="160"/>
      <c r="AC32" s="160"/>
      <c r="AD32" s="160"/>
      <c r="AE32" s="160"/>
      <c r="AF32" s="160"/>
      <c r="AG32" s="160"/>
      <c r="AH32" s="200" t="str">
        <f aca="false">IF(Eingabe!F81&amp;Eingabe!G81="","",Eingabe!F81&amp;"  /  "&amp;Eingabe!G81)</f>
        <v/>
      </c>
      <c r="AI32" s="200"/>
      <c r="AJ32" s="200"/>
      <c r="AK32" s="200"/>
      <c r="AL32" s="200"/>
      <c r="AM32" s="200"/>
      <c r="AN32" s="200"/>
      <c r="AO32" s="200"/>
      <c r="AP32" s="200"/>
      <c r="AQ32" s="200"/>
      <c r="AR32" s="200"/>
      <c r="AS32" s="200"/>
      <c r="AT32" s="200"/>
      <c r="AU32" s="200"/>
      <c r="AV32" s="200"/>
      <c r="AW32" s="200"/>
      <c r="AX32" s="200"/>
      <c r="AY32" s="200"/>
      <c r="AZ32" s="200"/>
      <c r="BA32" s="200"/>
      <c r="BB32" s="200"/>
      <c r="BC32" s="200"/>
      <c r="BD32" s="200"/>
      <c r="BE32" s="201" t="str">
        <f aca="false">IF(Eingabe!I81="","",Eingabe!I81)</f>
        <v/>
      </c>
      <c r="BF32" s="201"/>
      <c r="BG32" s="201"/>
      <c r="BH32" s="201"/>
      <c r="BI32" s="201"/>
      <c r="BJ32" s="202" t="str">
        <f aca="false">IF(Eingabe!I81="","",Eingabe!I81*Eingabe!B81)</f>
        <v/>
      </c>
      <c r="BK32" s="202"/>
      <c r="BL32" s="202"/>
      <c r="BM32" s="202"/>
      <c r="BN32" s="202"/>
      <c r="BO32" s="198"/>
      <c r="BP32" s="198"/>
      <c r="BQ32" s="198"/>
      <c r="BR32" s="198"/>
      <c r="BS32" s="198"/>
      <c r="BT32" s="198"/>
      <c r="BU32" s="198"/>
      <c r="BV32" s="198"/>
      <c r="BW32" s="198"/>
      <c r="BX32" s="198"/>
      <c r="BY32" s="198"/>
      <c r="BZ32" s="198"/>
      <c r="CA32" s="198"/>
      <c r="CB32" s="198"/>
      <c r="CC32" s="198"/>
      <c r="CD32" s="198"/>
      <c r="CE32" s="198"/>
      <c r="CF32" s="198"/>
      <c r="CG32" s="198"/>
      <c r="CH32" s="198"/>
      <c r="CI32" s="198"/>
      <c r="CJ32" s="198"/>
      <c r="CK32" s="198"/>
      <c r="CL32" s="198"/>
      <c r="CM32" s="198"/>
      <c r="CN32" s="198"/>
      <c r="CO32" s="198"/>
      <c r="CP32" s="198"/>
      <c r="CQ32" s="198"/>
      <c r="CR32" s="198"/>
      <c r="CS32" s="198"/>
      <c r="CT32" s="198"/>
      <c r="CU32" s="198"/>
      <c r="CV32" s="198"/>
      <c r="CW32" s="198"/>
      <c r="CX32" s="198"/>
      <c r="CY32" s="198"/>
      <c r="CZ32" s="198"/>
      <c r="DA32" s="198"/>
      <c r="DB32" s="198"/>
      <c r="DC32" s="198"/>
      <c r="DD32" s="198"/>
      <c r="DE32" s="198"/>
      <c r="DF32" s="198"/>
      <c r="DG32" s="198"/>
      <c r="DH32" s="198"/>
      <c r="DI32" s="198"/>
      <c r="DJ32" s="198"/>
      <c r="DK32" s="198"/>
      <c r="DL32" s="198"/>
      <c r="DM32" s="198"/>
      <c r="DN32" s="198"/>
      <c r="DO32" s="198"/>
      <c r="DP32" s="198"/>
      <c r="DQ32" s="198"/>
      <c r="DR32" s="198"/>
      <c r="DS32" s="198"/>
      <c r="DT32" s="198"/>
      <c r="DU32" s="198"/>
      <c r="DV32" s="198"/>
      <c r="DW32" s="198"/>
      <c r="DX32" s="198"/>
      <c r="DY32" s="198"/>
      <c r="DZ32" s="198"/>
      <c r="EA32" s="198"/>
      <c r="EB32" s="198"/>
      <c r="EC32" s="198"/>
      <c r="ED32" s="198"/>
      <c r="EE32" s="198"/>
      <c r="EF32" s="198"/>
      <c r="EG32" s="198"/>
      <c r="EH32" s="198"/>
      <c r="EI32" s="198"/>
      <c r="EJ32" s="198"/>
      <c r="EK32" s="198"/>
      <c r="EL32" s="198"/>
      <c r="EM32" s="198"/>
      <c r="EN32" s="198"/>
      <c r="EO32" s="198"/>
      <c r="EP32" s="198"/>
      <c r="EQ32" s="198"/>
      <c r="ER32" s="198"/>
      <c r="ES32" s="198"/>
      <c r="ET32" s="198"/>
      <c r="EU32" s="198"/>
      <c r="EV32" s="198"/>
      <c r="EW32" s="198"/>
      <c r="EX32" s="198"/>
      <c r="EY32" s="198"/>
      <c r="EZ32" s="198"/>
      <c r="FA32" s="198"/>
      <c r="FB32" s="198"/>
      <c r="FC32" s="198"/>
      <c r="FD32" s="198"/>
      <c r="FE32" s="198"/>
      <c r="FF32" s="198"/>
      <c r="FG32" s="198"/>
      <c r="FH32" s="198"/>
      <c r="FI32" s="198"/>
      <c r="FJ32" s="198"/>
      <c r="FK32" s="198"/>
      <c r="FL32" s="198"/>
      <c r="FM32" s="198"/>
      <c r="FN32" s="198"/>
      <c r="FO32" s="198"/>
      <c r="FP32" s="198"/>
      <c r="FQ32" s="198"/>
      <c r="FR32" s="198"/>
      <c r="FS32" s="198"/>
      <c r="FT32" s="198"/>
      <c r="FU32" s="198"/>
      <c r="FV32" s="198"/>
      <c r="FW32" s="198"/>
      <c r="FX32" s="198"/>
      <c r="FY32" s="198"/>
      <c r="FZ32" s="198"/>
      <c r="GA32" s="198"/>
      <c r="GB32" s="198"/>
      <c r="GC32" s="198"/>
      <c r="GD32" s="198"/>
      <c r="GE32" s="198"/>
      <c r="GF32" s="198"/>
      <c r="GG32" s="198"/>
      <c r="GH32" s="198"/>
      <c r="GI32" s="198"/>
      <c r="GJ32" s="198"/>
      <c r="GK32" s="198"/>
      <c r="GL32" s="198"/>
      <c r="GM32" s="198"/>
      <c r="GN32" s="198"/>
      <c r="GO32" s="198"/>
      <c r="GP32" s="198"/>
      <c r="GQ32" s="198"/>
      <c r="GR32" s="198"/>
      <c r="GS32" s="198"/>
      <c r="GT32" s="198"/>
      <c r="GU32" s="198"/>
      <c r="GV32" s="198"/>
      <c r="GW32" s="198"/>
      <c r="GX32" s="198"/>
      <c r="GY32" s="198"/>
      <c r="GZ32" s="198"/>
      <c r="HA32" s="198"/>
      <c r="HB32" s="198"/>
      <c r="HC32" s="198"/>
      <c r="HD32" s="198"/>
      <c r="HE32" s="198"/>
      <c r="HF32" s="198"/>
      <c r="HG32" s="198"/>
      <c r="HH32" s="198"/>
      <c r="HI32" s="198"/>
      <c r="HJ32" s="198"/>
      <c r="HK32" s="198"/>
      <c r="HL32" s="198"/>
      <c r="HM32" s="198"/>
      <c r="HN32" s="198"/>
      <c r="HO32" s="198"/>
      <c r="HP32" s="198"/>
      <c r="HQ32" s="198"/>
      <c r="HR32" s="198"/>
      <c r="HS32" s="198"/>
      <c r="HT32" s="198"/>
      <c r="HU32" s="198"/>
      <c r="HV32" s="198"/>
      <c r="HW32" s="198"/>
      <c r="HX32" s="198"/>
      <c r="HY32" s="198"/>
      <c r="HZ32" s="198"/>
      <c r="IA32" s="198"/>
      <c r="IB32" s="198"/>
      <c r="IC32" s="198"/>
      <c r="ID32" s="198"/>
      <c r="IE32" s="198"/>
      <c r="IF32" s="198"/>
      <c r="IG32" s="198"/>
      <c r="IH32" s="198"/>
      <c r="II32" s="198"/>
      <c r="IJ32" s="198"/>
      <c r="IK32" s="198"/>
      <c r="IL32" s="198"/>
      <c r="IM32" s="198"/>
      <c r="IN32" s="198"/>
      <c r="IO32" s="198"/>
      <c r="IP32" s="198"/>
      <c r="IQ32" s="198"/>
      <c r="IR32" s="198"/>
      <c r="IS32" s="198"/>
      <c r="IT32" s="198"/>
      <c r="IU32" s="198"/>
      <c r="IV32" s="198"/>
    </row>
    <row r="33" s="199" customFormat="true" ht="12.75" hidden="false" customHeight="true" outlineLevel="0" collapsed="false">
      <c r="A33" s="157" t="str">
        <f aca="false">IF(Eingabe!A82="","",Eingabe!A82)</f>
        <v/>
      </c>
      <c r="B33" s="157"/>
      <c r="C33" s="157"/>
      <c r="D33" s="158" t="str">
        <f aca="false">IF(Eingabe!B82="","",Eingabe!B82)</f>
        <v/>
      </c>
      <c r="E33" s="158"/>
      <c r="F33" s="158"/>
      <c r="G33" s="158"/>
      <c r="H33" s="159" t="str">
        <f aca="false">IF(Eingabe!C82="","",Eingabe!C82)</f>
        <v/>
      </c>
      <c r="I33" s="159"/>
      <c r="J33" s="159"/>
      <c r="K33" s="159"/>
      <c r="L33" s="160" t="str">
        <f aca="false">IF(Eingabe!D82="","",Eingabe!D82)</f>
        <v/>
      </c>
      <c r="M33" s="160"/>
      <c r="N33" s="160"/>
      <c r="O33" s="160"/>
      <c r="P33" s="160"/>
      <c r="Q33" s="160"/>
      <c r="R33" s="160"/>
      <c r="S33" s="160"/>
      <c r="T33" s="160"/>
      <c r="U33" s="160"/>
      <c r="V33" s="160"/>
      <c r="W33" s="160"/>
      <c r="X33" s="160"/>
      <c r="Y33" s="160"/>
      <c r="Z33" s="160"/>
      <c r="AA33" s="160"/>
      <c r="AB33" s="160"/>
      <c r="AC33" s="160"/>
      <c r="AD33" s="160"/>
      <c r="AE33" s="160"/>
      <c r="AF33" s="160"/>
      <c r="AG33" s="160"/>
      <c r="AH33" s="200" t="str">
        <f aca="false">IF(Eingabe!F82&amp;Eingabe!G82="","",Eingabe!F82&amp;"  /  "&amp;Eingabe!G82)</f>
        <v/>
      </c>
      <c r="AI33" s="200"/>
      <c r="AJ33" s="200"/>
      <c r="AK33" s="200"/>
      <c r="AL33" s="200"/>
      <c r="AM33" s="200"/>
      <c r="AN33" s="200"/>
      <c r="AO33" s="200"/>
      <c r="AP33" s="200"/>
      <c r="AQ33" s="200"/>
      <c r="AR33" s="200"/>
      <c r="AS33" s="200"/>
      <c r="AT33" s="200"/>
      <c r="AU33" s="200"/>
      <c r="AV33" s="200"/>
      <c r="AW33" s="200"/>
      <c r="AX33" s="200"/>
      <c r="AY33" s="200"/>
      <c r="AZ33" s="200"/>
      <c r="BA33" s="200"/>
      <c r="BB33" s="200"/>
      <c r="BC33" s="200"/>
      <c r="BD33" s="200"/>
      <c r="BE33" s="201" t="str">
        <f aca="false">IF(Eingabe!I82="","",Eingabe!I82)</f>
        <v/>
      </c>
      <c r="BF33" s="201"/>
      <c r="BG33" s="201"/>
      <c r="BH33" s="201"/>
      <c r="BI33" s="201"/>
      <c r="BJ33" s="202" t="str">
        <f aca="false">IF(Eingabe!I82="","",Eingabe!I82*Eingabe!B82)</f>
        <v/>
      </c>
      <c r="BK33" s="202"/>
      <c r="BL33" s="202"/>
      <c r="BM33" s="202"/>
      <c r="BN33" s="202"/>
      <c r="BO33" s="198"/>
      <c r="BP33" s="198"/>
      <c r="BQ33" s="198"/>
      <c r="BR33" s="198"/>
      <c r="BS33" s="198"/>
      <c r="BT33" s="198"/>
      <c r="BU33" s="198"/>
      <c r="BV33" s="198"/>
      <c r="BW33" s="198"/>
      <c r="BX33" s="198"/>
      <c r="BY33" s="198"/>
      <c r="BZ33" s="198"/>
      <c r="CA33" s="198"/>
      <c r="CB33" s="198"/>
      <c r="CC33" s="198"/>
      <c r="CD33" s="198"/>
      <c r="CE33" s="198"/>
      <c r="CF33" s="198"/>
      <c r="CG33" s="198"/>
      <c r="CH33" s="198"/>
      <c r="CI33" s="198"/>
      <c r="CJ33" s="198"/>
      <c r="CK33" s="198"/>
      <c r="CL33" s="198"/>
      <c r="CM33" s="198"/>
      <c r="CN33" s="198"/>
      <c r="CO33" s="198"/>
      <c r="CP33" s="198"/>
      <c r="CQ33" s="198"/>
      <c r="CR33" s="198"/>
      <c r="CS33" s="198"/>
      <c r="CT33" s="198"/>
      <c r="CU33" s="198"/>
      <c r="CV33" s="198"/>
      <c r="CW33" s="198"/>
      <c r="CX33" s="198"/>
      <c r="CY33" s="198"/>
      <c r="CZ33" s="198"/>
      <c r="DA33" s="198"/>
      <c r="DB33" s="198"/>
      <c r="DC33" s="198"/>
      <c r="DD33" s="198"/>
      <c r="DE33" s="198"/>
      <c r="DF33" s="198"/>
      <c r="DG33" s="198"/>
      <c r="DH33" s="198"/>
      <c r="DI33" s="198"/>
      <c r="DJ33" s="198"/>
      <c r="DK33" s="198"/>
      <c r="DL33" s="198"/>
      <c r="DM33" s="198"/>
      <c r="DN33" s="198"/>
      <c r="DO33" s="198"/>
      <c r="DP33" s="198"/>
      <c r="DQ33" s="198"/>
      <c r="DR33" s="198"/>
      <c r="DS33" s="198"/>
      <c r="DT33" s="198"/>
      <c r="DU33" s="198"/>
      <c r="DV33" s="198"/>
      <c r="DW33" s="198"/>
      <c r="DX33" s="198"/>
      <c r="DY33" s="198"/>
      <c r="DZ33" s="198"/>
      <c r="EA33" s="198"/>
      <c r="EB33" s="198"/>
      <c r="EC33" s="198"/>
      <c r="ED33" s="198"/>
      <c r="EE33" s="198"/>
      <c r="EF33" s="198"/>
      <c r="EG33" s="198"/>
      <c r="EH33" s="198"/>
      <c r="EI33" s="198"/>
      <c r="EJ33" s="198"/>
      <c r="EK33" s="198"/>
      <c r="EL33" s="198"/>
      <c r="EM33" s="198"/>
      <c r="EN33" s="198"/>
      <c r="EO33" s="198"/>
      <c r="EP33" s="198"/>
      <c r="EQ33" s="198"/>
      <c r="ER33" s="198"/>
      <c r="ES33" s="198"/>
      <c r="ET33" s="198"/>
      <c r="EU33" s="198"/>
      <c r="EV33" s="198"/>
      <c r="EW33" s="198"/>
      <c r="EX33" s="198"/>
      <c r="EY33" s="198"/>
      <c r="EZ33" s="198"/>
      <c r="FA33" s="198"/>
      <c r="FB33" s="198"/>
      <c r="FC33" s="198"/>
      <c r="FD33" s="198"/>
      <c r="FE33" s="198"/>
      <c r="FF33" s="198"/>
      <c r="FG33" s="198"/>
      <c r="FH33" s="198"/>
      <c r="FI33" s="198"/>
      <c r="FJ33" s="198"/>
      <c r="FK33" s="198"/>
      <c r="FL33" s="198"/>
      <c r="FM33" s="198"/>
      <c r="FN33" s="198"/>
      <c r="FO33" s="198"/>
      <c r="FP33" s="198"/>
      <c r="FQ33" s="198"/>
      <c r="FR33" s="198"/>
      <c r="FS33" s="198"/>
      <c r="FT33" s="198"/>
      <c r="FU33" s="198"/>
      <c r="FV33" s="198"/>
      <c r="FW33" s="198"/>
      <c r="FX33" s="198"/>
      <c r="FY33" s="198"/>
      <c r="FZ33" s="198"/>
      <c r="GA33" s="198"/>
      <c r="GB33" s="198"/>
      <c r="GC33" s="198"/>
      <c r="GD33" s="198"/>
      <c r="GE33" s="198"/>
      <c r="GF33" s="198"/>
      <c r="GG33" s="198"/>
      <c r="GH33" s="198"/>
      <c r="GI33" s="198"/>
      <c r="GJ33" s="198"/>
      <c r="GK33" s="198"/>
      <c r="GL33" s="198"/>
      <c r="GM33" s="198"/>
      <c r="GN33" s="198"/>
      <c r="GO33" s="198"/>
      <c r="GP33" s="198"/>
      <c r="GQ33" s="198"/>
      <c r="GR33" s="198"/>
      <c r="GS33" s="198"/>
      <c r="GT33" s="198"/>
      <c r="GU33" s="198"/>
      <c r="GV33" s="198"/>
      <c r="GW33" s="198"/>
      <c r="GX33" s="198"/>
      <c r="GY33" s="198"/>
      <c r="GZ33" s="198"/>
      <c r="HA33" s="198"/>
      <c r="HB33" s="198"/>
      <c r="HC33" s="198"/>
      <c r="HD33" s="198"/>
      <c r="HE33" s="198"/>
      <c r="HF33" s="198"/>
      <c r="HG33" s="198"/>
      <c r="HH33" s="198"/>
      <c r="HI33" s="198"/>
      <c r="HJ33" s="198"/>
      <c r="HK33" s="198"/>
      <c r="HL33" s="198"/>
      <c r="HM33" s="198"/>
      <c r="HN33" s="198"/>
      <c r="HO33" s="198"/>
      <c r="HP33" s="198"/>
      <c r="HQ33" s="198"/>
      <c r="HR33" s="198"/>
      <c r="HS33" s="198"/>
      <c r="HT33" s="198"/>
      <c r="HU33" s="198"/>
      <c r="HV33" s="198"/>
      <c r="HW33" s="198"/>
      <c r="HX33" s="198"/>
      <c r="HY33" s="198"/>
      <c r="HZ33" s="198"/>
      <c r="IA33" s="198"/>
      <c r="IB33" s="198"/>
      <c r="IC33" s="198"/>
      <c r="ID33" s="198"/>
      <c r="IE33" s="198"/>
      <c r="IF33" s="198"/>
      <c r="IG33" s="198"/>
      <c r="IH33" s="198"/>
      <c r="II33" s="198"/>
      <c r="IJ33" s="198"/>
      <c r="IK33" s="198"/>
      <c r="IL33" s="198"/>
      <c r="IM33" s="198"/>
      <c r="IN33" s="198"/>
      <c r="IO33" s="198"/>
      <c r="IP33" s="198"/>
      <c r="IQ33" s="198"/>
      <c r="IR33" s="198"/>
      <c r="IS33" s="198"/>
      <c r="IT33" s="198"/>
      <c r="IU33" s="198"/>
      <c r="IV33" s="198"/>
    </row>
    <row r="34" s="199" customFormat="true" ht="12.75" hidden="false" customHeight="true" outlineLevel="0" collapsed="false">
      <c r="A34" s="157" t="str">
        <f aca="false">IF(Eingabe!A83="","",Eingabe!A83)</f>
        <v/>
      </c>
      <c r="B34" s="157"/>
      <c r="C34" s="157"/>
      <c r="D34" s="158" t="str">
        <f aca="false">IF(Eingabe!B83="","",Eingabe!B83)</f>
        <v/>
      </c>
      <c r="E34" s="158"/>
      <c r="F34" s="158"/>
      <c r="G34" s="158"/>
      <c r="H34" s="159" t="str">
        <f aca="false">IF(Eingabe!C83="","",Eingabe!C83)</f>
        <v/>
      </c>
      <c r="I34" s="159"/>
      <c r="J34" s="159"/>
      <c r="K34" s="159"/>
      <c r="L34" s="160" t="str">
        <f aca="false">IF(Eingabe!D83="","",Eingabe!D83)</f>
        <v/>
      </c>
      <c r="M34" s="160"/>
      <c r="N34" s="160"/>
      <c r="O34" s="160"/>
      <c r="P34" s="160"/>
      <c r="Q34" s="160"/>
      <c r="R34" s="160"/>
      <c r="S34" s="160"/>
      <c r="T34" s="160"/>
      <c r="U34" s="160"/>
      <c r="V34" s="160"/>
      <c r="W34" s="160"/>
      <c r="X34" s="160"/>
      <c r="Y34" s="160"/>
      <c r="Z34" s="160"/>
      <c r="AA34" s="160"/>
      <c r="AB34" s="160"/>
      <c r="AC34" s="160"/>
      <c r="AD34" s="160"/>
      <c r="AE34" s="160"/>
      <c r="AF34" s="160"/>
      <c r="AG34" s="160"/>
      <c r="AH34" s="200" t="str">
        <f aca="false">IF(Eingabe!F83&amp;Eingabe!G83="","",Eingabe!F83&amp;"  /  "&amp;Eingabe!G83)</f>
        <v/>
      </c>
      <c r="AI34" s="200"/>
      <c r="AJ34" s="200"/>
      <c r="AK34" s="200"/>
      <c r="AL34" s="200"/>
      <c r="AM34" s="200"/>
      <c r="AN34" s="200"/>
      <c r="AO34" s="200"/>
      <c r="AP34" s="200"/>
      <c r="AQ34" s="200"/>
      <c r="AR34" s="200"/>
      <c r="AS34" s="200"/>
      <c r="AT34" s="200"/>
      <c r="AU34" s="200"/>
      <c r="AV34" s="200"/>
      <c r="AW34" s="200"/>
      <c r="AX34" s="200"/>
      <c r="AY34" s="200"/>
      <c r="AZ34" s="200"/>
      <c r="BA34" s="200"/>
      <c r="BB34" s="200"/>
      <c r="BC34" s="200"/>
      <c r="BD34" s="200"/>
      <c r="BE34" s="201" t="str">
        <f aca="false">IF(Eingabe!I83="","",Eingabe!I83)</f>
        <v/>
      </c>
      <c r="BF34" s="201"/>
      <c r="BG34" s="201"/>
      <c r="BH34" s="201"/>
      <c r="BI34" s="201"/>
      <c r="BJ34" s="202" t="str">
        <f aca="false">IF(Eingabe!I83="","",Eingabe!I83*Eingabe!B83)</f>
        <v/>
      </c>
      <c r="BK34" s="202"/>
      <c r="BL34" s="202"/>
      <c r="BM34" s="202"/>
      <c r="BN34" s="202"/>
      <c r="BO34" s="198"/>
      <c r="BP34" s="198"/>
      <c r="BQ34" s="198"/>
      <c r="BR34" s="198"/>
      <c r="BS34" s="198"/>
      <c r="BT34" s="198"/>
      <c r="BU34" s="198"/>
      <c r="BV34" s="198"/>
      <c r="BW34" s="198"/>
      <c r="BX34" s="198"/>
      <c r="BY34" s="198"/>
      <c r="BZ34" s="198"/>
      <c r="CA34" s="198"/>
      <c r="CB34" s="198"/>
      <c r="CC34" s="198"/>
      <c r="CD34" s="198"/>
      <c r="CE34" s="198"/>
      <c r="CF34" s="198"/>
      <c r="CG34" s="198"/>
      <c r="CH34" s="198"/>
      <c r="CI34" s="198"/>
      <c r="CJ34" s="198"/>
      <c r="CK34" s="198"/>
      <c r="CL34" s="198"/>
      <c r="CM34" s="198"/>
      <c r="CN34" s="198"/>
      <c r="CO34" s="198"/>
      <c r="CP34" s="198"/>
      <c r="CQ34" s="198"/>
      <c r="CR34" s="198"/>
      <c r="CS34" s="198"/>
      <c r="CT34" s="198"/>
      <c r="CU34" s="198"/>
      <c r="CV34" s="198"/>
      <c r="CW34" s="198"/>
      <c r="CX34" s="198"/>
      <c r="CY34" s="198"/>
      <c r="CZ34" s="198"/>
      <c r="DA34" s="198"/>
      <c r="DB34" s="198"/>
      <c r="DC34" s="198"/>
      <c r="DD34" s="198"/>
      <c r="DE34" s="198"/>
      <c r="DF34" s="198"/>
      <c r="DG34" s="198"/>
      <c r="DH34" s="198"/>
      <c r="DI34" s="198"/>
      <c r="DJ34" s="198"/>
      <c r="DK34" s="198"/>
      <c r="DL34" s="198"/>
      <c r="DM34" s="198"/>
      <c r="DN34" s="198"/>
      <c r="DO34" s="198"/>
      <c r="DP34" s="198"/>
      <c r="DQ34" s="198"/>
      <c r="DR34" s="198"/>
      <c r="DS34" s="198"/>
      <c r="DT34" s="198"/>
      <c r="DU34" s="198"/>
      <c r="DV34" s="198"/>
      <c r="DW34" s="198"/>
      <c r="DX34" s="198"/>
      <c r="DY34" s="198"/>
      <c r="DZ34" s="198"/>
      <c r="EA34" s="198"/>
      <c r="EB34" s="198"/>
      <c r="EC34" s="198"/>
      <c r="ED34" s="198"/>
      <c r="EE34" s="198"/>
      <c r="EF34" s="198"/>
      <c r="EG34" s="198"/>
      <c r="EH34" s="198"/>
      <c r="EI34" s="198"/>
      <c r="EJ34" s="198"/>
      <c r="EK34" s="198"/>
      <c r="EL34" s="198"/>
      <c r="EM34" s="198"/>
      <c r="EN34" s="198"/>
      <c r="EO34" s="198"/>
      <c r="EP34" s="198"/>
      <c r="EQ34" s="198"/>
      <c r="ER34" s="198"/>
      <c r="ES34" s="198"/>
      <c r="ET34" s="198"/>
      <c r="EU34" s="198"/>
      <c r="EV34" s="198"/>
      <c r="EW34" s="198"/>
      <c r="EX34" s="198"/>
      <c r="EY34" s="198"/>
      <c r="EZ34" s="198"/>
      <c r="FA34" s="198"/>
      <c r="FB34" s="198"/>
      <c r="FC34" s="198"/>
      <c r="FD34" s="198"/>
      <c r="FE34" s="198"/>
      <c r="FF34" s="198"/>
      <c r="FG34" s="198"/>
      <c r="FH34" s="198"/>
      <c r="FI34" s="198"/>
      <c r="FJ34" s="198"/>
      <c r="FK34" s="198"/>
      <c r="FL34" s="198"/>
      <c r="FM34" s="198"/>
      <c r="FN34" s="198"/>
      <c r="FO34" s="198"/>
      <c r="FP34" s="198"/>
      <c r="FQ34" s="198"/>
      <c r="FR34" s="198"/>
      <c r="FS34" s="198"/>
      <c r="FT34" s="198"/>
      <c r="FU34" s="198"/>
      <c r="FV34" s="198"/>
      <c r="FW34" s="198"/>
      <c r="FX34" s="198"/>
      <c r="FY34" s="198"/>
      <c r="FZ34" s="198"/>
      <c r="GA34" s="198"/>
      <c r="GB34" s="198"/>
      <c r="GC34" s="198"/>
      <c r="GD34" s="198"/>
      <c r="GE34" s="198"/>
      <c r="GF34" s="198"/>
      <c r="GG34" s="198"/>
      <c r="GH34" s="198"/>
      <c r="GI34" s="198"/>
      <c r="GJ34" s="198"/>
      <c r="GK34" s="198"/>
      <c r="GL34" s="198"/>
      <c r="GM34" s="198"/>
      <c r="GN34" s="198"/>
      <c r="GO34" s="198"/>
      <c r="GP34" s="198"/>
      <c r="GQ34" s="198"/>
      <c r="GR34" s="198"/>
      <c r="GS34" s="198"/>
      <c r="GT34" s="198"/>
      <c r="GU34" s="198"/>
      <c r="GV34" s="198"/>
      <c r="GW34" s="198"/>
      <c r="GX34" s="198"/>
      <c r="GY34" s="198"/>
      <c r="GZ34" s="198"/>
      <c r="HA34" s="198"/>
      <c r="HB34" s="198"/>
      <c r="HC34" s="198"/>
      <c r="HD34" s="198"/>
      <c r="HE34" s="198"/>
      <c r="HF34" s="198"/>
      <c r="HG34" s="198"/>
      <c r="HH34" s="198"/>
      <c r="HI34" s="198"/>
      <c r="HJ34" s="198"/>
      <c r="HK34" s="198"/>
      <c r="HL34" s="198"/>
      <c r="HM34" s="198"/>
      <c r="HN34" s="198"/>
      <c r="HO34" s="198"/>
      <c r="HP34" s="198"/>
      <c r="HQ34" s="198"/>
      <c r="HR34" s="198"/>
      <c r="HS34" s="198"/>
      <c r="HT34" s="198"/>
      <c r="HU34" s="198"/>
      <c r="HV34" s="198"/>
      <c r="HW34" s="198"/>
      <c r="HX34" s="198"/>
      <c r="HY34" s="198"/>
      <c r="HZ34" s="198"/>
      <c r="IA34" s="198"/>
      <c r="IB34" s="198"/>
      <c r="IC34" s="198"/>
      <c r="ID34" s="198"/>
      <c r="IE34" s="198"/>
      <c r="IF34" s="198"/>
      <c r="IG34" s="198"/>
      <c r="IH34" s="198"/>
      <c r="II34" s="198"/>
      <c r="IJ34" s="198"/>
      <c r="IK34" s="198"/>
      <c r="IL34" s="198"/>
      <c r="IM34" s="198"/>
      <c r="IN34" s="198"/>
      <c r="IO34" s="198"/>
      <c r="IP34" s="198"/>
      <c r="IQ34" s="198"/>
      <c r="IR34" s="198"/>
      <c r="IS34" s="198"/>
      <c r="IT34" s="198"/>
      <c r="IU34" s="198"/>
      <c r="IV34" s="198"/>
    </row>
    <row r="35" s="199" customFormat="true" ht="12.75" hidden="false" customHeight="true" outlineLevel="0" collapsed="false">
      <c r="A35" s="157" t="str">
        <f aca="false">IF(Eingabe!A84="","",Eingabe!A84)</f>
        <v/>
      </c>
      <c r="B35" s="157"/>
      <c r="C35" s="157"/>
      <c r="D35" s="158" t="str">
        <f aca="false">IF(Eingabe!B84="","",Eingabe!B84)</f>
        <v/>
      </c>
      <c r="E35" s="158"/>
      <c r="F35" s="158"/>
      <c r="G35" s="158"/>
      <c r="H35" s="159" t="str">
        <f aca="false">IF(Eingabe!C84="","",Eingabe!C84)</f>
        <v/>
      </c>
      <c r="I35" s="159"/>
      <c r="J35" s="159"/>
      <c r="K35" s="159"/>
      <c r="L35" s="160" t="str">
        <f aca="false">IF(Eingabe!D84="","",Eingabe!D84)</f>
        <v/>
      </c>
      <c r="M35" s="160"/>
      <c r="N35" s="160"/>
      <c r="O35" s="160"/>
      <c r="P35" s="160"/>
      <c r="Q35" s="160"/>
      <c r="R35" s="160"/>
      <c r="S35" s="160"/>
      <c r="T35" s="160"/>
      <c r="U35" s="160"/>
      <c r="V35" s="160"/>
      <c r="W35" s="160"/>
      <c r="X35" s="160"/>
      <c r="Y35" s="160"/>
      <c r="Z35" s="160"/>
      <c r="AA35" s="160"/>
      <c r="AB35" s="160"/>
      <c r="AC35" s="160"/>
      <c r="AD35" s="160"/>
      <c r="AE35" s="160"/>
      <c r="AF35" s="160"/>
      <c r="AG35" s="160"/>
      <c r="AH35" s="200" t="str">
        <f aca="false">IF(Eingabe!F84&amp;Eingabe!G84="","",Eingabe!F84&amp;"  /  "&amp;Eingabe!G84)</f>
        <v/>
      </c>
      <c r="AI35" s="200"/>
      <c r="AJ35" s="200"/>
      <c r="AK35" s="200"/>
      <c r="AL35" s="200"/>
      <c r="AM35" s="200"/>
      <c r="AN35" s="200"/>
      <c r="AO35" s="200"/>
      <c r="AP35" s="200"/>
      <c r="AQ35" s="200"/>
      <c r="AR35" s="200"/>
      <c r="AS35" s="200"/>
      <c r="AT35" s="200"/>
      <c r="AU35" s="200"/>
      <c r="AV35" s="200"/>
      <c r="AW35" s="200"/>
      <c r="AX35" s="200"/>
      <c r="AY35" s="200"/>
      <c r="AZ35" s="200"/>
      <c r="BA35" s="200"/>
      <c r="BB35" s="200"/>
      <c r="BC35" s="200"/>
      <c r="BD35" s="200"/>
      <c r="BE35" s="201" t="str">
        <f aca="false">IF(Eingabe!I84="","",Eingabe!I84)</f>
        <v/>
      </c>
      <c r="BF35" s="201"/>
      <c r="BG35" s="201"/>
      <c r="BH35" s="201"/>
      <c r="BI35" s="201"/>
      <c r="BJ35" s="202" t="str">
        <f aca="false">IF(Eingabe!I84="","",Eingabe!I84*Eingabe!B84)</f>
        <v/>
      </c>
      <c r="BK35" s="202"/>
      <c r="BL35" s="202"/>
      <c r="BM35" s="202"/>
      <c r="BN35" s="202"/>
      <c r="BO35" s="198"/>
      <c r="BP35" s="198"/>
      <c r="BQ35" s="198"/>
      <c r="BR35" s="198"/>
      <c r="BS35" s="198"/>
      <c r="BT35" s="198"/>
      <c r="BU35" s="198"/>
      <c r="BV35" s="198"/>
      <c r="BW35" s="198"/>
      <c r="BX35" s="198"/>
      <c r="BY35" s="198"/>
      <c r="BZ35" s="198"/>
      <c r="CA35" s="198"/>
      <c r="CB35" s="198"/>
      <c r="CC35" s="198"/>
      <c r="CD35" s="198"/>
      <c r="CE35" s="198"/>
      <c r="CF35" s="198"/>
      <c r="CG35" s="198"/>
      <c r="CH35" s="198"/>
      <c r="CI35" s="198"/>
      <c r="CJ35" s="198"/>
      <c r="CK35" s="198"/>
      <c r="CL35" s="198"/>
      <c r="CM35" s="198"/>
      <c r="CN35" s="198"/>
      <c r="CO35" s="198"/>
      <c r="CP35" s="198"/>
      <c r="CQ35" s="198"/>
      <c r="CR35" s="198"/>
      <c r="CS35" s="198"/>
      <c r="CT35" s="198"/>
      <c r="CU35" s="198"/>
      <c r="CV35" s="198"/>
      <c r="CW35" s="198"/>
      <c r="CX35" s="198"/>
      <c r="CY35" s="198"/>
      <c r="CZ35" s="198"/>
      <c r="DA35" s="198"/>
      <c r="DB35" s="198"/>
      <c r="DC35" s="198"/>
      <c r="DD35" s="198"/>
      <c r="DE35" s="198"/>
      <c r="DF35" s="198"/>
      <c r="DG35" s="198"/>
      <c r="DH35" s="198"/>
      <c r="DI35" s="198"/>
      <c r="DJ35" s="198"/>
      <c r="DK35" s="198"/>
      <c r="DL35" s="198"/>
      <c r="DM35" s="198"/>
      <c r="DN35" s="198"/>
      <c r="DO35" s="198"/>
      <c r="DP35" s="198"/>
      <c r="DQ35" s="198"/>
      <c r="DR35" s="198"/>
      <c r="DS35" s="198"/>
      <c r="DT35" s="198"/>
      <c r="DU35" s="198"/>
      <c r="DV35" s="198"/>
      <c r="DW35" s="198"/>
      <c r="DX35" s="198"/>
      <c r="DY35" s="198"/>
      <c r="DZ35" s="198"/>
      <c r="EA35" s="198"/>
      <c r="EB35" s="198"/>
      <c r="EC35" s="198"/>
      <c r="ED35" s="198"/>
      <c r="EE35" s="198"/>
      <c r="EF35" s="198"/>
      <c r="EG35" s="198"/>
      <c r="EH35" s="198"/>
      <c r="EI35" s="198"/>
      <c r="EJ35" s="198"/>
      <c r="EK35" s="198"/>
      <c r="EL35" s="198"/>
      <c r="EM35" s="198"/>
      <c r="EN35" s="198"/>
      <c r="EO35" s="198"/>
      <c r="EP35" s="198"/>
      <c r="EQ35" s="198"/>
      <c r="ER35" s="198"/>
      <c r="ES35" s="198"/>
      <c r="ET35" s="198"/>
      <c r="EU35" s="198"/>
      <c r="EV35" s="198"/>
      <c r="EW35" s="198"/>
      <c r="EX35" s="198"/>
      <c r="EY35" s="198"/>
      <c r="EZ35" s="198"/>
      <c r="FA35" s="198"/>
      <c r="FB35" s="198"/>
      <c r="FC35" s="198"/>
      <c r="FD35" s="198"/>
      <c r="FE35" s="198"/>
      <c r="FF35" s="198"/>
      <c r="FG35" s="198"/>
      <c r="FH35" s="198"/>
      <c r="FI35" s="198"/>
      <c r="FJ35" s="198"/>
      <c r="FK35" s="198"/>
      <c r="FL35" s="198"/>
      <c r="FM35" s="198"/>
      <c r="FN35" s="198"/>
      <c r="FO35" s="198"/>
      <c r="FP35" s="198"/>
      <c r="FQ35" s="198"/>
      <c r="FR35" s="198"/>
      <c r="FS35" s="198"/>
      <c r="FT35" s="198"/>
      <c r="FU35" s="198"/>
      <c r="FV35" s="198"/>
      <c r="FW35" s="198"/>
      <c r="FX35" s="198"/>
      <c r="FY35" s="198"/>
      <c r="FZ35" s="198"/>
      <c r="GA35" s="198"/>
      <c r="GB35" s="198"/>
      <c r="GC35" s="198"/>
      <c r="GD35" s="198"/>
      <c r="GE35" s="198"/>
      <c r="GF35" s="198"/>
      <c r="GG35" s="198"/>
      <c r="GH35" s="198"/>
      <c r="GI35" s="198"/>
      <c r="GJ35" s="198"/>
      <c r="GK35" s="198"/>
      <c r="GL35" s="198"/>
      <c r="GM35" s="198"/>
      <c r="GN35" s="198"/>
      <c r="GO35" s="198"/>
      <c r="GP35" s="198"/>
      <c r="GQ35" s="198"/>
      <c r="GR35" s="198"/>
      <c r="GS35" s="198"/>
      <c r="GT35" s="198"/>
      <c r="GU35" s="198"/>
      <c r="GV35" s="198"/>
      <c r="GW35" s="198"/>
      <c r="GX35" s="198"/>
      <c r="GY35" s="198"/>
      <c r="GZ35" s="198"/>
      <c r="HA35" s="198"/>
      <c r="HB35" s="198"/>
      <c r="HC35" s="198"/>
      <c r="HD35" s="198"/>
      <c r="HE35" s="198"/>
      <c r="HF35" s="198"/>
      <c r="HG35" s="198"/>
      <c r="HH35" s="198"/>
      <c r="HI35" s="198"/>
      <c r="HJ35" s="198"/>
      <c r="HK35" s="198"/>
      <c r="HL35" s="198"/>
      <c r="HM35" s="198"/>
      <c r="HN35" s="198"/>
      <c r="HO35" s="198"/>
      <c r="HP35" s="198"/>
      <c r="HQ35" s="198"/>
      <c r="HR35" s="198"/>
      <c r="HS35" s="198"/>
      <c r="HT35" s="198"/>
      <c r="HU35" s="198"/>
      <c r="HV35" s="198"/>
      <c r="HW35" s="198"/>
      <c r="HX35" s="198"/>
      <c r="HY35" s="198"/>
      <c r="HZ35" s="198"/>
      <c r="IA35" s="198"/>
      <c r="IB35" s="198"/>
      <c r="IC35" s="198"/>
      <c r="ID35" s="198"/>
      <c r="IE35" s="198"/>
      <c r="IF35" s="198"/>
      <c r="IG35" s="198"/>
      <c r="IH35" s="198"/>
      <c r="II35" s="198"/>
      <c r="IJ35" s="198"/>
      <c r="IK35" s="198"/>
      <c r="IL35" s="198"/>
      <c r="IM35" s="198"/>
      <c r="IN35" s="198"/>
      <c r="IO35" s="198"/>
      <c r="IP35" s="198"/>
      <c r="IQ35" s="198"/>
      <c r="IR35" s="198"/>
      <c r="IS35" s="198"/>
      <c r="IT35" s="198"/>
      <c r="IU35" s="198"/>
      <c r="IV35" s="198"/>
    </row>
    <row r="36" s="199" customFormat="true" ht="12.75" hidden="false" customHeight="true" outlineLevel="0" collapsed="false">
      <c r="A36" s="157" t="str">
        <f aca="false">IF(Eingabe!A85="","",Eingabe!A85)</f>
        <v/>
      </c>
      <c r="B36" s="157"/>
      <c r="C36" s="157"/>
      <c r="D36" s="158" t="str">
        <f aca="false">IF(Eingabe!B85="","",Eingabe!B85)</f>
        <v/>
      </c>
      <c r="E36" s="158"/>
      <c r="F36" s="158"/>
      <c r="G36" s="158"/>
      <c r="H36" s="159" t="str">
        <f aca="false">IF(Eingabe!C85="","",Eingabe!C85)</f>
        <v/>
      </c>
      <c r="I36" s="159"/>
      <c r="J36" s="159"/>
      <c r="K36" s="159"/>
      <c r="L36" s="160" t="str">
        <f aca="false">IF(Eingabe!D85="","",Eingabe!D85)</f>
        <v/>
      </c>
      <c r="M36" s="160"/>
      <c r="N36" s="160"/>
      <c r="O36" s="160"/>
      <c r="P36" s="160"/>
      <c r="Q36" s="160"/>
      <c r="R36" s="160"/>
      <c r="S36" s="160"/>
      <c r="T36" s="160"/>
      <c r="U36" s="160"/>
      <c r="V36" s="160"/>
      <c r="W36" s="160"/>
      <c r="X36" s="160"/>
      <c r="Y36" s="160"/>
      <c r="Z36" s="160"/>
      <c r="AA36" s="160"/>
      <c r="AB36" s="160"/>
      <c r="AC36" s="160"/>
      <c r="AD36" s="160"/>
      <c r="AE36" s="160"/>
      <c r="AF36" s="160"/>
      <c r="AG36" s="160"/>
      <c r="AH36" s="200" t="str">
        <f aca="false">IF(Eingabe!F85&amp;Eingabe!G85="","",Eingabe!F85&amp;"  /  "&amp;Eingabe!G85)</f>
        <v/>
      </c>
      <c r="AI36" s="200"/>
      <c r="AJ36" s="200"/>
      <c r="AK36" s="200"/>
      <c r="AL36" s="200"/>
      <c r="AM36" s="200"/>
      <c r="AN36" s="200"/>
      <c r="AO36" s="200"/>
      <c r="AP36" s="200"/>
      <c r="AQ36" s="200"/>
      <c r="AR36" s="200"/>
      <c r="AS36" s="200"/>
      <c r="AT36" s="200"/>
      <c r="AU36" s="200"/>
      <c r="AV36" s="200"/>
      <c r="AW36" s="200"/>
      <c r="AX36" s="200"/>
      <c r="AY36" s="200"/>
      <c r="AZ36" s="200"/>
      <c r="BA36" s="200"/>
      <c r="BB36" s="200"/>
      <c r="BC36" s="200"/>
      <c r="BD36" s="200"/>
      <c r="BE36" s="201" t="str">
        <f aca="false">IF(Eingabe!I85="","",Eingabe!I85)</f>
        <v/>
      </c>
      <c r="BF36" s="201"/>
      <c r="BG36" s="201"/>
      <c r="BH36" s="201"/>
      <c r="BI36" s="201"/>
      <c r="BJ36" s="202" t="str">
        <f aca="false">IF(Eingabe!I85="","",Eingabe!I85*Eingabe!B85)</f>
        <v/>
      </c>
      <c r="BK36" s="202"/>
      <c r="BL36" s="202"/>
      <c r="BM36" s="202"/>
      <c r="BN36" s="202"/>
      <c r="BO36" s="198"/>
      <c r="BP36" s="198"/>
      <c r="BQ36" s="198"/>
      <c r="BR36" s="198"/>
      <c r="BS36" s="198"/>
      <c r="BT36" s="198"/>
      <c r="BU36" s="198"/>
      <c r="BV36" s="198"/>
      <c r="BW36" s="198"/>
      <c r="BX36" s="198"/>
      <c r="BY36" s="198"/>
      <c r="BZ36" s="198"/>
      <c r="CA36" s="198"/>
      <c r="CB36" s="198"/>
      <c r="CC36" s="198"/>
      <c r="CD36" s="198"/>
      <c r="CE36" s="198"/>
      <c r="CF36" s="198"/>
      <c r="CG36" s="198"/>
      <c r="CH36" s="198"/>
      <c r="CI36" s="198"/>
      <c r="CJ36" s="198"/>
      <c r="CK36" s="198"/>
      <c r="CL36" s="198"/>
      <c r="CM36" s="198"/>
      <c r="CN36" s="198"/>
      <c r="CO36" s="198"/>
      <c r="CP36" s="198"/>
      <c r="CQ36" s="198"/>
      <c r="CR36" s="198"/>
      <c r="CS36" s="198"/>
      <c r="CT36" s="198"/>
      <c r="CU36" s="198"/>
      <c r="CV36" s="198"/>
      <c r="CW36" s="198"/>
      <c r="CX36" s="198"/>
      <c r="CY36" s="198"/>
      <c r="CZ36" s="198"/>
      <c r="DA36" s="198"/>
      <c r="DB36" s="198"/>
      <c r="DC36" s="198"/>
      <c r="DD36" s="198"/>
      <c r="DE36" s="198"/>
      <c r="DF36" s="198"/>
      <c r="DG36" s="198"/>
      <c r="DH36" s="198"/>
      <c r="DI36" s="198"/>
      <c r="DJ36" s="198"/>
      <c r="DK36" s="198"/>
      <c r="DL36" s="198"/>
      <c r="DM36" s="198"/>
      <c r="DN36" s="198"/>
      <c r="DO36" s="198"/>
      <c r="DP36" s="198"/>
      <c r="DQ36" s="198"/>
      <c r="DR36" s="198"/>
      <c r="DS36" s="198"/>
      <c r="DT36" s="198"/>
      <c r="DU36" s="198"/>
      <c r="DV36" s="198"/>
      <c r="DW36" s="198"/>
      <c r="DX36" s="198"/>
      <c r="DY36" s="198"/>
      <c r="DZ36" s="198"/>
      <c r="EA36" s="198"/>
      <c r="EB36" s="198"/>
      <c r="EC36" s="198"/>
      <c r="ED36" s="198"/>
      <c r="EE36" s="198"/>
      <c r="EF36" s="198"/>
      <c r="EG36" s="198"/>
      <c r="EH36" s="198"/>
      <c r="EI36" s="198"/>
      <c r="EJ36" s="198"/>
      <c r="EK36" s="198"/>
      <c r="EL36" s="198"/>
      <c r="EM36" s="198"/>
      <c r="EN36" s="198"/>
      <c r="EO36" s="198"/>
      <c r="EP36" s="198"/>
      <c r="EQ36" s="198"/>
      <c r="ER36" s="198"/>
      <c r="ES36" s="198"/>
      <c r="ET36" s="198"/>
      <c r="EU36" s="198"/>
      <c r="EV36" s="198"/>
      <c r="EW36" s="198"/>
      <c r="EX36" s="198"/>
      <c r="EY36" s="198"/>
      <c r="EZ36" s="198"/>
      <c r="FA36" s="198"/>
      <c r="FB36" s="198"/>
      <c r="FC36" s="198"/>
      <c r="FD36" s="198"/>
      <c r="FE36" s="198"/>
      <c r="FF36" s="198"/>
      <c r="FG36" s="198"/>
      <c r="FH36" s="198"/>
      <c r="FI36" s="198"/>
      <c r="FJ36" s="198"/>
      <c r="FK36" s="198"/>
      <c r="FL36" s="198"/>
      <c r="FM36" s="198"/>
      <c r="FN36" s="198"/>
      <c r="FO36" s="198"/>
      <c r="FP36" s="198"/>
      <c r="FQ36" s="198"/>
      <c r="FR36" s="198"/>
      <c r="FS36" s="198"/>
      <c r="FT36" s="198"/>
      <c r="FU36" s="198"/>
      <c r="FV36" s="198"/>
      <c r="FW36" s="198"/>
      <c r="FX36" s="198"/>
      <c r="FY36" s="198"/>
      <c r="FZ36" s="198"/>
      <c r="GA36" s="198"/>
      <c r="GB36" s="198"/>
      <c r="GC36" s="198"/>
      <c r="GD36" s="198"/>
      <c r="GE36" s="198"/>
      <c r="GF36" s="198"/>
      <c r="GG36" s="198"/>
      <c r="GH36" s="198"/>
      <c r="GI36" s="198"/>
      <c r="GJ36" s="198"/>
      <c r="GK36" s="198"/>
      <c r="GL36" s="198"/>
      <c r="GM36" s="198"/>
      <c r="GN36" s="198"/>
      <c r="GO36" s="198"/>
      <c r="GP36" s="198"/>
      <c r="GQ36" s="198"/>
      <c r="GR36" s="198"/>
      <c r="GS36" s="198"/>
      <c r="GT36" s="198"/>
      <c r="GU36" s="198"/>
      <c r="GV36" s="198"/>
      <c r="GW36" s="198"/>
      <c r="GX36" s="198"/>
      <c r="GY36" s="198"/>
      <c r="GZ36" s="198"/>
      <c r="HA36" s="198"/>
      <c r="HB36" s="198"/>
      <c r="HC36" s="198"/>
      <c r="HD36" s="198"/>
      <c r="HE36" s="198"/>
      <c r="HF36" s="198"/>
      <c r="HG36" s="198"/>
      <c r="HH36" s="198"/>
      <c r="HI36" s="198"/>
      <c r="HJ36" s="198"/>
      <c r="HK36" s="198"/>
      <c r="HL36" s="198"/>
      <c r="HM36" s="198"/>
      <c r="HN36" s="198"/>
      <c r="HO36" s="198"/>
      <c r="HP36" s="198"/>
      <c r="HQ36" s="198"/>
      <c r="HR36" s="198"/>
      <c r="HS36" s="198"/>
      <c r="HT36" s="198"/>
      <c r="HU36" s="198"/>
      <c r="HV36" s="198"/>
      <c r="HW36" s="198"/>
      <c r="HX36" s="198"/>
      <c r="HY36" s="198"/>
      <c r="HZ36" s="198"/>
      <c r="IA36" s="198"/>
      <c r="IB36" s="198"/>
      <c r="IC36" s="198"/>
      <c r="ID36" s="198"/>
      <c r="IE36" s="198"/>
      <c r="IF36" s="198"/>
      <c r="IG36" s="198"/>
      <c r="IH36" s="198"/>
      <c r="II36" s="198"/>
      <c r="IJ36" s="198"/>
      <c r="IK36" s="198"/>
      <c r="IL36" s="198"/>
      <c r="IM36" s="198"/>
      <c r="IN36" s="198"/>
      <c r="IO36" s="198"/>
      <c r="IP36" s="198"/>
      <c r="IQ36" s="198"/>
      <c r="IR36" s="198"/>
      <c r="IS36" s="198"/>
      <c r="IT36" s="198"/>
      <c r="IU36" s="198"/>
      <c r="IV36" s="198"/>
    </row>
    <row r="37" s="199" customFormat="true" ht="12.75" hidden="false" customHeight="true" outlineLevel="0" collapsed="false">
      <c r="A37" s="157" t="str">
        <f aca="false">IF(Eingabe!A86="","",Eingabe!A86)</f>
        <v/>
      </c>
      <c r="B37" s="157"/>
      <c r="C37" s="157"/>
      <c r="D37" s="158" t="str">
        <f aca="false">IF(Eingabe!B86="","",Eingabe!B86)</f>
        <v/>
      </c>
      <c r="E37" s="158"/>
      <c r="F37" s="158"/>
      <c r="G37" s="158"/>
      <c r="H37" s="159" t="str">
        <f aca="false">IF(Eingabe!C86="","",Eingabe!C86)</f>
        <v/>
      </c>
      <c r="I37" s="159"/>
      <c r="J37" s="159"/>
      <c r="K37" s="159"/>
      <c r="L37" s="160" t="str">
        <f aca="false">IF(Eingabe!D86="","",Eingabe!D86)</f>
        <v/>
      </c>
      <c r="M37" s="160"/>
      <c r="N37" s="160"/>
      <c r="O37" s="160"/>
      <c r="P37" s="160"/>
      <c r="Q37" s="160"/>
      <c r="R37" s="160"/>
      <c r="S37" s="160"/>
      <c r="T37" s="160"/>
      <c r="U37" s="160"/>
      <c r="V37" s="160"/>
      <c r="W37" s="160"/>
      <c r="X37" s="160"/>
      <c r="Y37" s="160"/>
      <c r="Z37" s="160"/>
      <c r="AA37" s="160"/>
      <c r="AB37" s="160"/>
      <c r="AC37" s="160"/>
      <c r="AD37" s="160"/>
      <c r="AE37" s="160"/>
      <c r="AF37" s="160"/>
      <c r="AG37" s="160"/>
      <c r="AH37" s="200" t="str">
        <f aca="false">IF(Eingabe!F86&amp;Eingabe!G86="","",Eingabe!F86&amp;"  /  "&amp;Eingabe!G86)</f>
        <v/>
      </c>
      <c r="AI37" s="200"/>
      <c r="AJ37" s="200"/>
      <c r="AK37" s="200"/>
      <c r="AL37" s="200"/>
      <c r="AM37" s="200"/>
      <c r="AN37" s="200"/>
      <c r="AO37" s="200"/>
      <c r="AP37" s="200"/>
      <c r="AQ37" s="200"/>
      <c r="AR37" s="200"/>
      <c r="AS37" s="200"/>
      <c r="AT37" s="200"/>
      <c r="AU37" s="200"/>
      <c r="AV37" s="200"/>
      <c r="AW37" s="200"/>
      <c r="AX37" s="200"/>
      <c r="AY37" s="200"/>
      <c r="AZ37" s="200"/>
      <c r="BA37" s="200"/>
      <c r="BB37" s="200"/>
      <c r="BC37" s="200"/>
      <c r="BD37" s="200"/>
      <c r="BE37" s="201" t="str">
        <f aca="false">IF(Eingabe!I86="","",Eingabe!I86)</f>
        <v/>
      </c>
      <c r="BF37" s="201"/>
      <c r="BG37" s="201"/>
      <c r="BH37" s="201"/>
      <c r="BI37" s="201"/>
      <c r="BJ37" s="202" t="str">
        <f aca="false">IF(Eingabe!I86="","",Eingabe!I86*Eingabe!B86)</f>
        <v/>
      </c>
      <c r="BK37" s="202"/>
      <c r="BL37" s="202"/>
      <c r="BM37" s="202"/>
      <c r="BN37" s="202"/>
      <c r="BO37" s="198"/>
      <c r="BP37" s="198"/>
      <c r="BQ37" s="198"/>
      <c r="BR37" s="198"/>
      <c r="BS37" s="198"/>
      <c r="BT37" s="198"/>
      <c r="BU37" s="198"/>
      <c r="BV37" s="198"/>
      <c r="BW37" s="198"/>
      <c r="BX37" s="198"/>
      <c r="BY37" s="198"/>
      <c r="BZ37" s="198"/>
      <c r="CA37" s="198"/>
      <c r="CB37" s="198"/>
      <c r="CC37" s="198"/>
      <c r="CD37" s="198"/>
      <c r="CE37" s="198"/>
      <c r="CF37" s="198"/>
      <c r="CG37" s="198"/>
      <c r="CH37" s="198"/>
      <c r="CI37" s="198"/>
      <c r="CJ37" s="198"/>
      <c r="CK37" s="198"/>
      <c r="CL37" s="198"/>
      <c r="CM37" s="198"/>
      <c r="CN37" s="198"/>
      <c r="CO37" s="198"/>
      <c r="CP37" s="198"/>
      <c r="CQ37" s="198"/>
      <c r="CR37" s="198"/>
      <c r="CS37" s="198"/>
      <c r="CT37" s="198"/>
      <c r="CU37" s="198"/>
      <c r="CV37" s="198"/>
      <c r="CW37" s="198"/>
      <c r="CX37" s="198"/>
      <c r="CY37" s="198"/>
      <c r="CZ37" s="198"/>
      <c r="DA37" s="198"/>
      <c r="DB37" s="198"/>
      <c r="DC37" s="198"/>
      <c r="DD37" s="198"/>
      <c r="DE37" s="198"/>
      <c r="DF37" s="198"/>
      <c r="DG37" s="198"/>
      <c r="DH37" s="198"/>
      <c r="DI37" s="198"/>
      <c r="DJ37" s="198"/>
      <c r="DK37" s="198"/>
      <c r="DL37" s="198"/>
      <c r="DM37" s="198"/>
      <c r="DN37" s="198"/>
      <c r="DO37" s="198"/>
      <c r="DP37" s="198"/>
      <c r="DQ37" s="198"/>
      <c r="DR37" s="198"/>
      <c r="DS37" s="198"/>
      <c r="DT37" s="198"/>
      <c r="DU37" s="198"/>
      <c r="DV37" s="198"/>
      <c r="DW37" s="198"/>
      <c r="DX37" s="198"/>
      <c r="DY37" s="198"/>
      <c r="DZ37" s="198"/>
      <c r="EA37" s="198"/>
      <c r="EB37" s="198"/>
      <c r="EC37" s="198"/>
      <c r="ED37" s="198"/>
      <c r="EE37" s="198"/>
      <c r="EF37" s="198"/>
      <c r="EG37" s="198"/>
      <c r="EH37" s="198"/>
      <c r="EI37" s="198"/>
      <c r="EJ37" s="198"/>
      <c r="EK37" s="198"/>
      <c r="EL37" s="198"/>
      <c r="EM37" s="198"/>
      <c r="EN37" s="198"/>
      <c r="EO37" s="198"/>
      <c r="EP37" s="198"/>
      <c r="EQ37" s="198"/>
      <c r="ER37" s="198"/>
      <c r="ES37" s="198"/>
      <c r="ET37" s="198"/>
      <c r="EU37" s="198"/>
      <c r="EV37" s="198"/>
      <c r="EW37" s="198"/>
      <c r="EX37" s="198"/>
      <c r="EY37" s="198"/>
      <c r="EZ37" s="198"/>
      <c r="FA37" s="198"/>
      <c r="FB37" s="198"/>
      <c r="FC37" s="198"/>
      <c r="FD37" s="198"/>
      <c r="FE37" s="198"/>
      <c r="FF37" s="198"/>
      <c r="FG37" s="198"/>
      <c r="FH37" s="198"/>
      <c r="FI37" s="198"/>
      <c r="FJ37" s="198"/>
      <c r="FK37" s="198"/>
      <c r="FL37" s="198"/>
      <c r="FM37" s="198"/>
      <c r="FN37" s="198"/>
      <c r="FO37" s="198"/>
      <c r="FP37" s="198"/>
      <c r="FQ37" s="198"/>
      <c r="FR37" s="198"/>
      <c r="FS37" s="198"/>
      <c r="FT37" s="198"/>
      <c r="FU37" s="198"/>
      <c r="FV37" s="198"/>
      <c r="FW37" s="198"/>
      <c r="FX37" s="198"/>
      <c r="FY37" s="198"/>
      <c r="FZ37" s="198"/>
      <c r="GA37" s="198"/>
      <c r="GB37" s="198"/>
      <c r="GC37" s="198"/>
      <c r="GD37" s="198"/>
      <c r="GE37" s="198"/>
      <c r="GF37" s="198"/>
      <c r="GG37" s="198"/>
      <c r="GH37" s="198"/>
      <c r="GI37" s="198"/>
      <c r="GJ37" s="198"/>
      <c r="GK37" s="198"/>
      <c r="GL37" s="198"/>
      <c r="GM37" s="198"/>
      <c r="GN37" s="198"/>
      <c r="GO37" s="198"/>
      <c r="GP37" s="198"/>
      <c r="GQ37" s="198"/>
      <c r="GR37" s="198"/>
      <c r="GS37" s="198"/>
      <c r="GT37" s="198"/>
      <c r="GU37" s="198"/>
      <c r="GV37" s="198"/>
      <c r="GW37" s="198"/>
      <c r="GX37" s="198"/>
      <c r="GY37" s="198"/>
      <c r="GZ37" s="198"/>
      <c r="HA37" s="198"/>
      <c r="HB37" s="198"/>
      <c r="HC37" s="198"/>
      <c r="HD37" s="198"/>
      <c r="HE37" s="198"/>
      <c r="HF37" s="198"/>
      <c r="HG37" s="198"/>
      <c r="HH37" s="198"/>
      <c r="HI37" s="198"/>
      <c r="HJ37" s="198"/>
      <c r="HK37" s="198"/>
      <c r="HL37" s="198"/>
      <c r="HM37" s="198"/>
      <c r="HN37" s="198"/>
      <c r="HO37" s="198"/>
      <c r="HP37" s="198"/>
      <c r="HQ37" s="198"/>
      <c r="HR37" s="198"/>
      <c r="HS37" s="198"/>
      <c r="HT37" s="198"/>
      <c r="HU37" s="198"/>
      <c r="HV37" s="198"/>
      <c r="HW37" s="198"/>
      <c r="HX37" s="198"/>
      <c r="HY37" s="198"/>
      <c r="HZ37" s="198"/>
      <c r="IA37" s="198"/>
      <c r="IB37" s="198"/>
      <c r="IC37" s="198"/>
      <c r="ID37" s="198"/>
      <c r="IE37" s="198"/>
      <c r="IF37" s="198"/>
      <c r="IG37" s="198"/>
      <c r="IH37" s="198"/>
      <c r="II37" s="198"/>
      <c r="IJ37" s="198"/>
      <c r="IK37" s="198"/>
      <c r="IL37" s="198"/>
      <c r="IM37" s="198"/>
      <c r="IN37" s="198"/>
      <c r="IO37" s="198"/>
      <c r="IP37" s="198"/>
      <c r="IQ37" s="198"/>
      <c r="IR37" s="198"/>
      <c r="IS37" s="198"/>
      <c r="IT37" s="198"/>
      <c r="IU37" s="198"/>
      <c r="IV37" s="198"/>
    </row>
    <row r="38" s="199" customFormat="true" ht="12.75" hidden="false" customHeight="true" outlineLevel="0" collapsed="false">
      <c r="A38" s="157" t="str">
        <f aca="false">IF(Eingabe!A87="","",Eingabe!A87)</f>
        <v/>
      </c>
      <c r="B38" s="157"/>
      <c r="C38" s="157"/>
      <c r="D38" s="158" t="str">
        <f aca="false">IF(Eingabe!B87="","",Eingabe!B87)</f>
        <v/>
      </c>
      <c r="E38" s="158"/>
      <c r="F38" s="158"/>
      <c r="G38" s="158"/>
      <c r="H38" s="159" t="str">
        <f aca="false">IF(Eingabe!C87="","",Eingabe!C87)</f>
        <v/>
      </c>
      <c r="I38" s="159"/>
      <c r="J38" s="159"/>
      <c r="K38" s="159"/>
      <c r="L38" s="160" t="str">
        <f aca="false">IF(Eingabe!D87="","",Eingabe!D87)</f>
        <v/>
      </c>
      <c r="M38" s="160"/>
      <c r="N38" s="160"/>
      <c r="O38" s="160"/>
      <c r="P38" s="160"/>
      <c r="Q38" s="160"/>
      <c r="R38" s="160"/>
      <c r="S38" s="160"/>
      <c r="T38" s="160"/>
      <c r="U38" s="160"/>
      <c r="V38" s="160"/>
      <c r="W38" s="160"/>
      <c r="X38" s="160"/>
      <c r="Y38" s="160"/>
      <c r="Z38" s="160"/>
      <c r="AA38" s="160"/>
      <c r="AB38" s="160"/>
      <c r="AC38" s="160"/>
      <c r="AD38" s="160"/>
      <c r="AE38" s="160"/>
      <c r="AF38" s="160"/>
      <c r="AG38" s="160"/>
      <c r="AH38" s="200" t="str">
        <f aca="false">IF(Eingabe!F87&amp;Eingabe!G87="","",Eingabe!F87&amp;"  /  "&amp;Eingabe!G87)</f>
        <v/>
      </c>
      <c r="AI38" s="200"/>
      <c r="AJ38" s="200"/>
      <c r="AK38" s="200"/>
      <c r="AL38" s="200"/>
      <c r="AM38" s="200"/>
      <c r="AN38" s="200"/>
      <c r="AO38" s="200"/>
      <c r="AP38" s="200"/>
      <c r="AQ38" s="200"/>
      <c r="AR38" s="200"/>
      <c r="AS38" s="200"/>
      <c r="AT38" s="200"/>
      <c r="AU38" s="200"/>
      <c r="AV38" s="200"/>
      <c r="AW38" s="200"/>
      <c r="AX38" s="200"/>
      <c r="AY38" s="200"/>
      <c r="AZ38" s="200"/>
      <c r="BA38" s="200"/>
      <c r="BB38" s="200"/>
      <c r="BC38" s="200"/>
      <c r="BD38" s="200"/>
      <c r="BE38" s="201" t="str">
        <f aca="false">IF(Eingabe!I87="","",Eingabe!I87)</f>
        <v/>
      </c>
      <c r="BF38" s="201"/>
      <c r="BG38" s="201"/>
      <c r="BH38" s="201"/>
      <c r="BI38" s="201"/>
      <c r="BJ38" s="202" t="str">
        <f aca="false">IF(Eingabe!I87="","",Eingabe!I87*Eingabe!B87)</f>
        <v/>
      </c>
      <c r="BK38" s="202"/>
      <c r="BL38" s="202"/>
      <c r="BM38" s="202"/>
      <c r="BN38" s="202"/>
      <c r="BO38" s="198"/>
      <c r="BP38" s="198"/>
      <c r="BQ38" s="198"/>
      <c r="BR38" s="198"/>
      <c r="BS38" s="198"/>
      <c r="BT38" s="198"/>
      <c r="BU38" s="198"/>
      <c r="BV38" s="198"/>
      <c r="BW38" s="198"/>
      <c r="BX38" s="198"/>
      <c r="BY38" s="198"/>
      <c r="BZ38" s="198"/>
      <c r="CA38" s="198"/>
      <c r="CB38" s="198"/>
      <c r="CC38" s="198"/>
      <c r="CD38" s="198"/>
      <c r="CE38" s="198"/>
      <c r="CF38" s="198"/>
      <c r="CG38" s="198"/>
      <c r="CH38" s="198"/>
      <c r="CI38" s="198"/>
      <c r="CJ38" s="198"/>
      <c r="CK38" s="198"/>
      <c r="CL38" s="198"/>
      <c r="CM38" s="198"/>
      <c r="CN38" s="198"/>
      <c r="CO38" s="198"/>
      <c r="CP38" s="198"/>
      <c r="CQ38" s="198"/>
      <c r="CR38" s="198"/>
      <c r="CS38" s="198"/>
      <c r="CT38" s="198"/>
      <c r="CU38" s="198"/>
      <c r="CV38" s="198"/>
      <c r="CW38" s="198"/>
      <c r="CX38" s="198"/>
      <c r="CY38" s="198"/>
      <c r="CZ38" s="198"/>
      <c r="DA38" s="198"/>
      <c r="DB38" s="198"/>
      <c r="DC38" s="198"/>
      <c r="DD38" s="198"/>
      <c r="DE38" s="198"/>
      <c r="DF38" s="198"/>
      <c r="DG38" s="198"/>
      <c r="DH38" s="198"/>
      <c r="DI38" s="198"/>
      <c r="DJ38" s="198"/>
      <c r="DK38" s="198"/>
      <c r="DL38" s="198"/>
      <c r="DM38" s="198"/>
      <c r="DN38" s="198"/>
      <c r="DO38" s="198"/>
      <c r="DP38" s="198"/>
      <c r="DQ38" s="198"/>
      <c r="DR38" s="198"/>
      <c r="DS38" s="198"/>
      <c r="DT38" s="198"/>
      <c r="DU38" s="198"/>
      <c r="DV38" s="198"/>
      <c r="DW38" s="198"/>
      <c r="DX38" s="198"/>
      <c r="DY38" s="198"/>
      <c r="DZ38" s="198"/>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8"/>
      <c r="FG38" s="198"/>
      <c r="FH38" s="198"/>
      <c r="FI38" s="198"/>
      <c r="FJ38" s="198"/>
      <c r="FK38" s="198"/>
      <c r="FL38" s="198"/>
      <c r="FM38" s="198"/>
      <c r="FN38" s="198"/>
      <c r="FO38" s="198"/>
      <c r="FP38" s="198"/>
      <c r="FQ38" s="198"/>
      <c r="FR38" s="198"/>
      <c r="FS38" s="198"/>
      <c r="FT38" s="198"/>
      <c r="FU38" s="198"/>
      <c r="FV38" s="198"/>
      <c r="FW38" s="198"/>
      <c r="FX38" s="198"/>
      <c r="FY38" s="198"/>
      <c r="FZ38" s="198"/>
      <c r="GA38" s="198"/>
      <c r="GB38" s="198"/>
      <c r="GC38" s="198"/>
      <c r="GD38" s="198"/>
      <c r="GE38" s="198"/>
      <c r="GF38" s="198"/>
      <c r="GG38" s="198"/>
      <c r="GH38" s="198"/>
      <c r="GI38" s="198"/>
      <c r="GJ38" s="198"/>
      <c r="GK38" s="198"/>
      <c r="GL38" s="198"/>
      <c r="GM38" s="198"/>
      <c r="GN38" s="198"/>
      <c r="GO38" s="198"/>
      <c r="GP38" s="198"/>
      <c r="GQ38" s="198"/>
      <c r="GR38" s="198"/>
      <c r="GS38" s="198"/>
      <c r="GT38" s="198"/>
      <c r="GU38" s="198"/>
      <c r="GV38" s="198"/>
      <c r="GW38" s="198"/>
      <c r="GX38" s="198"/>
      <c r="GY38" s="198"/>
      <c r="GZ38" s="198"/>
      <c r="HA38" s="198"/>
      <c r="HB38" s="198"/>
      <c r="HC38" s="198"/>
      <c r="HD38" s="198"/>
      <c r="HE38" s="198"/>
      <c r="HF38" s="198"/>
      <c r="HG38" s="198"/>
      <c r="HH38" s="198"/>
      <c r="HI38" s="198"/>
      <c r="HJ38" s="198"/>
      <c r="HK38" s="198"/>
      <c r="HL38" s="198"/>
      <c r="HM38" s="198"/>
      <c r="HN38" s="198"/>
      <c r="HO38" s="198"/>
      <c r="HP38" s="198"/>
      <c r="HQ38" s="198"/>
      <c r="HR38" s="198"/>
      <c r="HS38" s="198"/>
      <c r="HT38" s="198"/>
      <c r="HU38" s="198"/>
      <c r="HV38" s="198"/>
      <c r="HW38" s="198"/>
      <c r="HX38" s="198"/>
      <c r="HY38" s="198"/>
      <c r="HZ38" s="198"/>
      <c r="IA38" s="198"/>
      <c r="IB38" s="198"/>
      <c r="IC38" s="198"/>
      <c r="ID38" s="198"/>
      <c r="IE38" s="198"/>
      <c r="IF38" s="198"/>
      <c r="IG38" s="198"/>
      <c r="IH38" s="198"/>
      <c r="II38" s="198"/>
      <c r="IJ38" s="198"/>
      <c r="IK38" s="198"/>
      <c r="IL38" s="198"/>
      <c r="IM38" s="198"/>
      <c r="IN38" s="198"/>
      <c r="IO38" s="198"/>
      <c r="IP38" s="198"/>
      <c r="IQ38" s="198"/>
      <c r="IR38" s="198"/>
      <c r="IS38" s="198"/>
      <c r="IT38" s="198"/>
      <c r="IU38" s="198"/>
      <c r="IV38" s="198"/>
    </row>
    <row r="39" s="199" customFormat="true" ht="12.75" hidden="false" customHeight="true" outlineLevel="0" collapsed="false">
      <c r="A39" s="157" t="str">
        <f aca="false">IF(Eingabe!A88="","",Eingabe!A88)</f>
        <v/>
      </c>
      <c r="B39" s="157"/>
      <c r="C39" s="157"/>
      <c r="D39" s="158" t="str">
        <f aca="false">IF(Eingabe!B88="","",Eingabe!B88)</f>
        <v/>
      </c>
      <c r="E39" s="158"/>
      <c r="F39" s="158"/>
      <c r="G39" s="158"/>
      <c r="H39" s="159" t="str">
        <f aca="false">IF(Eingabe!C88="","",Eingabe!C88)</f>
        <v/>
      </c>
      <c r="I39" s="159"/>
      <c r="J39" s="159"/>
      <c r="K39" s="159"/>
      <c r="L39" s="160" t="str">
        <f aca="false">IF(Eingabe!D88="","",Eingabe!D88)</f>
        <v/>
      </c>
      <c r="M39" s="160"/>
      <c r="N39" s="160"/>
      <c r="O39" s="160"/>
      <c r="P39" s="160"/>
      <c r="Q39" s="160"/>
      <c r="R39" s="160"/>
      <c r="S39" s="160"/>
      <c r="T39" s="160"/>
      <c r="U39" s="160"/>
      <c r="V39" s="160"/>
      <c r="W39" s="160"/>
      <c r="X39" s="160"/>
      <c r="Y39" s="160"/>
      <c r="Z39" s="160"/>
      <c r="AA39" s="160"/>
      <c r="AB39" s="160"/>
      <c r="AC39" s="160"/>
      <c r="AD39" s="160"/>
      <c r="AE39" s="160"/>
      <c r="AF39" s="160"/>
      <c r="AG39" s="160"/>
      <c r="AH39" s="200" t="str">
        <f aca="false">IF(Eingabe!F88&amp;Eingabe!G88="","",Eingabe!F88&amp;"  /  "&amp;Eingabe!G88)</f>
        <v/>
      </c>
      <c r="AI39" s="200"/>
      <c r="AJ39" s="200"/>
      <c r="AK39" s="200"/>
      <c r="AL39" s="200"/>
      <c r="AM39" s="200"/>
      <c r="AN39" s="200"/>
      <c r="AO39" s="200"/>
      <c r="AP39" s="200"/>
      <c r="AQ39" s="200"/>
      <c r="AR39" s="200"/>
      <c r="AS39" s="200"/>
      <c r="AT39" s="200"/>
      <c r="AU39" s="200"/>
      <c r="AV39" s="200"/>
      <c r="AW39" s="200"/>
      <c r="AX39" s="200"/>
      <c r="AY39" s="200"/>
      <c r="AZ39" s="200"/>
      <c r="BA39" s="200"/>
      <c r="BB39" s="200"/>
      <c r="BC39" s="200"/>
      <c r="BD39" s="200"/>
      <c r="BE39" s="201" t="str">
        <f aca="false">IF(Eingabe!I88="","",Eingabe!I88)</f>
        <v/>
      </c>
      <c r="BF39" s="201"/>
      <c r="BG39" s="201"/>
      <c r="BH39" s="201"/>
      <c r="BI39" s="201"/>
      <c r="BJ39" s="202" t="str">
        <f aca="false">IF(Eingabe!I88="","",Eingabe!I88*Eingabe!B88)</f>
        <v/>
      </c>
      <c r="BK39" s="202"/>
      <c r="BL39" s="202"/>
      <c r="BM39" s="202"/>
      <c r="BN39" s="202"/>
      <c r="BO39" s="198"/>
      <c r="BP39" s="198"/>
      <c r="BQ39" s="198"/>
      <c r="BR39" s="198"/>
      <c r="BS39" s="198"/>
      <c r="BT39" s="198"/>
      <c r="BU39" s="198"/>
      <c r="BV39" s="198"/>
      <c r="BW39" s="198"/>
      <c r="BX39" s="198"/>
      <c r="BY39" s="198"/>
      <c r="BZ39" s="198"/>
      <c r="CA39" s="198"/>
      <c r="CB39" s="198"/>
      <c r="CC39" s="198"/>
      <c r="CD39" s="198"/>
      <c r="CE39" s="198"/>
      <c r="CF39" s="198"/>
      <c r="CG39" s="198"/>
      <c r="CH39" s="198"/>
      <c r="CI39" s="198"/>
      <c r="CJ39" s="198"/>
      <c r="CK39" s="198"/>
      <c r="CL39" s="198"/>
      <c r="CM39" s="198"/>
      <c r="CN39" s="198"/>
      <c r="CO39" s="198"/>
      <c r="CP39" s="198"/>
      <c r="CQ39" s="198"/>
      <c r="CR39" s="198"/>
      <c r="CS39" s="198"/>
      <c r="CT39" s="198"/>
      <c r="CU39" s="198"/>
      <c r="CV39" s="198"/>
      <c r="CW39" s="198"/>
      <c r="CX39" s="198"/>
      <c r="CY39" s="198"/>
      <c r="CZ39" s="198"/>
      <c r="DA39" s="198"/>
      <c r="DB39" s="198"/>
      <c r="DC39" s="198"/>
      <c r="DD39" s="198"/>
      <c r="DE39" s="198"/>
      <c r="DF39" s="198"/>
      <c r="DG39" s="198"/>
      <c r="DH39" s="198"/>
      <c r="DI39" s="198"/>
      <c r="DJ39" s="198"/>
      <c r="DK39" s="198"/>
      <c r="DL39" s="198"/>
      <c r="DM39" s="198"/>
      <c r="DN39" s="198"/>
      <c r="DO39" s="198"/>
      <c r="DP39" s="198"/>
      <c r="DQ39" s="198"/>
      <c r="DR39" s="198"/>
      <c r="DS39" s="198"/>
      <c r="DT39" s="198"/>
      <c r="DU39" s="198"/>
      <c r="DV39" s="198"/>
      <c r="DW39" s="198"/>
      <c r="DX39" s="198"/>
      <c r="DY39" s="198"/>
      <c r="DZ39" s="198"/>
      <c r="EA39" s="198"/>
      <c r="EB39" s="198"/>
      <c r="EC39" s="198"/>
      <c r="ED39" s="198"/>
      <c r="EE39" s="198"/>
      <c r="EF39" s="198"/>
      <c r="EG39" s="198"/>
      <c r="EH39" s="198"/>
      <c r="EI39" s="198"/>
      <c r="EJ39" s="198"/>
      <c r="EK39" s="198"/>
      <c r="EL39" s="198"/>
      <c r="EM39" s="198"/>
      <c r="EN39" s="198"/>
      <c r="EO39" s="198"/>
      <c r="EP39" s="198"/>
      <c r="EQ39" s="198"/>
      <c r="ER39" s="198"/>
      <c r="ES39" s="198"/>
      <c r="ET39" s="198"/>
      <c r="EU39" s="198"/>
      <c r="EV39" s="198"/>
      <c r="EW39" s="198"/>
      <c r="EX39" s="198"/>
      <c r="EY39" s="198"/>
      <c r="EZ39" s="198"/>
      <c r="FA39" s="198"/>
      <c r="FB39" s="198"/>
      <c r="FC39" s="198"/>
      <c r="FD39" s="198"/>
      <c r="FE39" s="198"/>
      <c r="FF39" s="198"/>
      <c r="FG39" s="198"/>
      <c r="FH39" s="198"/>
      <c r="FI39" s="198"/>
      <c r="FJ39" s="198"/>
      <c r="FK39" s="198"/>
      <c r="FL39" s="198"/>
      <c r="FM39" s="198"/>
      <c r="FN39" s="198"/>
      <c r="FO39" s="198"/>
      <c r="FP39" s="198"/>
      <c r="FQ39" s="198"/>
      <c r="FR39" s="198"/>
      <c r="FS39" s="198"/>
      <c r="FT39" s="198"/>
      <c r="FU39" s="198"/>
      <c r="FV39" s="198"/>
      <c r="FW39" s="198"/>
      <c r="FX39" s="198"/>
      <c r="FY39" s="198"/>
      <c r="FZ39" s="198"/>
      <c r="GA39" s="198"/>
      <c r="GB39" s="198"/>
      <c r="GC39" s="198"/>
      <c r="GD39" s="198"/>
      <c r="GE39" s="198"/>
      <c r="GF39" s="198"/>
      <c r="GG39" s="198"/>
      <c r="GH39" s="198"/>
      <c r="GI39" s="198"/>
      <c r="GJ39" s="198"/>
      <c r="GK39" s="198"/>
      <c r="GL39" s="198"/>
      <c r="GM39" s="198"/>
      <c r="GN39" s="198"/>
      <c r="GO39" s="198"/>
      <c r="GP39" s="198"/>
      <c r="GQ39" s="198"/>
      <c r="GR39" s="198"/>
      <c r="GS39" s="198"/>
      <c r="GT39" s="198"/>
      <c r="GU39" s="198"/>
      <c r="GV39" s="198"/>
      <c r="GW39" s="198"/>
      <c r="GX39" s="198"/>
      <c r="GY39" s="198"/>
      <c r="GZ39" s="198"/>
      <c r="HA39" s="198"/>
      <c r="HB39" s="198"/>
      <c r="HC39" s="198"/>
      <c r="HD39" s="198"/>
      <c r="HE39" s="198"/>
      <c r="HF39" s="198"/>
      <c r="HG39" s="198"/>
      <c r="HH39" s="198"/>
      <c r="HI39" s="198"/>
      <c r="HJ39" s="198"/>
      <c r="HK39" s="198"/>
      <c r="HL39" s="198"/>
      <c r="HM39" s="198"/>
      <c r="HN39" s="198"/>
      <c r="HO39" s="198"/>
      <c r="HP39" s="198"/>
      <c r="HQ39" s="198"/>
      <c r="HR39" s="198"/>
      <c r="HS39" s="198"/>
      <c r="HT39" s="198"/>
      <c r="HU39" s="198"/>
      <c r="HV39" s="198"/>
      <c r="HW39" s="198"/>
      <c r="HX39" s="198"/>
      <c r="HY39" s="198"/>
      <c r="HZ39" s="198"/>
      <c r="IA39" s="198"/>
      <c r="IB39" s="198"/>
      <c r="IC39" s="198"/>
      <c r="ID39" s="198"/>
      <c r="IE39" s="198"/>
      <c r="IF39" s="198"/>
      <c r="IG39" s="198"/>
      <c r="IH39" s="198"/>
      <c r="II39" s="198"/>
      <c r="IJ39" s="198"/>
      <c r="IK39" s="198"/>
      <c r="IL39" s="198"/>
      <c r="IM39" s="198"/>
      <c r="IN39" s="198"/>
      <c r="IO39" s="198"/>
      <c r="IP39" s="198"/>
      <c r="IQ39" s="198"/>
      <c r="IR39" s="198"/>
      <c r="IS39" s="198"/>
      <c r="IT39" s="198"/>
      <c r="IU39" s="198"/>
      <c r="IV39" s="198"/>
    </row>
    <row r="40" s="199" customFormat="true" ht="12.75" hidden="false" customHeight="true" outlineLevel="0" collapsed="false">
      <c r="A40" s="157" t="str">
        <f aca="false">IF(Eingabe!A89="","",Eingabe!A89)</f>
        <v/>
      </c>
      <c r="B40" s="157"/>
      <c r="C40" s="157"/>
      <c r="D40" s="158" t="str">
        <f aca="false">IF(Eingabe!B89="","",Eingabe!B89)</f>
        <v/>
      </c>
      <c r="E40" s="158"/>
      <c r="F40" s="158"/>
      <c r="G40" s="158"/>
      <c r="H40" s="159" t="str">
        <f aca="false">IF(Eingabe!C89="","",Eingabe!C89)</f>
        <v/>
      </c>
      <c r="I40" s="159"/>
      <c r="J40" s="159"/>
      <c r="K40" s="159"/>
      <c r="L40" s="160" t="str">
        <f aca="false">IF(Eingabe!D89="","",Eingabe!D89)</f>
        <v/>
      </c>
      <c r="M40" s="160"/>
      <c r="N40" s="160"/>
      <c r="O40" s="160"/>
      <c r="P40" s="160"/>
      <c r="Q40" s="160"/>
      <c r="R40" s="160"/>
      <c r="S40" s="160"/>
      <c r="T40" s="160"/>
      <c r="U40" s="160"/>
      <c r="V40" s="160"/>
      <c r="W40" s="160"/>
      <c r="X40" s="160"/>
      <c r="Y40" s="160"/>
      <c r="Z40" s="160"/>
      <c r="AA40" s="160"/>
      <c r="AB40" s="160"/>
      <c r="AC40" s="160"/>
      <c r="AD40" s="160"/>
      <c r="AE40" s="160"/>
      <c r="AF40" s="160"/>
      <c r="AG40" s="160"/>
      <c r="AH40" s="200" t="str">
        <f aca="false">IF(Eingabe!F89&amp;Eingabe!G89="","",Eingabe!F89&amp;"  /  "&amp;Eingabe!G89)</f>
        <v/>
      </c>
      <c r="AI40" s="200"/>
      <c r="AJ40" s="200"/>
      <c r="AK40" s="200"/>
      <c r="AL40" s="200"/>
      <c r="AM40" s="200"/>
      <c r="AN40" s="200"/>
      <c r="AO40" s="200"/>
      <c r="AP40" s="200"/>
      <c r="AQ40" s="200"/>
      <c r="AR40" s="200"/>
      <c r="AS40" s="200"/>
      <c r="AT40" s="200"/>
      <c r="AU40" s="200"/>
      <c r="AV40" s="200"/>
      <c r="AW40" s="200"/>
      <c r="AX40" s="200"/>
      <c r="AY40" s="200"/>
      <c r="AZ40" s="200"/>
      <c r="BA40" s="200"/>
      <c r="BB40" s="200"/>
      <c r="BC40" s="200"/>
      <c r="BD40" s="200"/>
      <c r="BE40" s="201" t="str">
        <f aca="false">IF(Eingabe!I89="","",Eingabe!I89)</f>
        <v/>
      </c>
      <c r="BF40" s="201"/>
      <c r="BG40" s="201"/>
      <c r="BH40" s="201"/>
      <c r="BI40" s="201"/>
      <c r="BJ40" s="202" t="str">
        <f aca="false">IF(Eingabe!I89="","",Eingabe!I89*Eingabe!B89)</f>
        <v/>
      </c>
      <c r="BK40" s="202"/>
      <c r="BL40" s="202"/>
      <c r="BM40" s="202"/>
      <c r="BN40" s="202"/>
      <c r="BO40" s="198"/>
      <c r="BP40" s="198"/>
      <c r="BQ40" s="198"/>
      <c r="BR40" s="198"/>
      <c r="BS40" s="198"/>
      <c r="BT40" s="198"/>
      <c r="BU40" s="198"/>
      <c r="BV40" s="198"/>
      <c r="BW40" s="198"/>
      <c r="BX40" s="198"/>
      <c r="BY40" s="198"/>
      <c r="BZ40" s="198"/>
      <c r="CA40" s="198"/>
      <c r="CB40" s="198"/>
      <c r="CC40" s="198"/>
      <c r="CD40" s="198"/>
      <c r="CE40" s="198"/>
      <c r="CF40" s="198"/>
      <c r="CG40" s="198"/>
      <c r="CH40" s="198"/>
      <c r="CI40" s="198"/>
      <c r="CJ40" s="198"/>
      <c r="CK40" s="198"/>
      <c r="CL40" s="198"/>
      <c r="CM40" s="198"/>
      <c r="CN40" s="198"/>
      <c r="CO40" s="198"/>
      <c r="CP40" s="198"/>
      <c r="CQ40" s="198"/>
      <c r="CR40" s="198"/>
      <c r="CS40" s="198"/>
      <c r="CT40" s="198"/>
      <c r="CU40" s="198"/>
      <c r="CV40" s="198"/>
      <c r="CW40" s="198"/>
      <c r="CX40" s="198"/>
      <c r="CY40" s="198"/>
      <c r="CZ40" s="198"/>
      <c r="DA40" s="198"/>
      <c r="DB40" s="198"/>
      <c r="DC40" s="198"/>
      <c r="DD40" s="198"/>
      <c r="DE40" s="198"/>
      <c r="DF40" s="198"/>
      <c r="DG40" s="198"/>
      <c r="DH40" s="198"/>
      <c r="DI40" s="198"/>
      <c r="DJ40" s="198"/>
      <c r="DK40" s="198"/>
      <c r="DL40" s="198"/>
      <c r="DM40" s="198"/>
      <c r="DN40" s="198"/>
      <c r="DO40" s="198"/>
      <c r="DP40" s="198"/>
      <c r="DQ40" s="198"/>
      <c r="DR40" s="198"/>
      <c r="DS40" s="198"/>
      <c r="DT40" s="198"/>
      <c r="DU40" s="198"/>
      <c r="DV40" s="198"/>
      <c r="DW40" s="198"/>
      <c r="DX40" s="198"/>
      <c r="DY40" s="198"/>
      <c r="DZ40" s="198"/>
      <c r="EA40" s="198"/>
      <c r="EB40" s="198"/>
      <c r="EC40" s="198"/>
      <c r="ED40" s="198"/>
      <c r="EE40" s="198"/>
      <c r="EF40" s="198"/>
      <c r="EG40" s="198"/>
      <c r="EH40" s="198"/>
      <c r="EI40" s="198"/>
      <c r="EJ40" s="198"/>
      <c r="EK40" s="198"/>
      <c r="EL40" s="198"/>
      <c r="EM40" s="198"/>
      <c r="EN40" s="198"/>
      <c r="EO40" s="198"/>
      <c r="EP40" s="198"/>
      <c r="EQ40" s="198"/>
      <c r="ER40" s="198"/>
      <c r="ES40" s="198"/>
      <c r="ET40" s="198"/>
      <c r="EU40" s="198"/>
      <c r="EV40" s="198"/>
      <c r="EW40" s="198"/>
      <c r="EX40" s="198"/>
      <c r="EY40" s="198"/>
      <c r="EZ40" s="198"/>
      <c r="FA40" s="198"/>
      <c r="FB40" s="198"/>
      <c r="FC40" s="198"/>
      <c r="FD40" s="198"/>
      <c r="FE40" s="198"/>
      <c r="FF40" s="198"/>
      <c r="FG40" s="198"/>
      <c r="FH40" s="198"/>
      <c r="FI40" s="198"/>
      <c r="FJ40" s="198"/>
      <c r="FK40" s="198"/>
      <c r="FL40" s="198"/>
      <c r="FM40" s="198"/>
      <c r="FN40" s="198"/>
      <c r="FO40" s="198"/>
      <c r="FP40" s="198"/>
      <c r="FQ40" s="198"/>
      <c r="FR40" s="198"/>
      <c r="FS40" s="198"/>
      <c r="FT40" s="198"/>
      <c r="FU40" s="198"/>
      <c r="FV40" s="198"/>
      <c r="FW40" s="198"/>
      <c r="FX40" s="198"/>
      <c r="FY40" s="198"/>
      <c r="FZ40" s="198"/>
      <c r="GA40" s="198"/>
      <c r="GB40" s="198"/>
      <c r="GC40" s="198"/>
      <c r="GD40" s="198"/>
      <c r="GE40" s="198"/>
      <c r="GF40" s="198"/>
      <c r="GG40" s="198"/>
      <c r="GH40" s="198"/>
      <c r="GI40" s="198"/>
      <c r="GJ40" s="198"/>
      <c r="GK40" s="198"/>
      <c r="GL40" s="198"/>
      <c r="GM40" s="198"/>
      <c r="GN40" s="198"/>
      <c r="GO40" s="198"/>
      <c r="GP40" s="198"/>
      <c r="GQ40" s="198"/>
      <c r="GR40" s="198"/>
      <c r="GS40" s="198"/>
      <c r="GT40" s="198"/>
      <c r="GU40" s="198"/>
      <c r="GV40" s="198"/>
      <c r="GW40" s="198"/>
      <c r="GX40" s="198"/>
      <c r="GY40" s="198"/>
      <c r="GZ40" s="198"/>
      <c r="HA40" s="198"/>
      <c r="HB40" s="198"/>
      <c r="HC40" s="198"/>
      <c r="HD40" s="198"/>
      <c r="HE40" s="198"/>
      <c r="HF40" s="198"/>
      <c r="HG40" s="198"/>
      <c r="HH40" s="198"/>
      <c r="HI40" s="198"/>
      <c r="HJ40" s="198"/>
      <c r="HK40" s="198"/>
      <c r="HL40" s="198"/>
      <c r="HM40" s="198"/>
      <c r="HN40" s="198"/>
      <c r="HO40" s="198"/>
      <c r="HP40" s="198"/>
      <c r="HQ40" s="198"/>
      <c r="HR40" s="198"/>
      <c r="HS40" s="198"/>
      <c r="HT40" s="198"/>
      <c r="HU40" s="198"/>
      <c r="HV40" s="198"/>
      <c r="HW40" s="198"/>
      <c r="HX40" s="198"/>
      <c r="HY40" s="198"/>
      <c r="HZ40" s="198"/>
      <c r="IA40" s="198"/>
      <c r="IB40" s="198"/>
      <c r="IC40" s="198"/>
      <c r="ID40" s="198"/>
      <c r="IE40" s="198"/>
      <c r="IF40" s="198"/>
      <c r="IG40" s="198"/>
      <c r="IH40" s="198"/>
      <c r="II40" s="198"/>
      <c r="IJ40" s="198"/>
      <c r="IK40" s="198"/>
      <c r="IL40" s="198"/>
      <c r="IM40" s="198"/>
      <c r="IN40" s="198"/>
      <c r="IO40" s="198"/>
      <c r="IP40" s="198"/>
      <c r="IQ40" s="198"/>
      <c r="IR40" s="198"/>
      <c r="IS40" s="198"/>
      <c r="IT40" s="198"/>
      <c r="IU40" s="198"/>
      <c r="IV40" s="198"/>
    </row>
    <row r="41" s="199" customFormat="true" ht="12.75" hidden="false" customHeight="true" outlineLevel="0" collapsed="false">
      <c r="A41" s="157" t="str">
        <f aca="false">IF(Eingabe!A90="","",Eingabe!A90)</f>
        <v/>
      </c>
      <c r="B41" s="157"/>
      <c r="C41" s="157"/>
      <c r="D41" s="158" t="str">
        <f aca="false">IF(Eingabe!B90="","",Eingabe!B90)</f>
        <v/>
      </c>
      <c r="E41" s="158"/>
      <c r="F41" s="158"/>
      <c r="G41" s="158"/>
      <c r="H41" s="159" t="str">
        <f aca="false">IF(Eingabe!C90="","",Eingabe!C90)</f>
        <v/>
      </c>
      <c r="I41" s="159"/>
      <c r="J41" s="159"/>
      <c r="K41" s="159"/>
      <c r="L41" s="160" t="str">
        <f aca="false">IF(Eingabe!D90="","",Eingabe!D90)</f>
        <v/>
      </c>
      <c r="M41" s="160"/>
      <c r="N41" s="160"/>
      <c r="O41" s="160"/>
      <c r="P41" s="160"/>
      <c r="Q41" s="160"/>
      <c r="R41" s="160"/>
      <c r="S41" s="160"/>
      <c r="T41" s="160"/>
      <c r="U41" s="160"/>
      <c r="V41" s="160"/>
      <c r="W41" s="160"/>
      <c r="X41" s="160"/>
      <c r="Y41" s="160"/>
      <c r="Z41" s="160"/>
      <c r="AA41" s="160"/>
      <c r="AB41" s="160"/>
      <c r="AC41" s="160"/>
      <c r="AD41" s="160"/>
      <c r="AE41" s="160"/>
      <c r="AF41" s="160"/>
      <c r="AG41" s="160"/>
      <c r="AH41" s="200" t="str">
        <f aca="false">IF(Eingabe!F90&amp;Eingabe!G90="","",Eingabe!F90&amp;"  /  "&amp;Eingabe!G90)</f>
        <v/>
      </c>
      <c r="AI41" s="200"/>
      <c r="AJ41" s="200"/>
      <c r="AK41" s="200"/>
      <c r="AL41" s="200"/>
      <c r="AM41" s="200"/>
      <c r="AN41" s="200"/>
      <c r="AO41" s="200"/>
      <c r="AP41" s="200"/>
      <c r="AQ41" s="200"/>
      <c r="AR41" s="200"/>
      <c r="AS41" s="200"/>
      <c r="AT41" s="200"/>
      <c r="AU41" s="200"/>
      <c r="AV41" s="200"/>
      <c r="AW41" s="200"/>
      <c r="AX41" s="200"/>
      <c r="AY41" s="200"/>
      <c r="AZ41" s="200"/>
      <c r="BA41" s="200"/>
      <c r="BB41" s="200"/>
      <c r="BC41" s="200"/>
      <c r="BD41" s="200"/>
      <c r="BE41" s="201" t="str">
        <f aca="false">IF(Eingabe!I90="","",Eingabe!I90)</f>
        <v/>
      </c>
      <c r="BF41" s="201"/>
      <c r="BG41" s="201"/>
      <c r="BH41" s="201"/>
      <c r="BI41" s="201"/>
      <c r="BJ41" s="202" t="str">
        <f aca="false">IF(Eingabe!I90="","",Eingabe!I90*Eingabe!B90)</f>
        <v/>
      </c>
      <c r="BK41" s="202"/>
      <c r="BL41" s="202"/>
      <c r="BM41" s="202"/>
      <c r="BN41" s="202"/>
      <c r="BO41" s="198"/>
      <c r="BP41" s="198"/>
      <c r="BQ41" s="198"/>
      <c r="BR41" s="198"/>
      <c r="BS41" s="198"/>
      <c r="BT41" s="198"/>
      <c r="BU41" s="198"/>
      <c r="BV41" s="198"/>
      <c r="BW41" s="198"/>
      <c r="BX41" s="198"/>
      <c r="BY41" s="198"/>
      <c r="BZ41" s="198"/>
      <c r="CA41" s="198"/>
      <c r="CB41" s="198"/>
      <c r="CC41" s="198"/>
      <c r="CD41" s="198"/>
      <c r="CE41" s="198"/>
      <c r="CF41" s="198"/>
      <c r="CG41" s="198"/>
      <c r="CH41" s="198"/>
      <c r="CI41" s="198"/>
      <c r="CJ41" s="198"/>
      <c r="CK41" s="198"/>
      <c r="CL41" s="198"/>
      <c r="CM41" s="198"/>
      <c r="CN41" s="198"/>
      <c r="CO41" s="198"/>
      <c r="CP41" s="198"/>
      <c r="CQ41" s="198"/>
      <c r="CR41" s="198"/>
      <c r="CS41" s="198"/>
      <c r="CT41" s="198"/>
      <c r="CU41" s="198"/>
      <c r="CV41" s="198"/>
      <c r="CW41" s="198"/>
      <c r="CX41" s="198"/>
      <c r="CY41" s="198"/>
      <c r="CZ41" s="198"/>
      <c r="DA41" s="198"/>
      <c r="DB41" s="198"/>
      <c r="DC41" s="198"/>
      <c r="DD41" s="198"/>
      <c r="DE41" s="198"/>
      <c r="DF41" s="198"/>
      <c r="DG41" s="198"/>
      <c r="DH41" s="198"/>
      <c r="DI41" s="198"/>
      <c r="DJ41" s="198"/>
      <c r="DK41" s="198"/>
      <c r="DL41" s="198"/>
      <c r="DM41" s="198"/>
      <c r="DN41" s="198"/>
      <c r="DO41" s="198"/>
      <c r="DP41" s="198"/>
      <c r="DQ41" s="198"/>
      <c r="DR41" s="198"/>
      <c r="DS41" s="198"/>
      <c r="DT41" s="198"/>
      <c r="DU41" s="198"/>
      <c r="DV41" s="198"/>
      <c r="DW41" s="198"/>
      <c r="DX41" s="198"/>
      <c r="DY41" s="198"/>
      <c r="DZ41" s="198"/>
      <c r="EA41" s="198"/>
      <c r="EB41" s="198"/>
      <c r="EC41" s="198"/>
      <c r="ED41" s="198"/>
      <c r="EE41" s="198"/>
      <c r="EF41" s="198"/>
      <c r="EG41" s="198"/>
      <c r="EH41" s="198"/>
      <c r="EI41" s="198"/>
      <c r="EJ41" s="198"/>
      <c r="EK41" s="198"/>
      <c r="EL41" s="198"/>
      <c r="EM41" s="198"/>
      <c r="EN41" s="198"/>
      <c r="EO41" s="198"/>
      <c r="EP41" s="198"/>
      <c r="EQ41" s="198"/>
      <c r="ER41" s="198"/>
      <c r="ES41" s="198"/>
      <c r="ET41" s="198"/>
      <c r="EU41" s="198"/>
      <c r="EV41" s="198"/>
      <c r="EW41" s="198"/>
      <c r="EX41" s="198"/>
      <c r="EY41" s="198"/>
      <c r="EZ41" s="198"/>
      <c r="FA41" s="198"/>
      <c r="FB41" s="198"/>
      <c r="FC41" s="198"/>
      <c r="FD41" s="198"/>
      <c r="FE41" s="198"/>
      <c r="FF41" s="198"/>
      <c r="FG41" s="198"/>
      <c r="FH41" s="198"/>
      <c r="FI41" s="198"/>
      <c r="FJ41" s="198"/>
      <c r="FK41" s="198"/>
      <c r="FL41" s="198"/>
      <c r="FM41" s="198"/>
      <c r="FN41" s="198"/>
      <c r="FO41" s="198"/>
      <c r="FP41" s="198"/>
      <c r="FQ41" s="198"/>
      <c r="FR41" s="198"/>
      <c r="FS41" s="198"/>
      <c r="FT41" s="198"/>
      <c r="FU41" s="198"/>
      <c r="FV41" s="198"/>
      <c r="FW41" s="198"/>
      <c r="FX41" s="198"/>
      <c r="FY41" s="198"/>
      <c r="FZ41" s="198"/>
      <c r="GA41" s="198"/>
      <c r="GB41" s="198"/>
      <c r="GC41" s="198"/>
      <c r="GD41" s="198"/>
      <c r="GE41" s="198"/>
      <c r="GF41" s="198"/>
      <c r="GG41" s="198"/>
      <c r="GH41" s="198"/>
      <c r="GI41" s="198"/>
      <c r="GJ41" s="198"/>
      <c r="GK41" s="198"/>
      <c r="GL41" s="198"/>
      <c r="GM41" s="198"/>
      <c r="GN41" s="198"/>
      <c r="GO41" s="198"/>
      <c r="GP41" s="198"/>
      <c r="GQ41" s="198"/>
      <c r="GR41" s="198"/>
      <c r="GS41" s="198"/>
      <c r="GT41" s="198"/>
      <c r="GU41" s="198"/>
      <c r="GV41" s="198"/>
      <c r="GW41" s="198"/>
      <c r="GX41" s="198"/>
      <c r="GY41" s="198"/>
      <c r="GZ41" s="198"/>
      <c r="HA41" s="198"/>
      <c r="HB41" s="198"/>
      <c r="HC41" s="198"/>
      <c r="HD41" s="198"/>
      <c r="HE41" s="198"/>
      <c r="HF41" s="198"/>
      <c r="HG41" s="198"/>
      <c r="HH41" s="198"/>
      <c r="HI41" s="198"/>
      <c r="HJ41" s="198"/>
      <c r="HK41" s="198"/>
      <c r="HL41" s="198"/>
      <c r="HM41" s="198"/>
      <c r="HN41" s="198"/>
      <c r="HO41" s="198"/>
      <c r="HP41" s="198"/>
      <c r="HQ41" s="198"/>
      <c r="HR41" s="198"/>
      <c r="HS41" s="198"/>
      <c r="HT41" s="198"/>
      <c r="HU41" s="198"/>
      <c r="HV41" s="198"/>
      <c r="HW41" s="198"/>
      <c r="HX41" s="198"/>
      <c r="HY41" s="198"/>
      <c r="HZ41" s="198"/>
      <c r="IA41" s="198"/>
      <c r="IB41" s="198"/>
      <c r="IC41" s="198"/>
      <c r="ID41" s="198"/>
      <c r="IE41" s="198"/>
      <c r="IF41" s="198"/>
      <c r="IG41" s="198"/>
      <c r="IH41" s="198"/>
      <c r="II41" s="198"/>
      <c r="IJ41" s="198"/>
      <c r="IK41" s="198"/>
      <c r="IL41" s="198"/>
      <c r="IM41" s="198"/>
      <c r="IN41" s="198"/>
      <c r="IO41" s="198"/>
      <c r="IP41" s="198"/>
      <c r="IQ41" s="198"/>
      <c r="IR41" s="198"/>
      <c r="IS41" s="198"/>
      <c r="IT41" s="198"/>
      <c r="IU41" s="198"/>
      <c r="IV41" s="198"/>
    </row>
    <row r="42" s="199" customFormat="true" ht="12.75" hidden="false" customHeight="true" outlineLevel="0" collapsed="false">
      <c r="A42" s="157" t="str">
        <f aca="false">IF(Eingabe!A91="","",Eingabe!A91)</f>
        <v/>
      </c>
      <c r="B42" s="157"/>
      <c r="C42" s="157"/>
      <c r="D42" s="158" t="str">
        <f aca="false">IF(Eingabe!B91="","",Eingabe!B91)</f>
        <v/>
      </c>
      <c r="E42" s="158"/>
      <c r="F42" s="158"/>
      <c r="G42" s="158"/>
      <c r="H42" s="159" t="str">
        <f aca="false">IF(Eingabe!C91="","",Eingabe!C91)</f>
        <v/>
      </c>
      <c r="I42" s="159"/>
      <c r="J42" s="159"/>
      <c r="K42" s="159"/>
      <c r="L42" s="160" t="str">
        <f aca="false">IF(Eingabe!D91="","",Eingabe!D91)</f>
        <v/>
      </c>
      <c r="M42" s="160"/>
      <c r="N42" s="160"/>
      <c r="O42" s="160"/>
      <c r="P42" s="160"/>
      <c r="Q42" s="160"/>
      <c r="R42" s="160"/>
      <c r="S42" s="160"/>
      <c r="T42" s="160"/>
      <c r="U42" s="160"/>
      <c r="V42" s="160"/>
      <c r="W42" s="160"/>
      <c r="X42" s="160"/>
      <c r="Y42" s="160"/>
      <c r="Z42" s="160"/>
      <c r="AA42" s="160"/>
      <c r="AB42" s="160"/>
      <c r="AC42" s="160"/>
      <c r="AD42" s="160"/>
      <c r="AE42" s="160"/>
      <c r="AF42" s="160"/>
      <c r="AG42" s="160"/>
      <c r="AH42" s="200" t="str">
        <f aca="false">IF(Eingabe!F91&amp;Eingabe!G91="","",Eingabe!F91&amp;"  /  "&amp;Eingabe!G91)</f>
        <v/>
      </c>
      <c r="AI42" s="200"/>
      <c r="AJ42" s="200"/>
      <c r="AK42" s="200"/>
      <c r="AL42" s="200"/>
      <c r="AM42" s="200"/>
      <c r="AN42" s="200"/>
      <c r="AO42" s="200"/>
      <c r="AP42" s="200"/>
      <c r="AQ42" s="200"/>
      <c r="AR42" s="200"/>
      <c r="AS42" s="200"/>
      <c r="AT42" s="200"/>
      <c r="AU42" s="200"/>
      <c r="AV42" s="200"/>
      <c r="AW42" s="200"/>
      <c r="AX42" s="200"/>
      <c r="AY42" s="200"/>
      <c r="AZ42" s="200"/>
      <c r="BA42" s="200"/>
      <c r="BB42" s="200"/>
      <c r="BC42" s="200"/>
      <c r="BD42" s="200"/>
      <c r="BE42" s="201" t="str">
        <f aca="false">IF(Eingabe!I91="","",Eingabe!I91)</f>
        <v/>
      </c>
      <c r="BF42" s="201"/>
      <c r="BG42" s="201"/>
      <c r="BH42" s="201"/>
      <c r="BI42" s="201"/>
      <c r="BJ42" s="202" t="str">
        <f aca="false">IF(Eingabe!I91="","",Eingabe!I91*Eingabe!B91)</f>
        <v/>
      </c>
      <c r="BK42" s="202"/>
      <c r="BL42" s="202"/>
      <c r="BM42" s="202"/>
      <c r="BN42" s="202"/>
      <c r="BO42" s="198"/>
      <c r="BP42" s="198"/>
      <c r="BQ42" s="198"/>
      <c r="BR42" s="198"/>
      <c r="BS42" s="198"/>
      <c r="BT42" s="198"/>
      <c r="BU42" s="198"/>
      <c r="BV42" s="198"/>
      <c r="BW42" s="198"/>
      <c r="BX42" s="198"/>
      <c r="BY42" s="198"/>
      <c r="BZ42" s="198"/>
      <c r="CA42" s="198"/>
      <c r="CB42" s="198"/>
      <c r="CC42" s="198"/>
      <c r="CD42" s="198"/>
      <c r="CE42" s="198"/>
      <c r="CF42" s="198"/>
      <c r="CG42" s="198"/>
      <c r="CH42" s="198"/>
      <c r="CI42" s="198"/>
      <c r="CJ42" s="198"/>
      <c r="CK42" s="198"/>
      <c r="CL42" s="198"/>
      <c r="CM42" s="198"/>
      <c r="CN42" s="198"/>
      <c r="CO42" s="198"/>
      <c r="CP42" s="198"/>
      <c r="CQ42" s="198"/>
      <c r="CR42" s="198"/>
      <c r="CS42" s="198"/>
      <c r="CT42" s="198"/>
      <c r="CU42" s="198"/>
      <c r="CV42" s="198"/>
      <c r="CW42" s="198"/>
      <c r="CX42" s="198"/>
      <c r="CY42" s="198"/>
      <c r="CZ42" s="198"/>
      <c r="DA42" s="198"/>
      <c r="DB42" s="198"/>
      <c r="DC42" s="198"/>
      <c r="DD42" s="198"/>
      <c r="DE42" s="198"/>
      <c r="DF42" s="198"/>
      <c r="DG42" s="198"/>
      <c r="DH42" s="198"/>
      <c r="DI42" s="198"/>
      <c r="DJ42" s="198"/>
      <c r="DK42" s="198"/>
      <c r="DL42" s="198"/>
      <c r="DM42" s="198"/>
      <c r="DN42" s="198"/>
      <c r="DO42" s="198"/>
      <c r="DP42" s="198"/>
      <c r="DQ42" s="198"/>
      <c r="DR42" s="198"/>
      <c r="DS42" s="198"/>
      <c r="DT42" s="198"/>
      <c r="DU42" s="198"/>
      <c r="DV42" s="198"/>
      <c r="DW42" s="198"/>
      <c r="DX42" s="198"/>
      <c r="DY42" s="198"/>
      <c r="DZ42" s="198"/>
      <c r="EA42" s="198"/>
      <c r="EB42" s="198"/>
      <c r="EC42" s="198"/>
      <c r="ED42" s="198"/>
      <c r="EE42" s="198"/>
      <c r="EF42" s="198"/>
      <c r="EG42" s="198"/>
      <c r="EH42" s="198"/>
      <c r="EI42" s="198"/>
      <c r="EJ42" s="198"/>
      <c r="EK42" s="198"/>
      <c r="EL42" s="198"/>
      <c r="EM42" s="198"/>
      <c r="EN42" s="198"/>
      <c r="EO42" s="198"/>
      <c r="EP42" s="198"/>
      <c r="EQ42" s="198"/>
      <c r="ER42" s="198"/>
      <c r="ES42" s="198"/>
      <c r="ET42" s="198"/>
      <c r="EU42" s="198"/>
      <c r="EV42" s="198"/>
      <c r="EW42" s="198"/>
      <c r="EX42" s="198"/>
      <c r="EY42" s="198"/>
      <c r="EZ42" s="198"/>
      <c r="FA42" s="198"/>
      <c r="FB42" s="198"/>
      <c r="FC42" s="198"/>
      <c r="FD42" s="198"/>
      <c r="FE42" s="198"/>
      <c r="FF42" s="198"/>
      <c r="FG42" s="198"/>
      <c r="FH42" s="198"/>
      <c r="FI42" s="198"/>
      <c r="FJ42" s="198"/>
      <c r="FK42" s="198"/>
      <c r="FL42" s="198"/>
      <c r="FM42" s="198"/>
      <c r="FN42" s="198"/>
      <c r="FO42" s="198"/>
      <c r="FP42" s="198"/>
      <c r="FQ42" s="198"/>
      <c r="FR42" s="198"/>
      <c r="FS42" s="198"/>
      <c r="FT42" s="198"/>
      <c r="FU42" s="198"/>
      <c r="FV42" s="198"/>
      <c r="FW42" s="198"/>
      <c r="FX42" s="198"/>
      <c r="FY42" s="198"/>
      <c r="FZ42" s="198"/>
      <c r="GA42" s="198"/>
      <c r="GB42" s="198"/>
      <c r="GC42" s="198"/>
      <c r="GD42" s="198"/>
      <c r="GE42" s="198"/>
      <c r="GF42" s="198"/>
      <c r="GG42" s="198"/>
      <c r="GH42" s="198"/>
      <c r="GI42" s="198"/>
      <c r="GJ42" s="198"/>
      <c r="GK42" s="198"/>
      <c r="GL42" s="198"/>
      <c r="GM42" s="198"/>
      <c r="GN42" s="198"/>
      <c r="GO42" s="198"/>
      <c r="GP42" s="198"/>
      <c r="GQ42" s="198"/>
      <c r="GR42" s="198"/>
      <c r="GS42" s="198"/>
      <c r="GT42" s="198"/>
      <c r="GU42" s="198"/>
      <c r="GV42" s="198"/>
      <c r="GW42" s="198"/>
      <c r="GX42" s="198"/>
      <c r="GY42" s="198"/>
      <c r="GZ42" s="198"/>
      <c r="HA42" s="198"/>
      <c r="HB42" s="198"/>
      <c r="HC42" s="198"/>
      <c r="HD42" s="198"/>
      <c r="HE42" s="198"/>
      <c r="HF42" s="198"/>
      <c r="HG42" s="198"/>
      <c r="HH42" s="198"/>
      <c r="HI42" s="198"/>
      <c r="HJ42" s="198"/>
      <c r="HK42" s="198"/>
      <c r="HL42" s="198"/>
      <c r="HM42" s="198"/>
      <c r="HN42" s="198"/>
      <c r="HO42" s="198"/>
      <c r="HP42" s="198"/>
      <c r="HQ42" s="198"/>
      <c r="HR42" s="198"/>
      <c r="HS42" s="198"/>
      <c r="HT42" s="198"/>
      <c r="HU42" s="198"/>
      <c r="HV42" s="198"/>
      <c r="HW42" s="198"/>
      <c r="HX42" s="198"/>
      <c r="HY42" s="198"/>
      <c r="HZ42" s="198"/>
      <c r="IA42" s="198"/>
      <c r="IB42" s="198"/>
      <c r="IC42" s="198"/>
      <c r="ID42" s="198"/>
      <c r="IE42" s="198"/>
      <c r="IF42" s="198"/>
      <c r="IG42" s="198"/>
      <c r="IH42" s="198"/>
      <c r="II42" s="198"/>
      <c r="IJ42" s="198"/>
      <c r="IK42" s="198"/>
      <c r="IL42" s="198"/>
      <c r="IM42" s="198"/>
      <c r="IN42" s="198"/>
      <c r="IO42" s="198"/>
      <c r="IP42" s="198"/>
      <c r="IQ42" s="198"/>
      <c r="IR42" s="198"/>
      <c r="IS42" s="198"/>
      <c r="IT42" s="198"/>
      <c r="IU42" s="198"/>
      <c r="IV42" s="198"/>
    </row>
    <row r="43" s="199" customFormat="true" ht="12.75" hidden="false" customHeight="true" outlineLevel="0" collapsed="false">
      <c r="A43" s="157" t="str">
        <f aca="false">IF(Eingabe!A92="","",Eingabe!A92)</f>
        <v/>
      </c>
      <c r="B43" s="157"/>
      <c r="C43" s="157"/>
      <c r="D43" s="158" t="str">
        <f aca="false">IF(Eingabe!B92="","",Eingabe!B92)</f>
        <v/>
      </c>
      <c r="E43" s="158"/>
      <c r="F43" s="158"/>
      <c r="G43" s="158"/>
      <c r="H43" s="159" t="str">
        <f aca="false">IF(Eingabe!C92="","",Eingabe!C92)</f>
        <v/>
      </c>
      <c r="I43" s="159"/>
      <c r="J43" s="159"/>
      <c r="K43" s="159"/>
      <c r="L43" s="160" t="str">
        <f aca="false">IF(Eingabe!D92="","",Eingabe!D92)</f>
        <v/>
      </c>
      <c r="M43" s="160"/>
      <c r="N43" s="160"/>
      <c r="O43" s="160"/>
      <c r="P43" s="160"/>
      <c r="Q43" s="160"/>
      <c r="R43" s="160"/>
      <c r="S43" s="160"/>
      <c r="T43" s="160"/>
      <c r="U43" s="160"/>
      <c r="V43" s="160"/>
      <c r="W43" s="160"/>
      <c r="X43" s="160"/>
      <c r="Y43" s="160"/>
      <c r="Z43" s="160"/>
      <c r="AA43" s="160"/>
      <c r="AB43" s="160"/>
      <c r="AC43" s="160"/>
      <c r="AD43" s="160"/>
      <c r="AE43" s="160"/>
      <c r="AF43" s="160"/>
      <c r="AG43" s="160"/>
      <c r="AH43" s="200" t="str">
        <f aca="false">IF(Eingabe!F92&amp;Eingabe!G92="","",Eingabe!F92&amp;"  /  "&amp;Eingabe!G92)</f>
        <v/>
      </c>
      <c r="AI43" s="200"/>
      <c r="AJ43" s="200"/>
      <c r="AK43" s="200"/>
      <c r="AL43" s="200"/>
      <c r="AM43" s="200"/>
      <c r="AN43" s="200"/>
      <c r="AO43" s="200"/>
      <c r="AP43" s="200"/>
      <c r="AQ43" s="200"/>
      <c r="AR43" s="200"/>
      <c r="AS43" s="200"/>
      <c r="AT43" s="200"/>
      <c r="AU43" s="200"/>
      <c r="AV43" s="200"/>
      <c r="AW43" s="200"/>
      <c r="AX43" s="200"/>
      <c r="AY43" s="200"/>
      <c r="AZ43" s="200"/>
      <c r="BA43" s="200"/>
      <c r="BB43" s="200"/>
      <c r="BC43" s="200"/>
      <c r="BD43" s="200"/>
      <c r="BE43" s="201" t="str">
        <f aca="false">IF(Eingabe!I92="","",Eingabe!I92)</f>
        <v/>
      </c>
      <c r="BF43" s="201"/>
      <c r="BG43" s="201"/>
      <c r="BH43" s="201"/>
      <c r="BI43" s="201"/>
      <c r="BJ43" s="202" t="str">
        <f aca="false">IF(Eingabe!I92="","",Eingabe!I92*Eingabe!B92)</f>
        <v/>
      </c>
      <c r="BK43" s="202"/>
      <c r="BL43" s="202"/>
      <c r="BM43" s="202"/>
      <c r="BN43" s="202"/>
      <c r="BO43" s="198"/>
      <c r="BP43" s="198"/>
      <c r="BQ43" s="198"/>
      <c r="BR43" s="198"/>
      <c r="BS43" s="198"/>
      <c r="BT43" s="198"/>
      <c r="BU43" s="198"/>
      <c r="BV43" s="198"/>
      <c r="BW43" s="198"/>
      <c r="BX43" s="198"/>
      <c r="BY43" s="198"/>
      <c r="BZ43" s="198"/>
      <c r="CA43" s="198"/>
      <c r="CB43" s="198"/>
      <c r="CC43" s="198"/>
      <c r="CD43" s="198"/>
      <c r="CE43" s="198"/>
      <c r="CF43" s="198"/>
      <c r="CG43" s="198"/>
      <c r="CH43" s="198"/>
      <c r="CI43" s="198"/>
      <c r="CJ43" s="198"/>
      <c r="CK43" s="198"/>
      <c r="CL43" s="198"/>
      <c r="CM43" s="198"/>
      <c r="CN43" s="198"/>
      <c r="CO43" s="198"/>
      <c r="CP43" s="198"/>
      <c r="CQ43" s="198"/>
      <c r="CR43" s="198"/>
      <c r="CS43" s="198"/>
      <c r="CT43" s="198"/>
      <c r="CU43" s="198"/>
      <c r="CV43" s="198"/>
      <c r="CW43" s="198"/>
      <c r="CX43" s="198"/>
      <c r="CY43" s="198"/>
      <c r="CZ43" s="198"/>
      <c r="DA43" s="198"/>
      <c r="DB43" s="198"/>
      <c r="DC43" s="198"/>
      <c r="DD43" s="198"/>
      <c r="DE43" s="198"/>
      <c r="DF43" s="198"/>
      <c r="DG43" s="198"/>
      <c r="DH43" s="198"/>
      <c r="DI43" s="198"/>
      <c r="DJ43" s="198"/>
      <c r="DK43" s="198"/>
      <c r="DL43" s="198"/>
      <c r="DM43" s="198"/>
      <c r="DN43" s="198"/>
      <c r="DO43" s="198"/>
      <c r="DP43" s="198"/>
      <c r="DQ43" s="198"/>
      <c r="DR43" s="198"/>
      <c r="DS43" s="198"/>
      <c r="DT43" s="198"/>
      <c r="DU43" s="198"/>
      <c r="DV43" s="198"/>
      <c r="DW43" s="198"/>
      <c r="DX43" s="198"/>
      <c r="DY43" s="198"/>
      <c r="DZ43" s="198"/>
      <c r="EA43" s="198"/>
      <c r="EB43" s="198"/>
      <c r="EC43" s="198"/>
      <c r="ED43" s="198"/>
      <c r="EE43" s="198"/>
      <c r="EF43" s="198"/>
      <c r="EG43" s="198"/>
      <c r="EH43" s="198"/>
      <c r="EI43" s="198"/>
      <c r="EJ43" s="198"/>
      <c r="EK43" s="198"/>
      <c r="EL43" s="198"/>
      <c r="EM43" s="198"/>
      <c r="EN43" s="198"/>
      <c r="EO43" s="198"/>
      <c r="EP43" s="198"/>
      <c r="EQ43" s="198"/>
      <c r="ER43" s="198"/>
      <c r="ES43" s="198"/>
      <c r="ET43" s="198"/>
      <c r="EU43" s="198"/>
      <c r="EV43" s="198"/>
      <c r="EW43" s="198"/>
      <c r="EX43" s="198"/>
      <c r="EY43" s="198"/>
      <c r="EZ43" s="198"/>
      <c r="FA43" s="198"/>
      <c r="FB43" s="198"/>
      <c r="FC43" s="198"/>
      <c r="FD43" s="198"/>
      <c r="FE43" s="198"/>
      <c r="FF43" s="198"/>
      <c r="FG43" s="198"/>
      <c r="FH43" s="198"/>
      <c r="FI43" s="198"/>
      <c r="FJ43" s="198"/>
      <c r="FK43" s="198"/>
      <c r="FL43" s="198"/>
      <c r="FM43" s="198"/>
      <c r="FN43" s="198"/>
      <c r="FO43" s="198"/>
      <c r="FP43" s="198"/>
      <c r="FQ43" s="198"/>
      <c r="FR43" s="198"/>
      <c r="FS43" s="198"/>
      <c r="FT43" s="198"/>
      <c r="FU43" s="198"/>
      <c r="FV43" s="198"/>
      <c r="FW43" s="198"/>
      <c r="FX43" s="198"/>
      <c r="FY43" s="198"/>
      <c r="FZ43" s="198"/>
      <c r="GA43" s="198"/>
      <c r="GB43" s="198"/>
      <c r="GC43" s="198"/>
      <c r="GD43" s="198"/>
      <c r="GE43" s="198"/>
      <c r="GF43" s="198"/>
      <c r="GG43" s="198"/>
      <c r="GH43" s="198"/>
      <c r="GI43" s="198"/>
      <c r="GJ43" s="198"/>
      <c r="GK43" s="198"/>
      <c r="GL43" s="198"/>
      <c r="GM43" s="198"/>
      <c r="GN43" s="198"/>
      <c r="GO43" s="198"/>
      <c r="GP43" s="198"/>
      <c r="GQ43" s="198"/>
      <c r="GR43" s="198"/>
      <c r="GS43" s="198"/>
      <c r="GT43" s="198"/>
      <c r="GU43" s="198"/>
      <c r="GV43" s="198"/>
      <c r="GW43" s="198"/>
      <c r="GX43" s="198"/>
      <c r="GY43" s="198"/>
      <c r="GZ43" s="198"/>
      <c r="HA43" s="198"/>
      <c r="HB43" s="198"/>
      <c r="HC43" s="198"/>
      <c r="HD43" s="198"/>
      <c r="HE43" s="198"/>
      <c r="HF43" s="198"/>
      <c r="HG43" s="198"/>
      <c r="HH43" s="198"/>
      <c r="HI43" s="198"/>
      <c r="HJ43" s="198"/>
      <c r="HK43" s="198"/>
      <c r="HL43" s="198"/>
      <c r="HM43" s="198"/>
      <c r="HN43" s="198"/>
      <c r="HO43" s="198"/>
      <c r="HP43" s="198"/>
      <c r="HQ43" s="198"/>
      <c r="HR43" s="198"/>
      <c r="HS43" s="198"/>
      <c r="HT43" s="198"/>
      <c r="HU43" s="198"/>
      <c r="HV43" s="198"/>
      <c r="HW43" s="198"/>
      <c r="HX43" s="198"/>
      <c r="HY43" s="198"/>
      <c r="HZ43" s="198"/>
      <c r="IA43" s="198"/>
      <c r="IB43" s="198"/>
      <c r="IC43" s="198"/>
      <c r="ID43" s="198"/>
      <c r="IE43" s="198"/>
      <c r="IF43" s="198"/>
      <c r="IG43" s="198"/>
      <c r="IH43" s="198"/>
      <c r="II43" s="198"/>
      <c r="IJ43" s="198"/>
      <c r="IK43" s="198"/>
      <c r="IL43" s="198"/>
      <c r="IM43" s="198"/>
      <c r="IN43" s="198"/>
      <c r="IO43" s="198"/>
      <c r="IP43" s="198"/>
      <c r="IQ43" s="198"/>
      <c r="IR43" s="198"/>
      <c r="IS43" s="198"/>
      <c r="IT43" s="198"/>
      <c r="IU43" s="198"/>
      <c r="IV43" s="198"/>
    </row>
    <row r="44" s="199" customFormat="true" ht="12.75" hidden="false" customHeight="true" outlineLevel="0" collapsed="false">
      <c r="A44" s="157" t="str">
        <f aca="false">IF(Eingabe!A93="","",Eingabe!A93)</f>
        <v/>
      </c>
      <c r="B44" s="157"/>
      <c r="C44" s="157"/>
      <c r="D44" s="158" t="str">
        <f aca="false">IF(Eingabe!B93="","",Eingabe!B93)</f>
        <v/>
      </c>
      <c r="E44" s="158"/>
      <c r="F44" s="158"/>
      <c r="G44" s="158"/>
      <c r="H44" s="159" t="str">
        <f aca="false">IF(Eingabe!C93="","",Eingabe!C93)</f>
        <v/>
      </c>
      <c r="I44" s="159"/>
      <c r="J44" s="159"/>
      <c r="K44" s="159"/>
      <c r="L44" s="160" t="str">
        <f aca="false">IF(Eingabe!D93="","",Eingabe!D93)</f>
        <v/>
      </c>
      <c r="M44" s="160"/>
      <c r="N44" s="160"/>
      <c r="O44" s="160"/>
      <c r="P44" s="160"/>
      <c r="Q44" s="160"/>
      <c r="R44" s="160"/>
      <c r="S44" s="160"/>
      <c r="T44" s="160"/>
      <c r="U44" s="160"/>
      <c r="V44" s="160"/>
      <c r="W44" s="160"/>
      <c r="X44" s="160"/>
      <c r="Y44" s="160"/>
      <c r="Z44" s="160"/>
      <c r="AA44" s="160"/>
      <c r="AB44" s="160"/>
      <c r="AC44" s="160"/>
      <c r="AD44" s="160"/>
      <c r="AE44" s="160"/>
      <c r="AF44" s="160"/>
      <c r="AG44" s="160"/>
      <c r="AH44" s="200" t="str">
        <f aca="false">IF(Eingabe!F93&amp;Eingabe!G93="","",Eingabe!F93&amp;"  /  "&amp;Eingabe!G93)</f>
        <v/>
      </c>
      <c r="AI44" s="200"/>
      <c r="AJ44" s="200"/>
      <c r="AK44" s="200"/>
      <c r="AL44" s="200"/>
      <c r="AM44" s="200"/>
      <c r="AN44" s="200"/>
      <c r="AO44" s="200"/>
      <c r="AP44" s="200"/>
      <c r="AQ44" s="200"/>
      <c r="AR44" s="200"/>
      <c r="AS44" s="200"/>
      <c r="AT44" s="200"/>
      <c r="AU44" s="200"/>
      <c r="AV44" s="200"/>
      <c r="AW44" s="200"/>
      <c r="AX44" s="200"/>
      <c r="AY44" s="200"/>
      <c r="AZ44" s="200"/>
      <c r="BA44" s="200"/>
      <c r="BB44" s="200"/>
      <c r="BC44" s="200"/>
      <c r="BD44" s="200"/>
      <c r="BE44" s="201" t="str">
        <f aca="false">IF(Eingabe!I93="","",Eingabe!I93)</f>
        <v/>
      </c>
      <c r="BF44" s="201"/>
      <c r="BG44" s="201"/>
      <c r="BH44" s="201"/>
      <c r="BI44" s="201"/>
      <c r="BJ44" s="202" t="str">
        <f aca="false">IF(Eingabe!I93="","",Eingabe!I93*Eingabe!B93)</f>
        <v/>
      </c>
      <c r="BK44" s="202"/>
      <c r="BL44" s="202"/>
      <c r="BM44" s="202"/>
      <c r="BN44" s="202"/>
      <c r="BO44" s="198"/>
      <c r="BP44" s="198"/>
      <c r="BQ44" s="198"/>
      <c r="BR44" s="198"/>
      <c r="BS44" s="198"/>
      <c r="BT44" s="198"/>
      <c r="BU44" s="198"/>
      <c r="BV44" s="198"/>
      <c r="BW44" s="198"/>
      <c r="BX44" s="198"/>
      <c r="BY44" s="198"/>
      <c r="BZ44" s="198"/>
      <c r="CA44" s="198"/>
      <c r="CB44" s="198"/>
      <c r="CC44" s="198"/>
      <c r="CD44" s="198"/>
      <c r="CE44" s="198"/>
      <c r="CF44" s="198"/>
      <c r="CG44" s="198"/>
      <c r="CH44" s="198"/>
      <c r="CI44" s="198"/>
      <c r="CJ44" s="198"/>
      <c r="CK44" s="198"/>
      <c r="CL44" s="198"/>
      <c r="CM44" s="198"/>
      <c r="CN44" s="198"/>
      <c r="CO44" s="198"/>
      <c r="CP44" s="198"/>
      <c r="CQ44" s="198"/>
      <c r="CR44" s="198"/>
      <c r="CS44" s="198"/>
      <c r="CT44" s="198"/>
      <c r="CU44" s="198"/>
      <c r="CV44" s="198"/>
      <c r="CW44" s="198"/>
      <c r="CX44" s="198"/>
      <c r="CY44" s="198"/>
      <c r="CZ44" s="198"/>
      <c r="DA44" s="198"/>
      <c r="DB44" s="198"/>
      <c r="DC44" s="198"/>
      <c r="DD44" s="198"/>
      <c r="DE44" s="198"/>
      <c r="DF44" s="198"/>
      <c r="DG44" s="198"/>
      <c r="DH44" s="198"/>
      <c r="DI44" s="198"/>
      <c r="DJ44" s="198"/>
      <c r="DK44" s="198"/>
      <c r="DL44" s="198"/>
      <c r="DM44" s="198"/>
      <c r="DN44" s="198"/>
      <c r="DO44" s="198"/>
      <c r="DP44" s="198"/>
      <c r="DQ44" s="198"/>
      <c r="DR44" s="198"/>
      <c r="DS44" s="198"/>
      <c r="DT44" s="198"/>
      <c r="DU44" s="198"/>
      <c r="DV44" s="198"/>
      <c r="DW44" s="198"/>
      <c r="DX44" s="198"/>
      <c r="DY44" s="198"/>
      <c r="DZ44" s="198"/>
      <c r="EA44" s="198"/>
      <c r="EB44" s="198"/>
      <c r="EC44" s="198"/>
      <c r="ED44" s="198"/>
      <c r="EE44" s="198"/>
      <c r="EF44" s="198"/>
      <c r="EG44" s="198"/>
      <c r="EH44" s="198"/>
      <c r="EI44" s="198"/>
      <c r="EJ44" s="198"/>
      <c r="EK44" s="198"/>
      <c r="EL44" s="198"/>
      <c r="EM44" s="198"/>
      <c r="EN44" s="198"/>
      <c r="EO44" s="198"/>
      <c r="EP44" s="198"/>
      <c r="EQ44" s="198"/>
      <c r="ER44" s="198"/>
      <c r="ES44" s="198"/>
      <c r="ET44" s="198"/>
      <c r="EU44" s="198"/>
      <c r="EV44" s="198"/>
      <c r="EW44" s="198"/>
      <c r="EX44" s="198"/>
      <c r="EY44" s="198"/>
      <c r="EZ44" s="198"/>
      <c r="FA44" s="198"/>
      <c r="FB44" s="198"/>
      <c r="FC44" s="198"/>
      <c r="FD44" s="198"/>
      <c r="FE44" s="198"/>
      <c r="FF44" s="198"/>
      <c r="FG44" s="198"/>
      <c r="FH44" s="198"/>
      <c r="FI44" s="198"/>
      <c r="FJ44" s="198"/>
      <c r="FK44" s="198"/>
      <c r="FL44" s="198"/>
      <c r="FM44" s="198"/>
      <c r="FN44" s="198"/>
      <c r="FO44" s="198"/>
      <c r="FP44" s="198"/>
      <c r="FQ44" s="198"/>
      <c r="FR44" s="198"/>
      <c r="FS44" s="198"/>
      <c r="FT44" s="198"/>
      <c r="FU44" s="198"/>
      <c r="FV44" s="198"/>
      <c r="FW44" s="198"/>
      <c r="FX44" s="198"/>
      <c r="FY44" s="198"/>
      <c r="FZ44" s="198"/>
      <c r="GA44" s="198"/>
      <c r="GB44" s="198"/>
      <c r="GC44" s="198"/>
      <c r="GD44" s="198"/>
      <c r="GE44" s="198"/>
      <c r="GF44" s="198"/>
      <c r="GG44" s="198"/>
      <c r="GH44" s="198"/>
      <c r="GI44" s="198"/>
      <c r="GJ44" s="198"/>
      <c r="GK44" s="198"/>
      <c r="GL44" s="198"/>
      <c r="GM44" s="198"/>
      <c r="GN44" s="198"/>
      <c r="GO44" s="198"/>
      <c r="GP44" s="198"/>
      <c r="GQ44" s="198"/>
      <c r="GR44" s="198"/>
      <c r="GS44" s="198"/>
      <c r="GT44" s="198"/>
      <c r="GU44" s="198"/>
      <c r="GV44" s="198"/>
      <c r="GW44" s="198"/>
      <c r="GX44" s="198"/>
      <c r="GY44" s="198"/>
      <c r="GZ44" s="198"/>
      <c r="HA44" s="198"/>
      <c r="HB44" s="198"/>
      <c r="HC44" s="198"/>
      <c r="HD44" s="198"/>
      <c r="HE44" s="198"/>
      <c r="HF44" s="198"/>
      <c r="HG44" s="198"/>
      <c r="HH44" s="198"/>
      <c r="HI44" s="198"/>
      <c r="HJ44" s="198"/>
      <c r="HK44" s="198"/>
      <c r="HL44" s="198"/>
      <c r="HM44" s="198"/>
      <c r="HN44" s="198"/>
      <c r="HO44" s="198"/>
      <c r="HP44" s="198"/>
      <c r="HQ44" s="198"/>
      <c r="HR44" s="198"/>
      <c r="HS44" s="198"/>
      <c r="HT44" s="198"/>
      <c r="HU44" s="198"/>
      <c r="HV44" s="198"/>
      <c r="HW44" s="198"/>
      <c r="HX44" s="198"/>
      <c r="HY44" s="198"/>
      <c r="HZ44" s="198"/>
      <c r="IA44" s="198"/>
      <c r="IB44" s="198"/>
      <c r="IC44" s="198"/>
      <c r="ID44" s="198"/>
      <c r="IE44" s="198"/>
      <c r="IF44" s="198"/>
      <c r="IG44" s="198"/>
      <c r="IH44" s="198"/>
      <c r="II44" s="198"/>
      <c r="IJ44" s="198"/>
      <c r="IK44" s="198"/>
      <c r="IL44" s="198"/>
      <c r="IM44" s="198"/>
      <c r="IN44" s="198"/>
      <c r="IO44" s="198"/>
      <c r="IP44" s="198"/>
      <c r="IQ44" s="198"/>
      <c r="IR44" s="198"/>
      <c r="IS44" s="198"/>
      <c r="IT44" s="198"/>
      <c r="IU44" s="198"/>
      <c r="IV44" s="198"/>
    </row>
    <row r="45" s="199" customFormat="true" ht="12.75" hidden="false" customHeight="true" outlineLevel="0" collapsed="false">
      <c r="A45" s="157" t="str">
        <f aca="false">IF(Eingabe!A94="","",Eingabe!A94)</f>
        <v/>
      </c>
      <c r="B45" s="157"/>
      <c r="C45" s="157"/>
      <c r="D45" s="158" t="str">
        <f aca="false">IF(Eingabe!B94="","",Eingabe!B94)</f>
        <v/>
      </c>
      <c r="E45" s="158"/>
      <c r="F45" s="158"/>
      <c r="G45" s="158"/>
      <c r="H45" s="159" t="str">
        <f aca="false">IF(Eingabe!C94="","",Eingabe!C94)</f>
        <v/>
      </c>
      <c r="I45" s="159"/>
      <c r="J45" s="159"/>
      <c r="K45" s="159"/>
      <c r="L45" s="160" t="str">
        <f aca="false">IF(Eingabe!D94="","",Eingabe!D94)</f>
        <v/>
      </c>
      <c r="M45" s="160"/>
      <c r="N45" s="160"/>
      <c r="O45" s="160"/>
      <c r="P45" s="160"/>
      <c r="Q45" s="160"/>
      <c r="R45" s="160"/>
      <c r="S45" s="160"/>
      <c r="T45" s="160"/>
      <c r="U45" s="160"/>
      <c r="V45" s="160"/>
      <c r="W45" s="160"/>
      <c r="X45" s="160"/>
      <c r="Y45" s="160"/>
      <c r="Z45" s="160"/>
      <c r="AA45" s="160"/>
      <c r="AB45" s="160"/>
      <c r="AC45" s="160"/>
      <c r="AD45" s="160"/>
      <c r="AE45" s="160"/>
      <c r="AF45" s="160"/>
      <c r="AG45" s="160"/>
      <c r="AH45" s="200" t="str">
        <f aca="false">IF(Eingabe!F94&amp;Eingabe!G94="","",Eingabe!F94&amp;"  /  "&amp;Eingabe!G94)</f>
        <v/>
      </c>
      <c r="AI45" s="200"/>
      <c r="AJ45" s="200"/>
      <c r="AK45" s="200"/>
      <c r="AL45" s="200"/>
      <c r="AM45" s="200"/>
      <c r="AN45" s="200"/>
      <c r="AO45" s="200"/>
      <c r="AP45" s="200"/>
      <c r="AQ45" s="200"/>
      <c r="AR45" s="200"/>
      <c r="AS45" s="200"/>
      <c r="AT45" s="200"/>
      <c r="AU45" s="200"/>
      <c r="AV45" s="200"/>
      <c r="AW45" s="200"/>
      <c r="AX45" s="200"/>
      <c r="AY45" s="200"/>
      <c r="AZ45" s="200"/>
      <c r="BA45" s="200"/>
      <c r="BB45" s="200"/>
      <c r="BC45" s="200"/>
      <c r="BD45" s="200"/>
      <c r="BE45" s="201" t="str">
        <f aca="false">IF(Eingabe!I94="","",Eingabe!I94)</f>
        <v/>
      </c>
      <c r="BF45" s="201"/>
      <c r="BG45" s="201"/>
      <c r="BH45" s="201"/>
      <c r="BI45" s="201"/>
      <c r="BJ45" s="202" t="str">
        <f aca="false">IF(Eingabe!I94="","",Eingabe!I94*Eingabe!B94)</f>
        <v/>
      </c>
      <c r="BK45" s="202"/>
      <c r="BL45" s="202"/>
      <c r="BM45" s="202"/>
      <c r="BN45" s="202"/>
      <c r="BO45" s="198"/>
      <c r="BP45" s="198"/>
      <c r="BQ45" s="198"/>
      <c r="BR45" s="198"/>
      <c r="BS45" s="198"/>
      <c r="BT45" s="198"/>
      <c r="BU45" s="198"/>
      <c r="BV45" s="198"/>
      <c r="BW45" s="198"/>
      <c r="BX45" s="198"/>
      <c r="BY45" s="198"/>
      <c r="BZ45" s="198"/>
      <c r="CA45" s="198"/>
      <c r="CB45" s="198"/>
      <c r="CC45" s="198"/>
      <c r="CD45" s="198"/>
      <c r="CE45" s="198"/>
      <c r="CF45" s="198"/>
      <c r="CG45" s="198"/>
      <c r="CH45" s="198"/>
      <c r="CI45" s="198"/>
      <c r="CJ45" s="198"/>
      <c r="CK45" s="198"/>
      <c r="CL45" s="198"/>
      <c r="CM45" s="198"/>
      <c r="CN45" s="198"/>
      <c r="CO45" s="198"/>
      <c r="CP45" s="198"/>
      <c r="CQ45" s="198"/>
      <c r="CR45" s="198"/>
      <c r="CS45" s="198"/>
      <c r="CT45" s="198"/>
      <c r="CU45" s="198"/>
      <c r="CV45" s="198"/>
      <c r="CW45" s="198"/>
      <c r="CX45" s="198"/>
      <c r="CY45" s="198"/>
      <c r="CZ45" s="198"/>
      <c r="DA45" s="198"/>
      <c r="DB45" s="198"/>
      <c r="DC45" s="198"/>
      <c r="DD45" s="198"/>
      <c r="DE45" s="198"/>
      <c r="DF45" s="198"/>
      <c r="DG45" s="198"/>
      <c r="DH45" s="198"/>
      <c r="DI45" s="198"/>
      <c r="DJ45" s="198"/>
      <c r="DK45" s="198"/>
      <c r="DL45" s="198"/>
      <c r="DM45" s="198"/>
      <c r="DN45" s="198"/>
      <c r="DO45" s="198"/>
      <c r="DP45" s="198"/>
      <c r="DQ45" s="198"/>
      <c r="DR45" s="198"/>
      <c r="DS45" s="198"/>
      <c r="DT45" s="198"/>
      <c r="DU45" s="198"/>
      <c r="DV45" s="198"/>
      <c r="DW45" s="198"/>
      <c r="DX45" s="198"/>
      <c r="DY45" s="198"/>
      <c r="DZ45" s="198"/>
      <c r="EA45" s="198"/>
      <c r="EB45" s="198"/>
      <c r="EC45" s="198"/>
      <c r="ED45" s="198"/>
      <c r="EE45" s="198"/>
      <c r="EF45" s="198"/>
      <c r="EG45" s="198"/>
      <c r="EH45" s="198"/>
      <c r="EI45" s="198"/>
      <c r="EJ45" s="198"/>
      <c r="EK45" s="198"/>
      <c r="EL45" s="198"/>
      <c r="EM45" s="198"/>
      <c r="EN45" s="198"/>
      <c r="EO45" s="198"/>
      <c r="EP45" s="198"/>
      <c r="EQ45" s="198"/>
      <c r="ER45" s="198"/>
      <c r="ES45" s="198"/>
      <c r="ET45" s="198"/>
      <c r="EU45" s="198"/>
      <c r="EV45" s="198"/>
      <c r="EW45" s="198"/>
      <c r="EX45" s="198"/>
      <c r="EY45" s="198"/>
      <c r="EZ45" s="198"/>
      <c r="FA45" s="198"/>
      <c r="FB45" s="198"/>
      <c r="FC45" s="198"/>
      <c r="FD45" s="198"/>
      <c r="FE45" s="198"/>
      <c r="FF45" s="198"/>
      <c r="FG45" s="198"/>
      <c r="FH45" s="198"/>
      <c r="FI45" s="198"/>
      <c r="FJ45" s="198"/>
      <c r="FK45" s="198"/>
      <c r="FL45" s="198"/>
      <c r="FM45" s="198"/>
      <c r="FN45" s="198"/>
      <c r="FO45" s="198"/>
      <c r="FP45" s="198"/>
      <c r="FQ45" s="198"/>
      <c r="FR45" s="198"/>
      <c r="FS45" s="198"/>
      <c r="FT45" s="198"/>
      <c r="FU45" s="198"/>
      <c r="FV45" s="198"/>
      <c r="FW45" s="198"/>
      <c r="FX45" s="198"/>
      <c r="FY45" s="198"/>
      <c r="FZ45" s="198"/>
      <c r="GA45" s="198"/>
      <c r="GB45" s="198"/>
      <c r="GC45" s="198"/>
      <c r="GD45" s="198"/>
      <c r="GE45" s="198"/>
      <c r="GF45" s="198"/>
      <c r="GG45" s="198"/>
      <c r="GH45" s="198"/>
      <c r="GI45" s="198"/>
      <c r="GJ45" s="198"/>
      <c r="GK45" s="198"/>
      <c r="GL45" s="198"/>
      <c r="GM45" s="198"/>
      <c r="GN45" s="198"/>
      <c r="GO45" s="198"/>
      <c r="GP45" s="198"/>
      <c r="GQ45" s="198"/>
      <c r="GR45" s="198"/>
      <c r="GS45" s="198"/>
      <c r="GT45" s="198"/>
      <c r="GU45" s="198"/>
      <c r="GV45" s="198"/>
      <c r="GW45" s="198"/>
      <c r="GX45" s="198"/>
      <c r="GY45" s="198"/>
      <c r="GZ45" s="198"/>
      <c r="HA45" s="198"/>
      <c r="HB45" s="198"/>
      <c r="HC45" s="198"/>
      <c r="HD45" s="198"/>
      <c r="HE45" s="198"/>
      <c r="HF45" s="198"/>
      <c r="HG45" s="198"/>
      <c r="HH45" s="198"/>
      <c r="HI45" s="198"/>
      <c r="HJ45" s="198"/>
      <c r="HK45" s="198"/>
      <c r="HL45" s="198"/>
      <c r="HM45" s="198"/>
      <c r="HN45" s="198"/>
      <c r="HO45" s="198"/>
      <c r="HP45" s="198"/>
      <c r="HQ45" s="198"/>
      <c r="HR45" s="198"/>
      <c r="HS45" s="198"/>
      <c r="HT45" s="198"/>
      <c r="HU45" s="198"/>
      <c r="HV45" s="198"/>
      <c r="HW45" s="198"/>
      <c r="HX45" s="198"/>
      <c r="HY45" s="198"/>
      <c r="HZ45" s="198"/>
      <c r="IA45" s="198"/>
      <c r="IB45" s="198"/>
      <c r="IC45" s="198"/>
      <c r="ID45" s="198"/>
      <c r="IE45" s="198"/>
      <c r="IF45" s="198"/>
      <c r="IG45" s="198"/>
      <c r="IH45" s="198"/>
      <c r="II45" s="198"/>
      <c r="IJ45" s="198"/>
      <c r="IK45" s="198"/>
      <c r="IL45" s="198"/>
      <c r="IM45" s="198"/>
      <c r="IN45" s="198"/>
      <c r="IO45" s="198"/>
      <c r="IP45" s="198"/>
      <c r="IQ45" s="198"/>
      <c r="IR45" s="198"/>
      <c r="IS45" s="198"/>
      <c r="IT45" s="198"/>
      <c r="IU45" s="198"/>
      <c r="IV45" s="198"/>
    </row>
    <row r="46" s="199" customFormat="true" ht="12.75" hidden="false" customHeight="true" outlineLevel="0" collapsed="false">
      <c r="A46" s="157" t="str">
        <f aca="false">IF(Eingabe!A95="","",Eingabe!A95)</f>
        <v/>
      </c>
      <c r="B46" s="157"/>
      <c r="C46" s="157"/>
      <c r="D46" s="158" t="str">
        <f aca="false">IF(Eingabe!B95="","",Eingabe!B95)</f>
        <v/>
      </c>
      <c r="E46" s="158"/>
      <c r="F46" s="158"/>
      <c r="G46" s="158"/>
      <c r="H46" s="159" t="str">
        <f aca="false">IF(Eingabe!C95="","",Eingabe!C95)</f>
        <v/>
      </c>
      <c r="I46" s="159"/>
      <c r="J46" s="159"/>
      <c r="K46" s="159"/>
      <c r="L46" s="160" t="str">
        <f aca="false">IF(Eingabe!D95="","",Eingabe!D95)</f>
        <v/>
      </c>
      <c r="M46" s="160"/>
      <c r="N46" s="160"/>
      <c r="O46" s="160"/>
      <c r="P46" s="160"/>
      <c r="Q46" s="160"/>
      <c r="R46" s="160"/>
      <c r="S46" s="160"/>
      <c r="T46" s="160"/>
      <c r="U46" s="160"/>
      <c r="V46" s="160"/>
      <c r="W46" s="160"/>
      <c r="X46" s="160"/>
      <c r="Y46" s="160"/>
      <c r="Z46" s="160"/>
      <c r="AA46" s="160"/>
      <c r="AB46" s="160"/>
      <c r="AC46" s="160"/>
      <c r="AD46" s="160"/>
      <c r="AE46" s="160"/>
      <c r="AF46" s="160"/>
      <c r="AG46" s="160"/>
      <c r="AH46" s="200" t="str">
        <f aca="false">IF(Eingabe!F95&amp;Eingabe!G95="","",Eingabe!F95&amp;"  /  "&amp;Eingabe!G95)</f>
        <v/>
      </c>
      <c r="AI46" s="200"/>
      <c r="AJ46" s="200"/>
      <c r="AK46" s="200"/>
      <c r="AL46" s="200"/>
      <c r="AM46" s="200"/>
      <c r="AN46" s="200"/>
      <c r="AO46" s="200"/>
      <c r="AP46" s="200"/>
      <c r="AQ46" s="200"/>
      <c r="AR46" s="200"/>
      <c r="AS46" s="200"/>
      <c r="AT46" s="200"/>
      <c r="AU46" s="200"/>
      <c r="AV46" s="200"/>
      <c r="AW46" s="200"/>
      <c r="AX46" s="200"/>
      <c r="AY46" s="200"/>
      <c r="AZ46" s="200"/>
      <c r="BA46" s="200"/>
      <c r="BB46" s="200"/>
      <c r="BC46" s="200"/>
      <c r="BD46" s="200"/>
      <c r="BE46" s="201" t="str">
        <f aca="false">IF(Eingabe!I95="","",Eingabe!I95)</f>
        <v/>
      </c>
      <c r="BF46" s="201"/>
      <c r="BG46" s="201"/>
      <c r="BH46" s="201"/>
      <c r="BI46" s="201"/>
      <c r="BJ46" s="202" t="str">
        <f aca="false">IF(Eingabe!I95="","",Eingabe!I95*Eingabe!B95)</f>
        <v/>
      </c>
      <c r="BK46" s="202"/>
      <c r="BL46" s="202"/>
      <c r="BM46" s="202"/>
      <c r="BN46" s="202"/>
      <c r="BO46" s="198"/>
      <c r="BP46" s="198"/>
      <c r="BQ46" s="198"/>
      <c r="BR46" s="198"/>
      <c r="BS46" s="198"/>
      <c r="BT46" s="198"/>
      <c r="BU46" s="198"/>
      <c r="BV46" s="198"/>
      <c r="BW46" s="198"/>
      <c r="BX46" s="198"/>
      <c r="BY46" s="198"/>
      <c r="BZ46" s="198"/>
      <c r="CA46" s="198"/>
      <c r="CB46" s="198"/>
      <c r="CC46" s="198"/>
      <c r="CD46" s="198"/>
      <c r="CE46" s="198"/>
      <c r="CF46" s="198"/>
      <c r="CG46" s="198"/>
      <c r="CH46" s="198"/>
      <c r="CI46" s="198"/>
      <c r="CJ46" s="198"/>
      <c r="CK46" s="198"/>
      <c r="CL46" s="198"/>
      <c r="CM46" s="198"/>
      <c r="CN46" s="198"/>
      <c r="CO46" s="198"/>
      <c r="CP46" s="198"/>
      <c r="CQ46" s="198"/>
      <c r="CR46" s="198"/>
      <c r="CS46" s="198"/>
      <c r="CT46" s="198"/>
      <c r="CU46" s="198"/>
      <c r="CV46" s="198"/>
      <c r="CW46" s="198"/>
      <c r="CX46" s="198"/>
      <c r="CY46" s="198"/>
      <c r="CZ46" s="198"/>
      <c r="DA46" s="198"/>
      <c r="DB46" s="198"/>
      <c r="DC46" s="198"/>
      <c r="DD46" s="198"/>
      <c r="DE46" s="198"/>
      <c r="DF46" s="198"/>
      <c r="DG46" s="198"/>
      <c r="DH46" s="198"/>
      <c r="DI46" s="198"/>
      <c r="DJ46" s="198"/>
      <c r="DK46" s="198"/>
      <c r="DL46" s="198"/>
      <c r="DM46" s="198"/>
      <c r="DN46" s="198"/>
      <c r="DO46" s="198"/>
      <c r="DP46" s="198"/>
      <c r="DQ46" s="198"/>
      <c r="DR46" s="198"/>
      <c r="DS46" s="198"/>
      <c r="DT46" s="198"/>
      <c r="DU46" s="198"/>
      <c r="DV46" s="198"/>
      <c r="DW46" s="198"/>
      <c r="DX46" s="198"/>
      <c r="DY46" s="198"/>
      <c r="DZ46" s="198"/>
      <c r="EA46" s="198"/>
      <c r="EB46" s="198"/>
      <c r="EC46" s="198"/>
      <c r="ED46" s="198"/>
      <c r="EE46" s="198"/>
      <c r="EF46" s="198"/>
      <c r="EG46" s="198"/>
      <c r="EH46" s="198"/>
      <c r="EI46" s="198"/>
      <c r="EJ46" s="198"/>
      <c r="EK46" s="198"/>
      <c r="EL46" s="198"/>
      <c r="EM46" s="198"/>
      <c r="EN46" s="198"/>
      <c r="EO46" s="198"/>
      <c r="EP46" s="198"/>
      <c r="EQ46" s="198"/>
      <c r="ER46" s="198"/>
      <c r="ES46" s="198"/>
      <c r="ET46" s="198"/>
      <c r="EU46" s="198"/>
      <c r="EV46" s="198"/>
      <c r="EW46" s="198"/>
      <c r="EX46" s="198"/>
      <c r="EY46" s="198"/>
      <c r="EZ46" s="198"/>
      <c r="FA46" s="198"/>
      <c r="FB46" s="198"/>
      <c r="FC46" s="198"/>
      <c r="FD46" s="198"/>
      <c r="FE46" s="198"/>
      <c r="FF46" s="198"/>
      <c r="FG46" s="198"/>
      <c r="FH46" s="198"/>
      <c r="FI46" s="198"/>
      <c r="FJ46" s="198"/>
      <c r="FK46" s="198"/>
      <c r="FL46" s="198"/>
      <c r="FM46" s="198"/>
      <c r="FN46" s="198"/>
      <c r="FO46" s="198"/>
      <c r="FP46" s="198"/>
      <c r="FQ46" s="198"/>
      <c r="FR46" s="198"/>
      <c r="FS46" s="198"/>
      <c r="FT46" s="198"/>
      <c r="FU46" s="198"/>
      <c r="FV46" s="198"/>
      <c r="FW46" s="198"/>
      <c r="FX46" s="198"/>
      <c r="FY46" s="198"/>
      <c r="FZ46" s="198"/>
      <c r="GA46" s="198"/>
      <c r="GB46" s="198"/>
      <c r="GC46" s="198"/>
      <c r="GD46" s="198"/>
      <c r="GE46" s="198"/>
      <c r="GF46" s="198"/>
      <c r="GG46" s="198"/>
      <c r="GH46" s="198"/>
      <c r="GI46" s="198"/>
      <c r="GJ46" s="198"/>
      <c r="GK46" s="198"/>
      <c r="GL46" s="198"/>
      <c r="GM46" s="198"/>
      <c r="GN46" s="198"/>
      <c r="GO46" s="198"/>
      <c r="GP46" s="198"/>
      <c r="GQ46" s="198"/>
      <c r="GR46" s="198"/>
      <c r="GS46" s="198"/>
      <c r="GT46" s="198"/>
      <c r="GU46" s="198"/>
      <c r="GV46" s="198"/>
      <c r="GW46" s="198"/>
      <c r="GX46" s="198"/>
      <c r="GY46" s="198"/>
      <c r="GZ46" s="198"/>
      <c r="HA46" s="198"/>
      <c r="HB46" s="198"/>
      <c r="HC46" s="198"/>
      <c r="HD46" s="198"/>
      <c r="HE46" s="198"/>
      <c r="HF46" s="198"/>
      <c r="HG46" s="198"/>
      <c r="HH46" s="198"/>
      <c r="HI46" s="198"/>
      <c r="HJ46" s="198"/>
      <c r="HK46" s="198"/>
      <c r="HL46" s="198"/>
      <c r="HM46" s="198"/>
      <c r="HN46" s="198"/>
      <c r="HO46" s="198"/>
      <c r="HP46" s="198"/>
      <c r="HQ46" s="198"/>
      <c r="HR46" s="198"/>
      <c r="HS46" s="198"/>
      <c r="HT46" s="198"/>
      <c r="HU46" s="198"/>
      <c r="HV46" s="198"/>
      <c r="HW46" s="198"/>
      <c r="HX46" s="198"/>
      <c r="HY46" s="198"/>
      <c r="HZ46" s="198"/>
      <c r="IA46" s="198"/>
      <c r="IB46" s="198"/>
      <c r="IC46" s="198"/>
      <c r="ID46" s="198"/>
      <c r="IE46" s="198"/>
      <c r="IF46" s="198"/>
      <c r="IG46" s="198"/>
      <c r="IH46" s="198"/>
      <c r="II46" s="198"/>
      <c r="IJ46" s="198"/>
      <c r="IK46" s="198"/>
      <c r="IL46" s="198"/>
      <c r="IM46" s="198"/>
      <c r="IN46" s="198"/>
      <c r="IO46" s="198"/>
      <c r="IP46" s="198"/>
      <c r="IQ46" s="198"/>
      <c r="IR46" s="198"/>
      <c r="IS46" s="198"/>
      <c r="IT46" s="198"/>
      <c r="IU46" s="198"/>
      <c r="IV46" s="198"/>
    </row>
    <row r="47" s="199" customFormat="true" ht="12.75" hidden="false" customHeight="true" outlineLevel="0" collapsed="false">
      <c r="A47" s="157" t="str">
        <f aca="false">IF(Eingabe!A96="","",Eingabe!A96)</f>
        <v/>
      </c>
      <c r="B47" s="157"/>
      <c r="C47" s="157"/>
      <c r="D47" s="158" t="str">
        <f aca="false">IF(Eingabe!B96="","",Eingabe!B96)</f>
        <v/>
      </c>
      <c r="E47" s="158"/>
      <c r="F47" s="158"/>
      <c r="G47" s="158"/>
      <c r="H47" s="159" t="str">
        <f aca="false">IF(Eingabe!C96="","",Eingabe!C96)</f>
        <v/>
      </c>
      <c r="I47" s="159"/>
      <c r="J47" s="159"/>
      <c r="K47" s="159"/>
      <c r="L47" s="160" t="str">
        <f aca="false">IF(Eingabe!D96="","",Eingabe!D96)</f>
        <v/>
      </c>
      <c r="M47" s="160"/>
      <c r="N47" s="160"/>
      <c r="O47" s="160"/>
      <c r="P47" s="160"/>
      <c r="Q47" s="160"/>
      <c r="R47" s="160"/>
      <c r="S47" s="160"/>
      <c r="T47" s="160"/>
      <c r="U47" s="160"/>
      <c r="V47" s="160"/>
      <c r="W47" s="160"/>
      <c r="X47" s="160"/>
      <c r="Y47" s="160"/>
      <c r="Z47" s="160"/>
      <c r="AA47" s="160"/>
      <c r="AB47" s="160"/>
      <c r="AC47" s="160"/>
      <c r="AD47" s="160"/>
      <c r="AE47" s="160"/>
      <c r="AF47" s="160"/>
      <c r="AG47" s="160"/>
      <c r="AH47" s="200" t="str">
        <f aca="false">IF(Eingabe!F96&amp;Eingabe!G96="","",Eingabe!F96&amp;"  /  "&amp;Eingabe!G96)</f>
        <v/>
      </c>
      <c r="AI47" s="200"/>
      <c r="AJ47" s="200"/>
      <c r="AK47" s="200"/>
      <c r="AL47" s="200"/>
      <c r="AM47" s="200"/>
      <c r="AN47" s="200"/>
      <c r="AO47" s="200"/>
      <c r="AP47" s="200"/>
      <c r="AQ47" s="200"/>
      <c r="AR47" s="200"/>
      <c r="AS47" s="200"/>
      <c r="AT47" s="200"/>
      <c r="AU47" s="200"/>
      <c r="AV47" s="200"/>
      <c r="AW47" s="200"/>
      <c r="AX47" s="200"/>
      <c r="AY47" s="200"/>
      <c r="AZ47" s="200"/>
      <c r="BA47" s="200"/>
      <c r="BB47" s="200"/>
      <c r="BC47" s="200"/>
      <c r="BD47" s="200"/>
      <c r="BE47" s="201" t="str">
        <f aca="false">IF(Eingabe!I96="","",Eingabe!I96)</f>
        <v/>
      </c>
      <c r="BF47" s="201"/>
      <c r="BG47" s="201"/>
      <c r="BH47" s="201"/>
      <c r="BI47" s="201"/>
      <c r="BJ47" s="202" t="str">
        <f aca="false">IF(Eingabe!I96="","",Eingabe!I96*Eingabe!B96)</f>
        <v/>
      </c>
      <c r="BK47" s="202"/>
      <c r="BL47" s="202"/>
      <c r="BM47" s="202"/>
      <c r="BN47" s="202"/>
      <c r="BO47" s="198"/>
      <c r="BP47" s="198"/>
      <c r="BQ47" s="198"/>
      <c r="BR47" s="198"/>
      <c r="BS47" s="198"/>
      <c r="BT47" s="198"/>
      <c r="BU47" s="198"/>
      <c r="BV47" s="198"/>
      <c r="BW47" s="198"/>
      <c r="BX47" s="198"/>
      <c r="BY47" s="198"/>
      <c r="BZ47" s="198"/>
      <c r="CA47" s="198"/>
      <c r="CB47" s="198"/>
      <c r="CC47" s="198"/>
      <c r="CD47" s="198"/>
      <c r="CE47" s="198"/>
      <c r="CF47" s="198"/>
      <c r="CG47" s="198"/>
      <c r="CH47" s="198"/>
      <c r="CI47" s="198"/>
      <c r="CJ47" s="198"/>
      <c r="CK47" s="198"/>
      <c r="CL47" s="198"/>
      <c r="CM47" s="198"/>
      <c r="CN47" s="198"/>
      <c r="CO47" s="198"/>
      <c r="CP47" s="198"/>
      <c r="CQ47" s="198"/>
      <c r="CR47" s="198"/>
      <c r="CS47" s="198"/>
      <c r="CT47" s="198"/>
      <c r="CU47" s="198"/>
      <c r="CV47" s="198"/>
      <c r="CW47" s="198"/>
      <c r="CX47" s="198"/>
      <c r="CY47" s="198"/>
      <c r="CZ47" s="198"/>
      <c r="DA47" s="198"/>
      <c r="DB47" s="198"/>
      <c r="DC47" s="198"/>
      <c r="DD47" s="198"/>
      <c r="DE47" s="198"/>
      <c r="DF47" s="198"/>
      <c r="DG47" s="198"/>
      <c r="DH47" s="198"/>
      <c r="DI47" s="198"/>
      <c r="DJ47" s="198"/>
      <c r="DK47" s="198"/>
      <c r="DL47" s="198"/>
      <c r="DM47" s="198"/>
      <c r="DN47" s="198"/>
      <c r="DO47" s="198"/>
      <c r="DP47" s="198"/>
      <c r="DQ47" s="198"/>
      <c r="DR47" s="198"/>
      <c r="DS47" s="198"/>
      <c r="DT47" s="198"/>
      <c r="DU47" s="198"/>
      <c r="DV47" s="198"/>
      <c r="DW47" s="198"/>
      <c r="DX47" s="198"/>
      <c r="DY47" s="198"/>
      <c r="DZ47" s="198"/>
      <c r="EA47" s="198"/>
      <c r="EB47" s="198"/>
      <c r="EC47" s="198"/>
      <c r="ED47" s="198"/>
      <c r="EE47" s="198"/>
      <c r="EF47" s="198"/>
      <c r="EG47" s="198"/>
      <c r="EH47" s="198"/>
      <c r="EI47" s="198"/>
      <c r="EJ47" s="198"/>
      <c r="EK47" s="198"/>
      <c r="EL47" s="198"/>
      <c r="EM47" s="198"/>
      <c r="EN47" s="198"/>
      <c r="EO47" s="198"/>
      <c r="EP47" s="198"/>
      <c r="EQ47" s="198"/>
      <c r="ER47" s="198"/>
      <c r="ES47" s="198"/>
      <c r="ET47" s="198"/>
      <c r="EU47" s="198"/>
      <c r="EV47" s="198"/>
      <c r="EW47" s="198"/>
      <c r="EX47" s="198"/>
      <c r="EY47" s="198"/>
      <c r="EZ47" s="198"/>
      <c r="FA47" s="198"/>
      <c r="FB47" s="198"/>
      <c r="FC47" s="198"/>
      <c r="FD47" s="198"/>
      <c r="FE47" s="198"/>
      <c r="FF47" s="198"/>
      <c r="FG47" s="198"/>
      <c r="FH47" s="198"/>
      <c r="FI47" s="198"/>
      <c r="FJ47" s="198"/>
      <c r="FK47" s="198"/>
      <c r="FL47" s="198"/>
      <c r="FM47" s="198"/>
      <c r="FN47" s="198"/>
      <c r="FO47" s="198"/>
      <c r="FP47" s="198"/>
      <c r="FQ47" s="198"/>
      <c r="FR47" s="198"/>
      <c r="FS47" s="198"/>
      <c r="FT47" s="198"/>
      <c r="FU47" s="198"/>
      <c r="FV47" s="198"/>
      <c r="FW47" s="198"/>
      <c r="FX47" s="198"/>
      <c r="FY47" s="198"/>
      <c r="FZ47" s="198"/>
      <c r="GA47" s="198"/>
      <c r="GB47" s="198"/>
      <c r="GC47" s="198"/>
      <c r="GD47" s="198"/>
      <c r="GE47" s="198"/>
      <c r="GF47" s="198"/>
      <c r="GG47" s="198"/>
      <c r="GH47" s="198"/>
      <c r="GI47" s="198"/>
      <c r="GJ47" s="198"/>
      <c r="GK47" s="198"/>
      <c r="GL47" s="198"/>
      <c r="GM47" s="198"/>
      <c r="GN47" s="198"/>
      <c r="GO47" s="198"/>
      <c r="GP47" s="198"/>
      <c r="GQ47" s="198"/>
      <c r="GR47" s="198"/>
      <c r="GS47" s="198"/>
      <c r="GT47" s="198"/>
      <c r="GU47" s="198"/>
      <c r="GV47" s="198"/>
      <c r="GW47" s="198"/>
      <c r="GX47" s="198"/>
      <c r="GY47" s="198"/>
      <c r="GZ47" s="198"/>
      <c r="HA47" s="198"/>
      <c r="HB47" s="198"/>
      <c r="HC47" s="198"/>
      <c r="HD47" s="198"/>
      <c r="HE47" s="198"/>
      <c r="HF47" s="198"/>
      <c r="HG47" s="198"/>
      <c r="HH47" s="198"/>
      <c r="HI47" s="198"/>
      <c r="HJ47" s="198"/>
      <c r="HK47" s="198"/>
      <c r="HL47" s="198"/>
      <c r="HM47" s="198"/>
      <c r="HN47" s="198"/>
      <c r="HO47" s="198"/>
      <c r="HP47" s="198"/>
      <c r="HQ47" s="198"/>
      <c r="HR47" s="198"/>
      <c r="HS47" s="198"/>
      <c r="HT47" s="198"/>
      <c r="HU47" s="198"/>
      <c r="HV47" s="198"/>
      <c r="HW47" s="198"/>
      <c r="HX47" s="198"/>
      <c r="HY47" s="198"/>
      <c r="HZ47" s="198"/>
      <c r="IA47" s="198"/>
      <c r="IB47" s="198"/>
      <c r="IC47" s="198"/>
      <c r="ID47" s="198"/>
      <c r="IE47" s="198"/>
      <c r="IF47" s="198"/>
      <c r="IG47" s="198"/>
      <c r="IH47" s="198"/>
      <c r="II47" s="198"/>
      <c r="IJ47" s="198"/>
      <c r="IK47" s="198"/>
      <c r="IL47" s="198"/>
      <c r="IM47" s="198"/>
      <c r="IN47" s="198"/>
      <c r="IO47" s="198"/>
      <c r="IP47" s="198"/>
      <c r="IQ47" s="198"/>
      <c r="IR47" s="198"/>
      <c r="IS47" s="198"/>
      <c r="IT47" s="198"/>
      <c r="IU47" s="198"/>
      <c r="IV47" s="198"/>
    </row>
    <row r="48" s="199" customFormat="true" ht="12.75" hidden="false" customHeight="true" outlineLevel="0" collapsed="false">
      <c r="A48" s="203" t="str">
        <f aca="false">IF(Eingabe!A97="","",Eingabe!A97)</f>
        <v/>
      </c>
      <c r="B48" s="203"/>
      <c r="C48" s="203"/>
      <c r="D48" s="163" t="str">
        <f aca="false">IF(Eingabe!B97="","",Eingabe!B97)</f>
        <v/>
      </c>
      <c r="E48" s="163"/>
      <c r="F48" s="163"/>
      <c r="G48" s="163"/>
      <c r="H48" s="164" t="str">
        <f aca="false">IF(Eingabe!C97="","",Eingabe!C97)</f>
        <v/>
      </c>
      <c r="I48" s="164"/>
      <c r="J48" s="164"/>
      <c r="K48" s="164"/>
      <c r="L48" s="204" t="str">
        <f aca="false">IF(Eingabe!D97="","",Eingabe!D97)</f>
        <v/>
      </c>
      <c r="M48" s="204"/>
      <c r="N48" s="204"/>
      <c r="O48" s="204"/>
      <c r="P48" s="204"/>
      <c r="Q48" s="204"/>
      <c r="R48" s="204"/>
      <c r="S48" s="204"/>
      <c r="T48" s="204"/>
      <c r="U48" s="204"/>
      <c r="V48" s="204"/>
      <c r="W48" s="204"/>
      <c r="X48" s="204"/>
      <c r="Y48" s="204"/>
      <c r="Z48" s="204"/>
      <c r="AA48" s="204"/>
      <c r="AB48" s="204"/>
      <c r="AC48" s="204"/>
      <c r="AD48" s="204"/>
      <c r="AE48" s="204"/>
      <c r="AF48" s="204"/>
      <c r="AG48" s="204"/>
      <c r="AH48" s="200" t="str">
        <f aca="false">IF(Eingabe!F97&amp;Eingabe!G97="","",Eingabe!F97&amp;"  /  "&amp;Eingabe!G97)</f>
        <v/>
      </c>
      <c r="AI48" s="200"/>
      <c r="AJ48" s="200"/>
      <c r="AK48" s="200"/>
      <c r="AL48" s="200"/>
      <c r="AM48" s="200"/>
      <c r="AN48" s="200"/>
      <c r="AO48" s="200"/>
      <c r="AP48" s="200"/>
      <c r="AQ48" s="200"/>
      <c r="AR48" s="200"/>
      <c r="AS48" s="200"/>
      <c r="AT48" s="200"/>
      <c r="AU48" s="200"/>
      <c r="AV48" s="200"/>
      <c r="AW48" s="200"/>
      <c r="AX48" s="200"/>
      <c r="AY48" s="200"/>
      <c r="AZ48" s="200"/>
      <c r="BA48" s="200"/>
      <c r="BB48" s="200"/>
      <c r="BC48" s="200"/>
      <c r="BD48" s="200"/>
      <c r="BE48" s="205" t="str">
        <f aca="false">IF(Eingabe!I97="","",Eingabe!I97)</f>
        <v/>
      </c>
      <c r="BF48" s="205"/>
      <c r="BG48" s="205"/>
      <c r="BH48" s="205"/>
      <c r="BI48" s="205"/>
      <c r="BJ48" s="206" t="str">
        <f aca="false">IF(Eingabe!I97="","",Eingabe!I97*Eingabe!B97)</f>
        <v/>
      </c>
      <c r="BK48" s="206"/>
      <c r="BL48" s="206"/>
      <c r="BM48" s="206"/>
      <c r="BN48" s="206"/>
      <c r="BO48" s="198"/>
      <c r="BP48" s="198"/>
      <c r="BQ48" s="198"/>
      <c r="BR48" s="198"/>
      <c r="BS48" s="198"/>
      <c r="BT48" s="198"/>
      <c r="BU48" s="198"/>
      <c r="BV48" s="198"/>
      <c r="BW48" s="198"/>
      <c r="BX48" s="198"/>
      <c r="BY48" s="198"/>
      <c r="BZ48" s="198"/>
      <c r="CA48" s="198"/>
      <c r="CB48" s="198"/>
      <c r="CC48" s="198"/>
      <c r="CD48" s="198"/>
      <c r="CE48" s="198"/>
      <c r="CF48" s="198"/>
      <c r="CG48" s="198"/>
      <c r="CH48" s="198"/>
      <c r="CI48" s="198"/>
      <c r="CJ48" s="198"/>
      <c r="CK48" s="198"/>
      <c r="CL48" s="198"/>
      <c r="CM48" s="198"/>
      <c r="CN48" s="198"/>
      <c r="CO48" s="198"/>
      <c r="CP48" s="198"/>
      <c r="CQ48" s="198"/>
      <c r="CR48" s="198"/>
      <c r="CS48" s="198"/>
      <c r="CT48" s="198"/>
      <c r="CU48" s="198"/>
      <c r="CV48" s="198"/>
      <c r="CW48" s="198"/>
      <c r="CX48" s="198"/>
      <c r="CY48" s="198"/>
      <c r="CZ48" s="198"/>
      <c r="DA48" s="198"/>
      <c r="DB48" s="198"/>
      <c r="DC48" s="198"/>
      <c r="DD48" s="198"/>
      <c r="DE48" s="198"/>
      <c r="DF48" s="198"/>
      <c r="DG48" s="198"/>
      <c r="DH48" s="198"/>
      <c r="DI48" s="198"/>
      <c r="DJ48" s="198"/>
      <c r="DK48" s="198"/>
      <c r="DL48" s="198"/>
      <c r="DM48" s="198"/>
      <c r="DN48" s="198"/>
      <c r="DO48" s="198"/>
      <c r="DP48" s="198"/>
      <c r="DQ48" s="198"/>
      <c r="DR48" s="198"/>
      <c r="DS48" s="198"/>
      <c r="DT48" s="198"/>
      <c r="DU48" s="198"/>
      <c r="DV48" s="198"/>
      <c r="DW48" s="198"/>
      <c r="DX48" s="198"/>
      <c r="DY48" s="198"/>
      <c r="DZ48" s="198"/>
      <c r="EA48" s="198"/>
      <c r="EB48" s="198"/>
      <c r="EC48" s="198"/>
      <c r="ED48" s="198"/>
      <c r="EE48" s="198"/>
      <c r="EF48" s="198"/>
      <c r="EG48" s="198"/>
      <c r="EH48" s="198"/>
      <c r="EI48" s="198"/>
      <c r="EJ48" s="198"/>
      <c r="EK48" s="198"/>
      <c r="EL48" s="198"/>
      <c r="EM48" s="198"/>
      <c r="EN48" s="198"/>
      <c r="EO48" s="198"/>
      <c r="EP48" s="198"/>
      <c r="EQ48" s="198"/>
      <c r="ER48" s="198"/>
      <c r="ES48" s="198"/>
      <c r="ET48" s="198"/>
      <c r="EU48" s="198"/>
      <c r="EV48" s="198"/>
      <c r="EW48" s="198"/>
      <c r="EX48" s="198"/>
      <c r="EY48" s="198"/>
      <c r="EZ48" s="198"/>
      <c r="FA48" s="198"/>
      <c r="FB48" s="198"/>
      <c r="FC48" s="198"/>
      <c r="FD48" s="198"/>
      <c r="FE48" s="198"/>
      <c r="FF48" s="198"/>
      <c r="FG48" s="198"/>
      <c r="FH48" s="198"/>
      <c r="FI48" s="198"/>
      <c r="FJ48" s="198"/>
      <c r="FK48" s="198"/>
      <c r="FL48" s="198"/>
      <c r="FM48" s="198"/>
      <c r="FN48" s="198"/>
      <c r="FO48" s="198"/>
      <c r="FP48" s="198"/>
      <c r="FQ48" s="198"/>
      <c r="FR48" s="198"/>
      <c r="FS48" s="198"/>
      <c r="FT48" s="198"/>
      <c r="FU48" s="198"/>
      <c r="FV48" s="198"/>
      <c r="FW48" s="198"/>
      <c r="FX48" s="198"/>
      <c r="FY48" s="198"/>
      <c r="FZ48" s="198"/>
      <c r="GA48" s="198"/>
      <c r="GB48" s="198"/>
      <c r="GC48" s="198"/>
      <c r="GD48" s="198"/>
      <c r="GE48" s="198"/>
      <c r="GF48" s="198"/>
      <c r="GG48" s="198"/>
      <c r="GH48" s="198"/>
      <c r="GI48" s="198"/>
      <c r="GJ48" s="198"/>
      <c r="GK48" s="198"/>
      <c r="GL48" s="198"/>
      <c r="GM48" s="198"/>
      <c r="GN48" s="198"/>
      <c r="GO48" s="198"/>
      <c r="GP48" s="198"/>
      <c r="GQ48" s="198"/>
      <c r="GR48" s="198"/>
      <c r="GS48" s="198"/>
      <c r="GT48" s="198"/>
      <c r="GU48" s="198"/>
      <c r="GV48" s="198"/>
      <c r="GW48" s="198"/>
      <c r="GX48" s="198"/>
      <c r="GY48" s="198"/>
      <c r="GZ48" s="198"/>
      <c r="HA48" s="198"/>
      <c r="HB48" s="198"/>
      <c r="HC48" s="198"/>
      <c r="HD48" s="198"/>
      <c r="HE48" s="198"/>
      <c r="HF48" s="198"/>
      <c r="HG48" s="198"/>
      <c r="HH48" s="198"/>
      <c r="HI48" s="198"/>
      <c r="HJ48" s="198"/>
      <c r="HK48" s="198"/>
      <c r="HL48" s="198"/>
      <c r="HM48" s="198"/>
      <c r="HN48" s="198"/>
      <c r="HO48" s="198"/>
      <c r="HP48" s="198"/>
      <c r="HQ48" s="198"/>
      <c r="HR48" s="198"/>
      <c r="HS48" s="198"/>
      <c r="HT48" s="198"/>
      <c r="HU48" s="198"/>
      <c r="HV48" s="198"/>
      <c r="HW48" s="198"/>
      <c r="HX48" s="198"/>
      <c r="HY48" s="198"/>
      <c r="HZ48" s="198"/>
      <c r="IA48" s="198"/>
      <c r="IB48" s="198"/>
      <c r="IC48" s="198"/>
      <c r="ID48" s="198"/>
      <c r="IE48" s="198"/>
      <c r="IF48" s="198"/>
      <c r="IG48" s="198"/>
      <c r="IH48" s="198"/>
      <c r="II48" s="198"/>
      <c r="IJ48" s="198"/>
      <c r="IK48" s="198"/>
      <c r="IL48" s="198"/>
      <c r="IM48" s="198"/>
      <c r="IN48" s="198"/>
      <c r="IO48" s="198"/>
      <c r="IP48" s="198"/>
      <c r="IQ48" s="198"/>
      <c r="IR48" s="198"/>
      <c r="IS48" s="198"/>
      <c r="IT48" s="198"/>
      <c r="IU48" s="198"/>
      <c r="IV48" s="198"/>
    </row>
    <row r="49" s="199" customFormat="true" ht="19.5" hidden="false" customHeight="true" outlineLevel="0" collapsed="false">
      <c r="A49" s="207"/>
      <c r="B49" s="207"/>
      <c r="C49" s="207"/>
      <c r="D49" s="207"/>
      <c r="E49" s="207"/>
      <c r="F49" s="207"/>
      <c r="G49" s="207"/>
      <c r="H49" s="207"/>
      <c r="I49" s="207"/>
      <c r="J49" s="207"/>
      <c r="K49" s="207"/>
      <c r="L49" s="207"/>
      <c r="M49" s="207"/>
      <c r="N49" s="207"/>
      <c r="O49" s="207"/>
      <c r="P49" s="207"/>
      <c r="Q49" s="207"/>
      <c r="R49" s="207"/>
      <c r="S49" s="207"/>
      <c r="T49" s="207"/>
      <c r="U49" s="207"/>
      <c r="V49" s="207"/>
      <c r="W49" s="207"/>
      <c r="X49" s="207"/>
      <c r="Y49" s="207"/>
      <c r="Z49" s="207"/>
      <c r="AA49" s="207"/>
      <c r="AB49" s="207"/>
      <c r="AC49" s="207"/>
      <c r="AD49" s="207"/>
      <c r="AE49" s="207"/>
      <c r="AF49" s="207"/>
      <c r="AG49" s="207"/>
      <c r="AH49" s="208" t="s">
        <v>107</v>
      </c>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15" t="n">
        <f aca="false">'Materialkalkulation (1)'!BE52:BN52</f>
        <v>108.63556</v>
      </c>
      <c r="BF49" s="215"/>
      <c r="BG49" s="215"/>
      <c r="BH49" s="215"/>
      <c r="BI49" s="215"/>
      <c r="BJ49" s="215"/>
      <c r="BK49" s="215"/>
      <c r="BL49" s="215"/>
      <c r="BM49" s="215"/>
      <c r="BN49" s="215"/>
      <c r="BO49" s="198"/>
      <c r="BP49" s="198"/>
      <c r="BQ49" s="198"/>
      <c r="BR49" s="198"/>
      <c r="BS49" s="198"/>
      <c r="BT49" s="198"/>
      <c r="BU49" s="198"/>
      <c r="BV49" s="198"/>
      <c r="BW49" s="198"/>
      <c r="BX49" s="198"/>
      <c r="BY49" s="198"/>
      <c r="BZ49" s="198"/>
      <c r="CA49" s="198"/>
      <c r="CB49" s="198"/>
      <c r="CC49" s="198"/>
      <c r="CD49" s="198"/>
      <c r="CE49" s="198"/>
      <c r="CF49" s="198"/>
      <c r="CG49" s="198"/>
      <c r="CH49" s="198"/>
      <c r="CI49" s="198"/>
      <c r="CJ49" s="198"/>
      <c r="CK49" s="198"/>
      <c r="CL49" s="198"/>
      <c r="CM49" s="198"/>
      <c r="CN49" s="198"/>
      <c r="CO49" s="198"/>
      <c r="CP49" s="198"/>
      <c r="CQ49" s="198"/>
      <c r="CR49" s="198"/>
      <c r="CS49" s="198"/>
      <c r="CT49" s="198"/>
      <c r="CU49" s="198"/>
      <c r="CV49" s="198"/>
      <c r="CW49" s="198"/>
      <c r="CX49" s="198"/>
      <c r="CY49" s="198"/>
      <c r="CZ49" s="198"/>
      <c r="DA49" s="198"/>
      <c r="DB49" s="198"/>
      <c r="DC49" s="198"/>
      <c r="DD49" s="198"/>
      <c r="DE49" s="198"/>
      <c r="DF49" s="198"/>
      <c r="DG49" s="198"/>
      <c r="DH49" s="198"/>
      <c r="DI49" s="198"/>
      <c r="DJ49" s="198"/>
      <c r="DK49" s="198"/>
      <c r="DL49" s="198"/>
      <c r="DM49" s="198"/>
      <c r="DN49" s="198"/>
      <c r="DO49" s="198"/>
      <c r="DP49" s="198"/>
      <c r="DQ49" s="198"/>
      <c r="DR49" s="198"/>
      <c r="DS49" s="198"/>
      <c r="DT49" s="198"/>
      <c r="DU49" s="198"/>
      <c r="DV49" s="198"/>
      <c r="DW49" s="198"/>
      <c r="DX49" s="198"/>
      <c r="DY49" s="198"/>
      <c r="DZ49" s="198"/>
      <c r="EA49" s="198"/>
      <c r="EB49" s="198"/>
      <c r="EC49" s="198"/>
      <c r="ED49" s="198"/>
      <c r="EE49" s="198"/>
      <c r="EF49" s="198"/>
      <c r="EG49" s="198"/>
      <c r="EH49" s="198"/>
      <c r="EI49" s="198"/>
      <c r="EJ49" s="198"/>
      <c r="EK49" s="198"/>
      <c r="EL49" s="198"/>
      <c r="EM49" s="198"/>
      <c r="EN49" s="198"/>
      <c r="EO49" s="198"/>
      <c r="EP49" s="198"/>
      <c r="EQ49" s="198"/>
      <c r="ER49" s="198"/>
      <c r="ES49" s="198"/>
      <c r="ET49" s="198"/>
      <c r="EU49" s="198"/>
      <c r="EV49" s="198"/>
      <c r="EW49" s="198"/>
      <c r="EX49" s="198"/>
      <c r="EY49" s="198"/>
      <c r="EZ49" s="198"/>
      <c r="FA49" s="198"/>
      <c r="FB49" s="198"/>
      <c r="FC49" s="198"/>
      <c r="FD49" s="198"/>
      <c r="FE49" s="198"/>
      <c r="FF49" s="198"/>
      <c r="FG49" s="198"/>
      <c r="FH49" s="198"/>
      <c r="FI49" s="198"/>
      <c r="FJ49" s="198"/>
      <c r="FK49" s="198"/>
      <c r="FL49" s="198"/>
      <c r="FM49" s="198"/>
      <c r="FN49" s="198"/>
      <c r="FO49" s="198"/>
      <c r="FP49" s="198"/>
      <c r="FQ49" s="198"/>
      <c r="FR49" s="198"/>
      <c r="FS49" s="198"/>
      <c r="FT49" s="198"/>
      <c r="FU49" s="198"/>
      <c r="FV49" s="198"/>
      <c r="FW49" s="198"/>
      <c r="FX49" s="198"/>
      <c r="FY49" s="198"/>
      <c r="FZ49" s="198"/>
      <c r="GA49" s="198"/>
      <c r="GB49" s="198"/>
      <c r="GC49" s="198"/>
      <c r="GD49" s="198"/>
      <c r="GE49" s="198"/>
      <c r="GF49" s="198"/>
      <c r="GG49" s="198"/>
      <c r="GH49" s="198"/>
      <c r="GI49" s="198"/>
      <c r="GJ49" s="198"/>
      <c r="GK49" s="198"/>
      <c r="GL49" s="198"/>
      <c r="GM49" s="198"/>
      <c r="GN49" s="198"/>
      <c r="GO49" s="198"/>
      <c r="GP49" s="198"/>
      <c r="GQ49" s="198"/>
      <c r="GR49" s="198"/>
      <c r="GS49" s="198"/>
      <c r="GT49" s="198"/>
      <c r="GU49" s="198"/>
      <c r="GV49" s="198"/>
      <c r="GW49" s="198"/>
      <c r="GX49" s="198"/>
      <c r="GY49" s="198"/>
      <c r="GZ49" s="198"/>
      <c r="HA49" s="198"/>
      <c r="HB49" s="198"/>
      <c r="HC49" s="198"/>
      <c r="HD49" s="198"/>
      <c r="HE49" s="198"/>
      <c r="HF49" s="198"/>
      <c r="HG49" s="198"/>
      <c r="HH49" s="198"/>
      <c r="HI49" s="198"/>
      <c r="HJ49" s="198"/>
      <c r="HK49" s="198"/>
      <c r="HL49" s="198"/>
      <c r="HM49" s="198"/>
      <c r="HN49" s="198"/>
      <c r="HO49" s="198"/>
      <c r="HP49" s="198"/>
      <c r="HQ49" s="198"/>
      <c r="HR49" s="198"/>
      <c r="HS49" s="198"/>
      <c r="HT49" s="198"/>
      <c r="HU49" s="198"/>
      <c r="HV49" s="198"/>
      <c r="HW49" s="198"/>
      <c r="HX49" s="198"/>
      <c r="HY49" s="198"/>
      <c r="HZ49" s="198"/>
      <c r="IA49" s="198"/>
      <c r="IB49" s="198"/>
      <c r="IC49" s="198"/>
      <c r="ID49" s="198"/>
      <c r="IE49" s="198"/>
      <c r="IF49" s="198"/>
      <c r="IG49" s="198"/>
      <c r="IH49" s="198"/>
      <c r="II49" s="198"/>
      <c r="IJ49" s="198"/>
      <c r="IK49" s="198"/>
      <c r="IL49" s="198"/>
      <c r="IM49" s="198"/>
      <c r="IN49" s="198"/>
      <c r="IO49" s="198"/>
      <c r="IP49" s="198"/>
      <c r="IQ49" s="198"/>
      <c r="IR49" s="198"/>
      <c r="IS49" s="198"/>
      <c r="IT49" s="198"/>
      <c r="IU49" s="198"/>
      <c r="IV49" s="198"/>
    </row>
    <row r="50" s="199" customFormat="true" ht="19.5" hidden="false" customHeight="true" outlineLevel="0" collapsed="false">
      <c r="A50" s="207"/>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c r="AA50" s="207"/>
      <c r="AB50" s="207"/>
      <c r="AC50" s="207"/>
      <c r="AD50" s="207"/>
      <c r="AE50" s="207"/>
      <c r="AF50" s="207"/>
      <c r="AG50" s="207"/>
      <c r="AH50" s="210" t="s">
        <v>108</v>
      </c>
      <c r="AI50" s="210"/>
      <c r="AJ50" s="210"/>
      <c r="AK50" s="210"/>
      <c r="AL50" s="210"/>
      <c r="AM50" s="210"/>
      <c r="AN50" s="210"/>
      <c r="AO50" s="210"/>
      <c r="AP50" s="210"/>
      <c r="AQ50" s="210"/>
      <c r="AR50" s="210"/>
      <c r="AS50" s="210"/>
      <c r="AT50" s="210"/>
      <c r="AU50" s="210"/>
      <c r="AV50" s="210"/>
      <c r="AW50" s="210"/>
      <c r="AX50" s="210"/>
      <c r="AY50" s="210"/>
      <c r="AZ50" s="210"/>
      <c r="BA50" s="210"/>
      <c r="BB50" s="210"/>
      <c r="BC50" s="210"/>
      <c r="BD50" s="210"/>
      <c r="BE50" s="211" t="n">
        <f aca="false">SUM(BJ4:BN48)</f>
        <v>0</v>
      </c>
      <c r="BF50" s="211"/>
      <c r="BG50" s="211"/>
      <c r="BH50" s="211"/>
      <c r="BI50" s="211"/>
      <c r="BJ50" s="211"/>
      <c r="BK50" s="211"/>
      <c r="BL50" s="211"/>
      <c r="BM50" s="211"/>
      <c r="BN50" s="211"/>
      <c r="BO50" s="198"/>
      <c r="BP50" s="198"/>
      <c r="BQ50" s="198"/>
      <c r="BR50" s="198"/>
      <c r="BS50" s="198"/>
      <c r="BT50" s="198"/>
      <c r="BU50" s="198"/>
      <c r="BV50" s="198"/>
      <c r="BW50" s="198"/>
      <c r="BX50" s="198"/>
      <c r="BY50" s="198"/>
      <c r="BZ50" s="198"/>
      <c r="CA50" s="198"/>
      <c r="CB50" s="198"/>
      <c r="CC50" s="198"/>
      <c r="CD50" s="198"/>
      <c r="CE50" s="198"/>
      <c r="CF50" s="198"/>
      <c r="CG50" s="198"/>
      <c r="CH50" s="198"/>
      <c r="CI50" s="198"/>
      <c r="CJ50" s="198"/>
      <c r="CK50" s="198"/>
      <c r="CL50" s="198"/>
      <c r="CM50" s="198"/>
      <c r="CN50" s="198"/>
      <c r="CO50" s="198"/>
      <c r="CP50" s="198"/>
      <c r="CQ50" s="198"/>
      <c r="CR50" s="198"/>
      <c r="CS50" s="198"/>
      <c r="CT50" s="198"/>
      <c r="CU50" s="198"/>
      <c r="CV50" s="198"/>
      <c r="CW50" s="198"/>
      <c r="CX50" s="198"/>
      <c r="CY50" s="198"/>
      <c r="CZ50" s="198"/>
      <c r="DA50" s="198"/>
      <c r="DB50" s="198"/>
      <c r="DC50" s="198"/>
      <c r="DD50" s="198"/>
      <c r="DE50" s="198"/>
      <c r="DF50" s="198"/>
      <c r="DG50" s="198"/>
      <c r="DH50" s="198"/>
      <c r="DI50" s="198"/>
      <c r="DJ50" s="198"/>
      <c r="DK50" s="198"/>
      <c r="DL50" s="198"/>
      <c r="DM50" s="198"/>
      <c r="DN50" s="198"/>
      <c r="DO50" s="198"/>
      <c r="DP50" s="198"/>
      <c r="DQ50" s="198"/>
      <c r="DR50" s="198"/>
      <c r="DS50" s="198"/>
      <c r="DT50" s="198"/>
      <c r="DU50" s="198"/>
      <c r="DV50" s="198"/>
      <c r="DW50" s="198"/>
      <c r="DX50" s="198"/>
      <c r="DY50" s="198"/>
      <c r="DZ50" s="198"/>
      <c r="EA50" s="198"/>
      <c r="EB50" s="198"/>
      <c r="EC50" s="198"/>
      <c r="ED50" s="198"/>
      <c r="EE50" s="198"/>
      <c r="EF50" s="198"/>
      <c r="EG50" s="198"/>
      <c r="EH50" s="198"/>
      <c r="EI50" s="198"/>
      <c r="EJ50" s="198"/>
      <c r="EK50" s="198"/>
      <c r="EL50" s="198"/>
      <c r="EM50" s="198"/>
      <c r="EN50" s="198"/>
      <c r="EO50" s="198"/>
      <c r="EP50" s="198"/>
      <c r="EQ50" s="198"/>
      <c r="ER50" s="198"/>
      <c r="ES50" s="198"/>
      <c r="ET50" s="198"/>
      <c r="EU50" s="198"/>
      <c r="EV50" s="198"/>
      <c r="EW50" s="198"/>
      <c r="EX50" s="198"/>
      <c r="EY50" s="198"/>
      <c r="EZ50" s="198"/>
      <c r="FA50" s="198"/>
      <c r="FB50" s="198"/>
      <c r="FC50" s="198"/>
      <c r="FD50" s="198"/>
      <c r="FE50" s="198"/>
      <c r="FF50" s="198"/>
      <c r="FG50" s="198"/>
      <c r="FH50" s="198"/>
      <c r="FI50" s="198"/>
      <c r="FJ50" s="198"/>
      <c r="FK50" s="198"/>
      <c r="FL50" s="198"/>
      <c r="FM50" s="198"/>
      <c r="FN50" s="198"/>
      <c r="FO50" s="198"/>
      <c r="FP50" s="198"/>
      <c r="FQ50" s="198"/>
      <c r="FR50" s="198"/>
      <c r="FS50" s="198"/>
      <c r="FT50" s="198"/>
      <c r="FU50" s="198"/>
      <c r="FV50" s="198"/>
      <c r="FW50" s="198"/>
      <c r="FX50" s="198"/>
      <c r="FY50" s="198"/>
      <c r="FZ50" s="198"/>
      <c r="GA50" s="198"/>
      <c r="GB50" s="198"/>
      <c r="GC50" s="198"/>
      <c r="GD50" s="198"/>
      <c r="GE50" s="198"/>
      <c r="GF50" s="198"/>
      <c r="GG50" s="198"/>
      <c r="GH50" s="198"/>
      <c r="GI50" s="198"/>
      <c r="GJ50" s="198"/>
      <c r="GK50" s="198"/>
      <c r="GL50" s="198"/>
      <c r="GM50" s="198"/>
      <c r="GN50" s="198"/>
      <c r="GO50" s="198"/>
      <c r="GP50" s="198"/>
      <c r="GQ50" s="198"/>
      <c r="GR50" s="198"/>
      <c r="GS50" s="198"/>
      <c r="GT50" s="198"/>
      <c r="GU50" s="198"/>
      <c r="GV50" s="198"/>
      <c r="GW50" s="198"/>
      <c r="GX50" s="198"/>
      <c r="GY50" s="198"/>
      <c r="GZ50" s="198"/>
      <c r="HA50" s="198"/>
      <c r="HB50" s="198"/>
      <c r="HC50" s="198"/>
      <c r="HD50" s="198"/>
      <c r="HE50" s="198"/>
      <c r="HF50" s="198"/>
      <c r="HG50" s="198"/>
      <c r="HH50" s="198"/>
      <c r="HI50" s="198"/>
      <c r="HJ50" s="198"/>
      <c r="HK50" s="198"/>
      <c r="HL50" s="198"/>
      <c r="HM50" s="198"/>
      <c r="HN50" s="198"/>
      <c r="HO50" s="198"/>
      <c r="HP50" s="198"/>
      <c r="HQ50" s="198"/>
      <c r="HR50" s="198"/>
      <c r="HS50" s="198"/>
      <c r="HT50" s="198"/>
      <c r="HU50" s="198"/>
      <c r="HV50" s="198"/>
      <c r="HW50" s="198"/>
      <c r="HX50" s="198"/>
      <c r="HY50" s="198"/>
      <c r="HZ50" s="198"/>
      <c r="IA50" s="198"/>
      <c r="IB50" s="198"/>
      <c r="IC50" s="198"/>
      <c r="ID50" s="198"/>
      <c r="IE50" s="198"/>
      <c r="IF50" s="198"/>
      <c r="IG50" s="198"/>
      <c r="IH50" s="198"/>
      <c r="II50" s="198"/>
      <c r="IJ50" s="198"/>
      <c r="IK50" s="198"/>
      <c r="IL50" s="198"/>
      <c r="IM50" s="198"/>
      <c r="IN50" s="198"/>
      <c r="IO50" s="198"/>
      <c r="IP50" s="198"/>
      <c r="IQ50" s="198"/>
      <c r="IR50" s="198"/>
      <c r="IS50" s="198"/>
      <c r="IT50" s="198"/>
      <c r="IU50" s="198"/>
      <c r="IV50" s="198"/>
    </row>
    <row r="51" s="199" customFormat="true" ht="19.5" hidden="false" customHeight="true" outlineLevel="0" collapsed="false">
      <c r="A51" s="207"/>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c r="AA51" s="207"/>
      <c r="AB51" s="207"/>
      <c r="AC51" s="207"/>
      <c r="AD51" s="207"/>
      <c r="AE51" s="207"/>
      <c r="AF51" s="207"/>
      <c r="AG51" s="207"/>
      <c r="AH51" s="210" t="s">
        <v>109</v>
      </c>
      <c r="AI51" s="210"/>
      <c r="AJ51" s="210"/>
      <c r="AK51" s="210"/>
      <c r="AL51" s="210"/>
      <c r="AM51" s="210"/>
      <c r="AN51" s="210"/>
      <c r="AO51" s="210"/>
      <c r="AP51" s="210"/>
      <c r="AQ51" s="210"/>
      <c r="AR51" s="210"/>
      <c r="AS51" s="210"/>
      <c r="AT51" s="210"/>
      <c r="AU51" s="210"/>
      <c r="AV51" s="210"/>
      <c r="AW51" s="210"/>
      <c r="AX51" s="210"/>
      <c r="AY51" s="210"/>
      <c r="AZ51" s="210"/>
      <c r="BA51" s="210"/>
      <c r="BB51" s="210"/>
      <c r="BC51" s="210"/>
      <c r="BD51" s="210"/>
      <c r="BE51" s="212" t="n">
        <f aca="false">BE50*0.1</f>
        <v>0</v>
      </c>
      <c r="BF51" s="212"/>
      <c r="BG51" s="212"/>
      <c r="BH51" s="212"/>
      <c r="BI51" s="212"/>
      <c r="BJ51" s="212"/>
      <c r="BK51" s="212"/>
      <c r="BL51" s="212"/>
      <c r="BM51" s="212"/>
      <c r="BN51" s="212"/>
      <c r="BO51" s="198"/>
      <c r="BP51" s="198"/>
      <c r="BQ51" s="198"/>
      <c r="BR51" s="198"/>
      <c r="BS51" s="198"/>
      <c r="BT51" s="198"/>
      <c r="BU51" s="198"/>
      <c r="BV51" s="198"/>
      <c r="BW51" s="198"/>
      <c r="BX51" s="198"/>
      <c r="BY51" s="198"/>
      <c r="BZ51" s="198"/>
      <c r="CA51" s="198"/>
      <c r="CB51" s="198"/>
      <c r="CC51" s="198"/>
      <c r="CD51" s="198"/>
      <c r="CE51" s="198"/>
      <c r="CF51" s="198"/>
      <c r="CG51" s="198"/>
      <c r="CH51" s="198"/>
      <c r="CI51" s="198"/>
      <c r="CJ51" s="198"/>
      <c r="CK51" s="198"/>
      <c r="CL51" s="198"/>
      <c r="CM51" s="198"/>
      <c r="CN51" s="198"/>
      <c r="CO51" s="198"/>
      <c r="CP51" s="198"/>
      <c r="CQ51" s="198"/>
      <c r="CR51" s="198"/>
      <c r="CS51" s="198"/>
      <c r="CT51" s="198"/>
      <c r="CU51" s="198"/>
      <c r="CV51" s="198"/>
      <c r="CW51" s="198"/>
      <c r="CX51" s="198"/>
      <c r="CY51" s="198"/>
      <c r="CZ51" s="198"/>
      <c r="DA51" s="198"/>
      <c r="DB51" s="198"/>
      <c r="DC51" s="198"/>
      <c r="DD51" s="198"/>
      <c r="DE51" s="198"/>
      <c r="DF51" s="198"/>
      <c r="DG51" s="198"/>
      <c r="DH51" s="198"/>
      <c r="DI51" s="198"/>
      <c r="DJ51" s="198"/>
      <c r="DK51" s="198"/>
      <c r="DL51" s="198"/>
      <c r="DM51" s="198"/>
      <c r="DN51" s="198"/>
      <c r="DO51" s="198"/>
      <c r="DP51" s="198"/>
      <c r="DQ51" s="198"/>
      <c r="DR51" s="198"/>
      <c r="DS51" s="198"/>
      <c r="DT51" s="198"/>
      <c r="DU51" s="198"/>
      <c r="DV51" s="198"/>
      <c r="DW51" s="198"/>
      <c r="DX51" s="198"/>
      <c r="DY51" s="198"/>
      <c r="DZ51" s="198"/>
      <c r="EA51" s="198"/>
      <c r="EB51" s="198"/>
      <c r="EC51" s="198"/>
      <c r="ED51" s="198"/>
      <c r="EE51" s="198"/>
      <c r="EF51" s="198"/>
      <c r="EG51" s="198"/>
      <c r="EH51" s="198"/>
      <c r="EI51" s="198"/>
      <c r="EJ51" s="198"/>
      <c r="EK51" s="198"/>
      <c r="EL51" s="198"/>
      <c r="EM51" s="198"/>
      <c r="EN51" s="198"/>
      <c r="EO51" s="198"/>
      <c r="EP51" s="198"/>
      <c r="EQ51" s="198"/>
      <c r="ER51" s="198"/>
      <c r="ES51" s="198"/>
      <c r="ET51" s="198"/>
      <c r="EU51" s="198"/>
      <c r="EV51" s="198"/>
      <c r="EW51" s="198"/>
      <c r="EX51" s="198"/>
      <c r="EY51" s="198"/>
      <c r="EZ51" s="198"/>
      <c r="FA51" s="198"/>
      <c r="FB51" s="198"/>
      <c r="FC51" s="198"/>
      <c r="FD51" s="198"/>
      <c r="FE51" s="198"/>
      <c r="FF51" s="198"/>
      <c r="FG51" s="198"/>
      <c r="FH51" s="198"/>
      <c r="FI51" s="198"/>
      <c r="FJ51" s="198"/>
      <c r="FK51" s="198"/>
      <c r="FL51" s="198"/>
      <c r="FM51" s="198"/>
      <c r="FN51" s="198"/>
      <c r="FO51" s="198"/>
      <c r="FP51" s="198"/>
      <c r="FQ51" s="198"/>
      <c r="FR51" s="198"/>
      <c r="FS51" s="198"/>
      <c r="FT51" s="198"/>
      <c r="FU51" s="198"/>
      <c r="FV51" s="198"/>
      <c r="FW51" s="198"/>
      <c r="FX51" s="198"/>
      <c r="FY51" s="198"/>
      <c r="FZ51" s="198"/>
      <c r="GA51" s="198"/>
      <c r="GB51" s="198"/>
      <c r="GC51" s="198"/>
      <c r="GD51" s="198"/>
      <c r="GE51" s="198"/>
      <c r="GF51" s="198"/>
      <c r="GG51" s="198"/>
      <c r="GH51" s="198"/>
      <c r="GI51" s="198"/>
      <c r="GJ51" s="198"/>
      <c r="GK51" s="198"/>
      <c r="GL51" s="198"/>
      <c r="GM51" s="198"/>
      <c r="GN51" s="198"/>
      <c r="GO51" s="198"/>
      <c r="GP51" s="198"/>
      <c r="GQ51" s="198"/>
      <c r="GR51" s="198"/>
      <c r="GS51" s="198"/>
      <c r="GT51" s="198"/>
      <c r="GU51" s="198"/>
      <c r="GV51" s="198"/>
      <c r="GW51" s="198"/>
      <c r="GX51" s="198"/>
      <c r="GY51" s="198"/>
      <c r="GZ51" s="198"/>
      <c r="HA51" s="198"/>
      <c r="HB51" s="198"/>
      <c r="HC51" s="198"/>
      <c r="HD51" s="198"/>
      <c r="HE51" s="198"/>
      <c r="HF51" s="198"/>
      <c r="HG51" s="198"/>
      <c r="HH51" s="198"/>
      <c r="HI51" s="198"/>
      <c r="HJ51" s="198"/>
      <c r="HK51" s="198"/>
      <c r="HL51" s="198"/>
      <c r="HM51" s="198"/>
      <c r="HN51" s="198"/>
      <c r="HO51" s="198"/>
      <c r="HP51" s="198"/>
      <c r="HQ51" s="198"/>
      <c r="HR51" s="198"/>
      <c r="HS51" s="198"/>
      <c r="HT51" s="198"/>
      <c r="HU51" s="198"/>
      <c r="HV51" s="198"/>
      <c r="HW51" s="198"/>
      <c r="HX51" s="198"/>
      <c r="HY51" s="198"/>
      <c r="HZ51" s="198"/>
      <c r="IA51" s="198"/>
      <c r="IB51" s="198"/>
      <c r="IC51" s="198"/>
      <c r="ID51" s="198"/>
      <c r="IE51" s="198"/>
      <c r="IF51" s="198"/>
      <c r="IG51" s="198"/>
      <c r="IH51" s="198"/>
      <c r="II51" s="198"/>
      <c r="IJ51" s="198"/>
      <c r="IK51" s="198"/>
      <c r="IL51" s="198"/>
      <c r="IM51" s="198"/>
      <c r="IN51" s="198"/>
      <c r="IO51" s="198"/>
      <c r="IP51" s="198"/>
      <c r="IQ51" s="198"/>
      <c r="IR51" s="198"/>
      <c r="IS51" s="198"/>
      <c r="IT51" s="198"/>
      <c r="IU51" s="198"/>
      <c r="IV51" s="198"/>
    </row>
    <row r="52" customFormat="false" ht="19.5" hidden="false" customHeight="true" outlineLevel="0" collapsed="false">
      <c r="A52" s="207"/>
      <c r="B52" s="207"/>
      <c r="C52" s="207"/>
      <c r="D52" s="207"/>
      <c r="E52" s="207"/>
      <c r="F52" s="207"/>
      <c r="G52" s="207"/>
      <c r="H52" s="207"/>
      <c r="I52" s="207"/>
      <c r="J52" s="207"/>
      <c r="K52" s="207"/>
      <c r="L52" s="207"/>
      <c r="M52" s="207"/>
      <c r="N52" s="207"/>
      <c r="O52" s="207"/>
      <c r="P52" s="207"/>
      <c r="Q52" s="207"/>
      <c r="R52" s="207"/>
      <c r="S52" s="207"/>
      <c r="T52" s="207"/>
      <c r="U52" s="207"/>
      <c r="V52" s="207"/>
      <c r="W52" s="207"/>
      <c r="X52" s="207"/>
      <c r="Y52" s="207"/>
      <c r="Z52" s="207"/>
      <c r="AA52" s="207"/>
      <c r="AB52" s="207"/>
      <c r="AC52" s="207"/>
      <c r="AD52" s="207"/>
      <c r="AE52" s="207"/>
      <c r="AF52" s="207"/>
      <c r="AG52" s="207"/>
      <c r="AH52" s="213" t="s">
        <v>110</v>
      </c>
      <c r="AI52" s="213"/>
      <c r="AJ52" s="213"/>
      <c r="AK52" s="213"/>
      <c r="AL52" s="213"/>
      <c r="AM52" s="213"/>
      <c r="AN52" s="213"/>
      <c r="AO52" s="213"/>
      <c r="AP52" s="213"/>
      <c r="AQ52" s="213"/>
      <c r="AR52" s="213"/>
      <c r="AS52" s="213"/>
      <c r="AT52" s="213"/>
      <c r="AU52" s="213"/>
      <c r="AV52" s="213"/>
      <c r="AW52" s="213"/>
      <c r="AX52" s="213"/>
      <c r="AY52" s="213"/>
      <c r="AZ52" s="213"/>
      <c r="BA52" s="213"/>
      <c r="BB52" s="213"/>
      <c r="BC52" s="213"/>
      <c r="BD52" s="213"/>
      <c r="BE52" s="212" t="n">
        <f aca="false">SUM(BE49:BN51)</f>
        <v>108.63556</v>
      </c>
      <c r="BF52" s="212"/>
      <c r="BG52" s="212"/>
      <c r="BH52" s="212"/>
      <c r="BI52" s="212"/>
      <c r="BJ52" s="212"/>
      <c r="BK52" s="212"/>
      <c r="BL52" s="212"/>
      <c r="BM52" s="212"/>
      <c r="BN52" s="212"/>
      <c r="BO52" s="198"/>
      <c r="BP52" s="198"/>
      <c r="BQ52" s="198"/>
      <c r="BR52" s="198"/>
      <c r="BS52" s="198"/>
      <c r="BT52" s="198"/>
      <c r="BU52" s="198"/>
      <c r="BV52" s="198"/>
      <c r="BW52" s="198"/>
      <c r="BX52" s="198"/>
      <c r="BY52" s="198"/>
      <c r="BZ52" s="198"/>
      <c r="CA52" s="198"/>
      <c r="CB52" s="198"/>
      <c r="CC52" s="198"/>
      <c r="CD52" s="198"/>
      <c r="CE52" s="198"/>
      <c r="CF52" s="198"/>
      <c r="CG52" s="198"/>
      <c r="CH52" s="198"/>
      <c r="CI52" s="198"/>
      <c r="CJ52" s="198"/>
      <c r="CK52" s="198"/>
      <c r="CL52" s="198"/>
      <c r="CM52" s="198"/>
      <c r="CN52" s="198"/>
      <c r="CO52" s="198"/>
      <c r="CP52" s="198"/>
      <c r="CQ52" s="198"/>
      <c r="CR52" s="198"/>
      <c r="CS52" s="198"/>
      <c r="CT52" s="198"/>
      <c r="CU52" s="198"/>
      <c r="CV52" s="198"/>
      <c r="CW52" s="198"/>
      <c r="CX52" s="198"/>
      <c r="CY52" s="198"/>
      <c r="CZ52" s="198"/>
      <c r="DA52" s="198"/>
      <c r="DB52" s="198"/>
      <c r="DC52" s="198"/>
      <c r="DD52" s="198"/>
      <c r="DE52" s="198"/>
      <c r="DF52" s="198"/>
      <c r="DG52" s="198"/>
      <c r="DH52" s="198"/>
      <c r="DI52" s="198"/>
      <c r="DJ52" s="198"/>
      <c r="DK52" s="198"/>
      <c r="DL52" s="198"/>
      <c r="DM52" s="198"/>
      <c r="DN52" s="198"/>
      <c r="DO52" s="198"/>
      <c r="DP52" s="198"/>
      <c r="DQ52" s="198"/>
      <c r="DR52" s="198"/>
      <c r="DS52" s="198"/>
      <c r="DT52" s="198"/>
      <c r="DU52" s="198"/>
      <c r="DV52" s="198"/>
      <c r="DW52" s="198"/>
      <c r="DX52" s="198"/>
      <c r="DY52" s="198"/>
      <c r="DZ52" s="198"/>
      <c r="EA52" s="198"/>
      <c r="EB52" s="198"/>
      <c r="EC52" s="198"/>
      <c r="ED52" s="198"/>
      <c r="EE52" s="198"/>
      <c r="EF52" s="198"/>
      <c r="EG52" s="198"/>
      <c r="EH52" s="198"/>
      <c r="EI52" s="198"/>
      <c r="EJ52" s="198"/>
      <c r="EK52" s="198"/>
      <c r="EL52" s="198"/>
      <c r="EM52" s="198"/>
      <c r="EN52" s="198"/>
      <c r="EO52" s="198"/>
      <c r="EP52" s="198"/>
      <c r="EQ52" s="198"/>
      <c r="ER52" s="198"/>
      <c r="ES52" s="198"/>
      <c r="ET52" s="198"/>
      <c r="EU52" s="198"/>
      <c r="EV52" s="198"/>
      <c r="EW52" s="198"/>
      <c r="EX52" s="198"/>
      <c r="EY52" s="198"/>
      <c r="EZ52" s="198"/>
      <c r="FA52" s="198"/>
      <c r="FB52" s="198"/>
      <c r="FC52" s="198"/>
      <c r="FD52" s="198"/>
      <c r="FE52" s="198"/>
      <c r="FF52" s="198"/>
      <c r="FG52" s="198"/>
      <c r="FH52" s="198"/>
      <c r="FI52" s="198"/>
      <c r="FJ52" s="198"/>
      <c r="FK52" s="198"/>
      <c r="FL52" s="198"/>
      <c r="FM52" s="198"/>
      <c r="FN52" s="198"/>
      <c r="FO52" s="198"/>
      <c r="FP52" s="198"/>
      <c r="FQ52" s="198"/>
      <c r="FR52" s="198"/>
      <c r="FS52" s="198"/>
      <c r="FT52" s="198"/>
      <c r="FU52" s="198"/>
      <c r="FV52" s="198"/>
      <c r="FW52" s="198"/>
      <c r="FX52" s="198"/>
      <c r="FY52" s="198"/>
      <c r="FZ52" s="198"/>
      <c r="GA52" s="198"/>
      <c r="GB52" s="198"/>
      <c r="GC52" s="198"/>
      <c r="GD52" s="198"/>
      <c r="GE52" s="198"/>
      <c r="GF52" s="198"/>
      <c r="GG52" s="198"/>
      <c r="GH52" s="198"/>
      <c r="GI52" s="198"/>
      <c r="GJ52" s="198"/>
      <c r="GK52" s="198"/>
      <c r="GL52" s="198"/>
      <c r="GM52" s="198"/>
      <c r="GN52" s="198"/>
      <c r="GO52" s="198"/>
      <c r="GP52" s="198"/>
      <c r="GQ52" s="198"/>
      <c r="GR52" s="198"/>
      <c r="GS52" s="198"/>
      <c r="GT52" s="198"/>
      <c r="GU52" s="198"/>
      <c r="GV52" s="198"/>
      <c r="GW52" s="198"/>
      <c r="GX52" s="198"/>
      <c r="GY52" s="198"/>
      <c r="GZ52" s="198"/>
      <c r="HA52" s="198"/>
      <c r="HB52" s="198"/>
      <c r="HC52" s="198"/>
      <c r="HD52" s="198"/>
      <c r="HE52" s="198"/>
      <c r="HF52" s="198"/>
      <c r="HG52" s="198"/>
      <c r="HH52" s="198"/>
      <c r="HI52" s="198"/>
      <c r="HJ52" s="198"/>
      <c r="HK52" s="198"/>
      <c r="HL52" s="198"/>
      <c r="HM52" s="198"/>
      <c r="HN52" s="198"/>
      <c r="HO52" s="198"/>
      <c r="HP52" s="198"/>
      <c r="HQ52" s="198"/>
      <c r="HR52" s="198"/>
      <c r="HS52" s="198"/>
      <c r="HT52" s="198"/>
      <c r="HU52" s="198"/>
      <c r="HV52" s="198"/>
      <c r="HW52" s="198"/>
      <c r="HX52" s="198"/>
      <c r="HY52" s="198"/>
      <c r="HZ52" s="198"/>
      <c r="IA52" s="198"/>
      <c r="IB52" s="198"/>
      <c r="IC52" s="198"/>
      <c r="ID52" s="198"/>
      <c r="IE52" s="198"/>
      <c r="IF52" s="198"/>
      <c r="IG52" s="198"/>
      <c r="IH52" s="198"/>
      <c r="II52" s="198"/>
      <c r="IJ52" s="198"/>
      <c r="IK52" s="198"/>
      <c r="IL52" s="198"/>
      <c r="IM52" s="198"/>
      <c r="IN52" s="198"/>
      <c r="IO52" s="198"/>
      <c r="IP52" s="198"/>
      <c r="IQ52" s="198"/>
      <c r="IR52" s="198"/>
      <c r="IS52" s="198"/>
      <c r="IT52" s="198"/>
      <c r="IU52" s="198"/>
      <c r="IV52" s="198"/>
    </row>
    <row r="53" customFormat="false" ht="10.5" hidden="false" customHeight="true" outlineLevel="0" collapsed="false">
      <c r="A53" s="166" t="s">
        <v>84</v>
      </c>
      <c r="B53" s="166"/>
      <c r="C53" s="166"/>
      <c r="D53" s="166"/>
      <c r="E53" s="166"/>
      <c r="F53" s="166"/>
      <c r="G53" s="166"/>
      <c r="H53" s="166"/>
      <c r="I53" s="166"/>
      <c r="J53" s="166"/>
      <c r="K53" s="166"/>
      <c r="L53" s="166"/>
      <c r="M53" s="166"/>
      <c r="N53" s="166"/>
      <c r="O53" s="166"/>
      <c r="P53" s="166"/>
      <c r="Q53" s="166"/>
      <c r="R53" s="166"/>
      <c r="S53" s="166"/>
      <c r="T53" s="166"/>
      <c r="U53" s="166"/>
      <c r="V53" s="166"/>
      <c r="W53" s="166" t="s">
        <v>85</v>
      </c>
      <c r="X53" s="166"/>
      <c r="Y53" s="166"/>
      <c r="Z53" s="166"/>
      <c r="AA53" s="166"/>
      <c r="AB53" s="166"/>
      <c r="AC53" s="166"/>
      <c r="AD53" s="166"/>
      <c r="AE53" s="166"/>
      <c r="AF53" s="166"/>
      <c r="AG53" s="166"/>
      <c r="AH53" s="166"/>
      <c r="AI53" s="166"/>
      <c r="AJ53" s="166"/>
      <c r="AK53" s="166"/>
      <c r="AL53" s="166"/>
      <c r="AM53" s="166"/>
      <c r="AN53" s="166"/>
      <c r="AO53" s="166"/>
      <c r="AP53" s="166"/>
      <c r="AQ53" s="166"/>
      <c r="AR53" s="166"/>
      <c r="AS53" s="166" t="s">
        <v>86</v>
      </c>
      <c r="AT53" s="166"/>
      <c r="AU53" s="166"/>
      <c r="AV53" s="166"/>
      <c r="AW53" s="166"/>
      <c r="AX53" s="166"/>
      <c r="AY53" s="166"/>
      <c r="AZ53" s="166"/>
      <c r="BA53" s="166"/>
      <c r="BB53" s="166" t="s">
        <v>87</v>
      </c>
      <c r="BC53" s="166"/>
      <c r="BD53" s="166"/>
      <c r="BE53" s="166"/>
      <c r="BF53" s="166"/>
      <c r="BG53" s="166"/>
      <c r="BH53" s="166"/>
      <c r="BI53" s="166"/>
      <c r="BJ53" s="166"/>
      <c r="BK53" s="166"/>
      <c r="BL53" s="166"/>
      <c r="BM53" s="166"/>
      <c r="BN53" s="166"/>
    </row>
    <row r="54" customFormat="false" ht="10.5" hidden="false" customHeight="true" outlineLevel="0" collapsed="false">
      <c r="A54" s="167" t="str">
        <f aca="false">IF(Eingabe!O3="","",Eingabe!O3)</f>
        <v/>
      </c>
      <c r="B54" s="167"/>
      <c r="C54" s="167"/>
      <c r="D54" s="167"/>
      <c r="E54" s="167"/>
      <c r="F54" s="167"/>
      <c r="G54" s="167"/>
      <c r="H54" s="167"/>
      <c r="I54" s="167"/>
      <c r="J54" s="167"/>
      <c r="K54" s="167"/>
      <c r="L54" s="167"/>
      <c r="M54" s="167"/>
      <c r="N54" s="167"/>
      <c r="O54" s="167"/>
      <c r="P54" s="167"/>
      <c r="Q54" s="167"/>
      <c r="R54" s="167"/>
      <c r="S54" s="167"/>
      <c r="T54" s="167"/>
      <c r="U54" s="167"/>
      <c r="V54" s="167"/>
      <c r="W54" s="168" t="str">
        <f aca="false">IF(Eingabe!E3="","",Eingabe!E3)</f>
        <v>Simon Grundner</v>
      </c>
      <c r="X54" s="168"/>
      <c r="Y54" s="168"/>
      <c r="Z54" s="168"/>
      <c r="AA54" s="168"/>
      <c r="AB54" s="168"/>
      <c r="AC54" s="168"/>
      <c r="AD54" s="168"/>
      <c r="AE54" s="168"/>
      <c r="AF54" s="168"/>
      <c r="AG54" s="168"/>
      <c r="AH54" s="168"/>
      <c r="AI54" s="168"/>
      <c r="AJ54" s="168"/>
      <c r="AK54" s="168"/>
      <c r="AL54" s="168"/>
      <c r="AM54" s="168"/>
      <c r="AN54" s="168"/>
      <c r="AO54" s="168"/>
      <c r="AP54" s="168"/>
      <c r="AQ54" s="168"/>
      <c r="AR54" s="168"/>
      <c r="AS54" s="170" t="str">
        <f aca="false">IF(Eingabe!I1="","",Eingabe!I1)</f>
        <v/>
      </c>
      <c r="AT54" s="170"/>
      <c r="AU54" s="170"/>
      <c r="AV54" s="170"/>
      <c r="AW54" s="170"/>
      <c r="AX54" s="170"/>
      <c r="AY54" s="170"/>
      <c r="AZ54" s="170"/>
      <c r="BA54" s="170"/>
      <c r="BB54" s="170" t="str">
        <f aca="false">IF(Eingabe!I2="","",Eingabe!I2)</f>
        <v>FR4</v>
      </c>
      <c r="BC54" s="170"/>
      <c r="BD54" s="170"/>
      <c r="BE54" s="170"/>
      <c r="BF54" s="170"/>
      <c r="BG54" s="170"/>
      <c r="BH54" s="170"/>
      <c r="BI54" s="170"/>
      <c r="BJ54" s="170"/>
      <c r="BK54" s="170"/>
      <c r="BL54" s="170"/>
      <c r="BM54" s="170"/>
      <c r="BN54" s="170"/>
    </row>
    <row r="55" customFormat="false" ht="10.5" hidden="false" customHeight="true" outlineLevel="0" collapsed="false">
      <c r="A55" s="167"/>
      <c r="B55" s="167"/>
      <c r="C55" s="167"/>
      <c r="D55" s="167"/>
      <c r="E55" s="167"/>
      <c r="F55" s="167"/>
      <c r="G55" s="167"/>
      <c r="H55" s="167"/>
      <c r="I55" s="167"/>
      <c r="J55" s="167"/>
      <c r="K55" s="167"/>
      <c r="L55" s="167"/>
      <c r="M55" s="167"/>
      <c r="N55" s="167"/>
      <c r="O55" s="167"/>
      <c r="P55" s="167"/>
      <c r="Q55" s="167"/>
      <c r="R55" s="167"/>
      <c r="S55" s="167"/>
      <c r="T55" s="167"/>
      <c r="U55" s="167"/>
      <c r="V55" s="167"/>
      <c r="W55" s="168"/>
      <c r="X55" s="168"/>
      <c r="Y55" s="168"/>
      <c r="Z55" s="168"/>
      <c r="AA55" s="168"/>
      <c r="AB55" s="168"/>
      <c r="AC55" s="168"/>
      <c r="AD55" s="168"/>
      <c r="AE55" s="168"/>
      <c r="AF55" s="168"/>
      <c r="AG55" s="168"/>
      <c r="AH55" s="168"/>
      <c r="AI55" s="168"/>
      <c r="AJ55" s="168"/>
      <c r="AK55" s="168"/>
      <c r="AL55" s="168"/>
      <c r="AM55" s="168"/>
      <c r="AN55" s="168"/>
      <c r="AO55" s="168"/>
      <c r="AP55" s="168"/>
      <c r="AQ55" s="168"/>
      <c r="AR55" s="168"/>
      <c r="AS55" s="170"/>
      <c r="AT55" s="170"/>
      <c r="AU55" s="170"/>
      <c r="AV55" s="170"/>
      <c r="AW55" s="170"/>
      <c r="AX55" s="170"/>
      <c r="AY55" s="170"/>
      <c r="AZ55" s="170"/>
      <c r="BA55" s="170"/>
      <c r="BB55" s="170"/>
      <c r="BC55" s="170"/>
      <c r="BD55" s="170"/>
      <c r="BE55" s="170"/>
      <c r="BF55" s="170"/>
      <c r="BG55" s="170"/>
      <c r="BH55" s="170"/>
      <c r="BI55" s="170"/>
      <c r="BJ55" s="170"/>
      <c r="BK55" s="170"/>
      <c r="BL55" s="170"/>
      <c r="BM55" s="170"/>
      <c r="BN55" s="170"/>
    </row>
    <row r="56" customFormat="false" ht="10.5" hidden="false" customHeight="true" outlineLevel="0" collapsed="false">
      <c r="A56" s="171"/>
      <c r="B56" s="171"/>
      <c r="C56" s="171"/>
      <c r="D56" s="171"/>
      <c r="E56" s="171"/>
      <c r="F56" s="171"/>
      <c r="G56" s="171"/>
      <c r="H56" s="171"/>
      <c r="I56" s="171"/>
      <c r="J56" s="171"/>
      <c r="K56" s="171"/>
      <c r="L56" s="171"/>
      <c r="M56" s="171"/>
      <c r="N56" s="171"/>
      <c r="O56" s="171"/>
      <c r="P56" s="171"/>
      <c r="Q56" s="171"/>
      <c r="R56" s="171"/>
      <c r="S56" s="171"/>
      <c r="T56" s="171"/>
      <c r="U56" s="171"/>
      <c r="V56" s="171"/>
      <c r="W56" s="166" t="s">
        <v>88</v>
      </c>
      <c r="X56" s="166"/>
      <c r="Y56" s="166"/>
      <c r="Z56" s="166"/>
      <c r="AA56" s="166"/>
      <c r="AB56" s="166"/>
      <c r="AC56" s="166"/>
      <c r="AD56" s="166"/>
      <c r="AE56" s="166"/>
      <c r="AF56" s="166"/>
      <c r="AG56" s="166" t="s">
        <v>89</v>
      </c>
      <c r="AH56" s="166"/>
      <c r="AI56" s="166"/>
      <c r="AJ56" s="166"/>
      <c r="AK56" s="166" t="s">
        <v>90</v>
      </c>
      <c r="AL56" s="166"/>
      <c r="AM56" s="166"/>
      <c r="AN56" s="166"/>
      <c r="AO56" s="166" t="s">
        <v>91</v>
      </c>
      <c r="AP56" s="166"/>
      <c r="AQ56" s="166"/>
      <c r="AR56" s="166"/>
      <c r="AS56" s="166" t="s">
        <v>92</v>
      </c>
      <c r="AT56" s="166"/>
      <c r="AU56" s="166"/>
      <c r="AV56" s="166"/>
      <c r="AW56" s="166"/>
      <c r="AX56" s="166"/>
      <c r="AY56" s="166"/>
      <c r="AZ56" s="166"/>
      <c r="BA56" s="166"/>
      <c r="BB56" s="166"/>
      <c r="BC56" s="166"/>
      <c r="BD56" s="166"/>
      <c r="BE56" s="166"/>
      <c r="BF56" s="166"/>
      <c r="BG56" s="166"/>
      <c r="BH56" s="166"/>
      <c r="BI56" s="166" t="s">
        <v>93</v>
      </c>
      <c r="BJ56" s="166"/>
      <c r="BK56" s="166"/>
      <c r="BL56" s="166"/>
      <c r="BM56" s="166"/>
      <c r="BN56" s="166"/>
    </row>
    <row r="57" customFormat="false" ht="10.5" hidden="false" customHeight="true" outlineLevel="0" collapsed="false">
      <c r="A57" s="171"/>
      <c r="B57" s="171"/>
      <c r="C57" s="171"/>
      <c r="D57" s="171"/>
      <c r="E57" s="171"/>
      <c r="F57" s="171"/>
      <c r="G57" s="171"/>
      <c r="H57" s="171"/>
      <c r="I57" s="171"/>
      <c r="J57" s="171"/>
      <c r="K57" s="171"/>
      <c r="L57" s="171"/>
      <c r="M57" s="171"/>
      <c r="N57" s="171"/>
      <c r="O57" s="171"/>
      <c r="P57" s="171"/>
      <c r="Q57" s="171"/>
      <c r="R57" s="171"/>
      <c r="S57" s="171"/>
      <c r="T57" s="171"/>
      <c r="U57" s="171"/>
      <c r="V57" s="171"/>
      <c r="W57" s="167" t="str">
        <f aca="false">IF(CONCATENATE(Eingabe!E1," ", Eingabe!E2)="","",CONCATENATE(Eingabe!E1," ", Eingabe!E2))</f>
        <v> </v>
      </c>
      <c r="X57" s="167"/>
      <c r="Y57" s="167"/>
      <c r="Z57" s="167"/>
      <c r="AA57" s="167"/>
      <c r="AB57" s="167"/>
      <c r="AC57" s="167"/>
      <c r="AD57" s="167"/>
      <c r="AE57" s="167"/>
      <c r="AF57" s="167"/>
      <c r="AG57" s="167" t="str">
        <f aca="false">IF(Eingabe!E4="","",Eingabe!E4)</f>
        <v>GruS</v>
      </c>
      <c r="AH57" s="167"/>
      <c r="AI57" s="167"/>
      <c r="AJ57" s="167"/>
      <c r="AK57" s="173" t="str">
        <f aca="false">IF(Eingabe!I3="","",Eingabe!I3)</f>
        <v/>
      </c>
      <c r="AL57" s="173"/>
      <c r="AM57" s="173"/>
      <c r="AN57" s="173"/>
      <c r="AO57" s="173" t="str">
        <f aca="false">IF(Eingabe!I4="","",Eingabe!I4)</f>
        <v/>
      </c>
      <c r="AP57" s="173"/>
      <c r="AQ57" s="173"/>
      <c r="AR57" s="173"/>
      <c r="AS57" s="174" t="s">
        <v>111</v>
      </c>
      <c r="AT57" s="174"/>
      <c r="AU57" s="174"/>
      <c r="AV57" s="174"/>
      <c r="AW57" s="174"/>
      <c r="AX57" s="174"/>
      <c r="AY57" s="174"/>
      <c r="AZ57" s="174"/>
      <c r="BA57" s="174"/>
      <c r="BB57" s="174"/>
      <c r="BC57" s="174"/>
      <c r="BD57" s="174"/>
      <c r="BE57" s="174"/>
      <c r="BF57" s="174"/>
      <c r="BG57" s="174"/>
      <c r="BH57" s="174"/>
      <c r="BI57" s="167" t="str">
        <f aca="false">IF(Eingabe!I5="","",Eingabe!I5)</f>
        <v/>
      </c>
      <c r="BJ57" s="167"/>
      <c r="BK57" s="167"/>
      <c r="BL57" s="167"/>
      <c r="BM57" s="167"/>
      <c r="BN57" s="167"/>
    </row>
    <row r="58" customFormat="false" ht="10.5" hidden="false" customHeight="true" outlineLevel="0" collapsed="false">
      <c r="A58" s="171"/>
      <c r="B58" s="171"/>
      <c r="C58" s="171"/>
      <c r="D58" s="171"/>
      <c r="E58" s="171"/>
      <c r="F58" s="171"/>
      <c r="G58" s="171"/>
      <c r="H58" s="171"/>
      <c r="I58" s="171"/>
      <c r="J58" s="171"/>
      <c r="K58" s="171"/>
      <c r="L58" s="171"/>
      <c r="M58" s="171"/>
      <c r="N58" s="171"/>
      <c r="O58" s="171"/>
      <c r="P58" s="171"/>
      <c r="Q58" s="171"/>
      <c r="R58" s="171"/>
      <c r="S58" s="171"/>
      <c r="T58" s="171"/>
      <c r="U58" s="171"/>
      <c r="V58" s="171"/>
      <c r="W58" s="167"/>
      <c r="X58" s="167"/>
      <c r="Y58" s="167"/>
      <c r="Z58" s="167"/>
      <c r="AA58" s="167"/>
      <c r="AB58" s="167"/>
      <c r="AC58" s="167"/>
      <c r="AD58" s="167"/>
      <c r="AE58" s="167"/>
      <c r="AF58" s="167"/>
      <c r="AG58" s="167"/>
      <c r="AH58" s="167"/>
      <c r="AI58" s="167"/>
      <c r="AJ58" s="167"/>
      <c r="AK58" s="173"/>
      <c r="AL58" s="173"/>
      <c r="AM58" s="173"/>
      <c r="AN58" s="173"/>
      <c r="AO58" s="173"/>
      <c r="AP58" s="173"/>
      <c r="AQ58" s="173"/>
      <c r="AR58" s="173"/>
      <c r="AS58" s="174"/>
      <c r="AT58" s="174"/>
      <c r="AU58" s="174"/>
      <c r="AV58" s="174"/>
      <c r="AW58" s="174"/>
      <c r="AX58" s="174"/>
      <c r="AY58" s="174"/>
      <c r="AZ58" s="174"/>
      <c r="BA58" s="174"/>
      <c r="BB58" s="174"/>
      <c r="BC58" s="174"/>
      <c r="BD58" s="174"/>
      <c r="BE58" s="174"/>
      <c r="BF58" s="174"/>
      <c r="BG58" s="174"/>
      <c r="BH58" s="174"/>
      <c r="BI58" s="167"/>
      <c r="BJ58" s="167"/>
      <c r="BK58" s="167"/>
      <c r="BL58" s="167"/>
      <c r="BM58" s="167"/>
      <c r="BN58" s="167"/>
    </row>
    <row r="59" customFormat="false" ht="10.5" hidden="false" customHeight="true" outlineLevel="0" collapsed="false">
      <c r="A59" s="171"/>
      <c r="B59" s="171"/>
      <c r="C59" s="171"/>
      <c r="D59" s="171"/>
      <c r="E59" s="171"/>
      <c r="F59" s="171"/>
      <c r="G59" s="171"/>
      <c r="H59" s="171"/>
      <c r="I59" s="171"/>
      <c r="J59" s="171"/>
      <c r="K59" s="171"/>
      <c r="L59" s="171"/>
      <c r="M59" s="171"/>
      <c r="N59" s="171"/>
      <c r="O59" s="171"/>
      <c r="P59" s="171"/>
      <c r="Q59" s="171"/>
      <c r="R59" s="171"/>
      <c r="S59" s="171"/>
      <c r="T59" s="171"/>
      <c r="U59" s="171"/>
      <c r="V59" s="171"/>
      <c r="W59" s="166" t="s">
        <v>94</v>
      </c>
      <c r="X59" s="166"/>
      <c r="Y59" s="166"/>
      <c r="Z59" s="166"/>
      <c r="AA59" s="166"/>
      <c r="AB59" s="166"/>
      <c r="AC59" s="166"/>
      <c r="AD59" s="166"/>
      <c r="AE59" s="166"/>
      <c r="AF59" s="166"/>
      <c r="AG59" s="166"/>
      <c r="AH59" s="166"/>
      <c r="AI59" s="166"/>
      <c r="AJ59" s="166"/>
      <c r="AK59" s="166"/>
      <c r="AL59" s="166"/>
      <c r="AM59" s="166"/>
      <c r="AN59" s="166"/>
      <c r="AO59" s="166"/>
      <c r="AP59" s="166"/>
      <c r="AQ59" s="166"/>
      <c r="AR59" s="166"/>
      <c r="AS59" s="166" t="s">
        <v>95</v>
      </c>
      <c r="AT59" s="166"/>
      <c r="AU59" s="166"/>
      <c r="AV59" s="166"/>
      <c r="AW59" s="166"/>
      <c r="AX59" s="166"/>
      <c r="AY59" s="166"/>
      <c r="AZ59" s="166" t="s">
        <v>96</v>
      </c>
      <c r="BA59" s="166"/>
      <c r="BB59" s="166"/>
      <c r="BC59" s="166"/>
      <c r="BD59" s="166"/>
      <c r="BE59" s="166" t="s">
        <v>97</v>
      </c>
      <c r="BF59" s="166"/>
      <c r="BG59" s="166"/>
      <c r="BH59" s="166"/>
      <c r="BI59" s="166"/>
      <c r="BJ59" s="166"/>
      <c r="BK59" s="166"/>
      <c r="BL59" s="166"/>
      <c r="BM59" s="166"/>
      <c r="BN59" s="166"/>
    </row>
    <row r="60" customFormat="false" ht="10.5" hidden="false" customHeight="true" outlineLevel="0" collapsed="false">
      <c r="A60" s="171"/>
      <c r="B60" s="171"/>
      <c r="C60" s="171"/>
      <c r="D60" s="171"/>
      <c r="E60" s="171"/>
      <c r="F60" s="171"/>
      <c r="G60" s="171"/>
      <c r="H60" s="171"/>
      <c r="I60" s="171"/>
      <c r="J60" s="171"/>
      <c r="K60" s="171"/>
      <c r="L60" s="171"/>
      <c r="M60" s="171"/>
      <c r="N60" s="171"/>
      <c r="O60" s="171"/>
      <c r="P60" s="171"/>
      <c r="Q60" s="171"/>
      <c r="R60" s="171"/>
      <c r="S60" s="171"/>
      <c r="T60" s="171"/>
      <c r="U60" s="171"/>
      <c r="V60" s="171"/>
      <c r="W60" s="175" t="str">
        <f aca="false">IF(Eingabe!E5="","",Eingabe!E5)</f>
        <v>TOTEM - Bluetooth</v>
      </c>
      <c r="X60" s="175"/>
      <c r="Y60" s="175"/>
      <c r="Z60" s="175"/>
      <c r="AA60" s="175"/>
      <c r="AB60" s="175"/>
      <c r="AC60" s="175"/>
      <c r="AD60" s="175"/>
      <c r="AE60" s="175"/>
      <c r="AF60" s="175"/>
      <c r="AG60" s="175"/>
      <c r="AH60" s="175"/>
      <c r="AI60" s="175"/>
      <c r="AJ60" s="175"/>
      <c r="AK60" s="175"/>
      <c r="AL60" s="175"/>
      <c r="AM60" s="175"/>
      <c r="AN60" s="175"/>
      <c r="AO60" s="175"/>
      <c r="AP60" s="175"/>
      <c r="AQ60" s="175"/>
      <c r="AR60" s="175"/>
      <c r="AS60" s="170" t="str">
        <f aca="false">IF(Eingabe!L3="","",Eingabe!L3)</f>
        <v>1.0</v>
      </c>
      <c r="AT60" s="170"/>
      <c r="AU60" s="170"/>
      <c r="AV60" s="170"/>
      <c r="AW60" s="170"/>
      <c r="AX60" s="170"/>
      <c r="AY60" s="170"/>
      <c r="AZ60" s="170" t="str">
        <f aca="false">IF(Eingabe!L4="","",Eingabe!L4)</f>
        <v>1</v>
      </c>
      <c r="BA60" s="170"/>
      <c r="BB60" s="170"/>
      <c r="BC60" s="170"/>
      <c r="BD60" s="170"/>
      <c r="BE60" s="174" t="str">
        <f aca="false">IF(Eingabe!L5="","",Eingabe!L5)</f>
        <v>Fertigung</v>
      </c>
      <c r="BF60" s="174"/>
      <c r="BG60" s="174"/>
      <c r="BH60" s="174"/>
      <c r="BI60" s="174"/>
      <c r="BJ60" s="174"/>
      <c r="BK60" s="174"/>
      <c r="BL60" s="174"/>
      <c r="BM60" s="174"/>
      <c r="BN60" s="174"/>
    </row>
    <row r="61" customFormat="false" ht="10.5" hidden="false" customHeight="true" outlineLevel="0" collapsed="false">
      <c r="A61" s="176" t="s">
        <v>98</v>
      </c>
      <c r="B61" s="176"/>
      <c r="C61" s="176"/>
      <c r="D61" s="176"/>
      <c r="E61" s="176"/>
      <c r="F61" s="176"/>
      <c r="G61" s="176"/>
      <c r="H61" s="176"/>
      <c r="I61" s="176"/>
      <c r="J61" s="176"/>
      <c r="K61" s="176"/>
      <c r="L61" s="176"/>
      <c r="M61" s="176"/>
      <c r="N61" s="176"/>
      <c r="O61" s="176"/>
      <c r="P61" s="176"/>
      <c r="Q61" s="176"/>
      <c r="R61" s="176"/>
      <c r="S61" s="176"/>
      <c r="T61" s="176"/>
      <c r="U61" s="176"/>
      <c r="V61" s="176"/>
      <c r="W61" s="175"/>
      <c r="X61" s="175"/>
      <c r="Y61" s="175"/>
      <c r="Z61" s="175"/>
      <c r="AA61" s="175"/>
      <c r="AB61" s="175"/>
      <c r="AC61" s="175"/>
      <c r="AD61" s="175"/>
      <c r="AE61" s="175"/>
      <c r="AF61" s="175"/>
      <c r="AG61" s="175"/>
      <c r="AH61" s="175"/>
      <c r="AI61" s="175"/>
      <c r="AJ61" s="175"/>
      <c r="AK61" s="175"/>
      <c r="AL61" s="175"/>
      <c r="AM61" s="175"/>
      <c r="AN61" s="175"/>
      <c r="AO61" s="175"/>
      <c r="AP61" s="175"/>
      <c r="AQ61" s="175"/>
      <c r="AR61" s="175"/>
      <c r="AS61" s="170"/>
      <c r="AT61" s="170"/>
      <c r="AU61" s="170"/>
      <c r="AV61" s="170"/>
      <c r="AW61" s="170"/>
      <c r="AX61" s="170"/>
      <c r="AY61" s="170"/>
      <c r="AZ61" s="170"/>
      <c r="BA61" s="170"/>
      <c r="BB61" s="170"/>
      <c r="BC61" s="170"/>
      <c r="BD61" s="170"/>
      <c r="BE61" s="174"/>
      <c r="BF61" s="174"/>
      <c r="BG61" s="174"/>
      <c r="BH61" s="174"/>
      <c r="BI61" s="174"/>
      <c r="BJ61" s="174"/>
      <c r="BK61" s="174"/>
      <c r="BL61" s="174"/>
      <c r="BM61" s="174"/>
      <c r="BN61" s="174"/>
    </row>
    <row r="62" customFormat="false" ht="10.5" hidden="false" customHeight="true" outlineLevel="0" collapsed="false">
      <c r="A62" s="176"/>
      <c r="B62" s="176"/>
      <c r="C62" s="176"/>
      <c r="D62" s="176"/>
      <c r="E62" s="176"/>
      <c r="F62" s="176"/>
      <c r="G62" s="176"/>
      <c r="H62" s="176"/>
      <c r="I62" s="176"/>
      <c r="J62" s="176"/>
      <c r="K62" s="176"/>
      <c r="L62" s="176"/>
      <c r="M62" s="176"/>
      <c r="N62" s="176"/>
      <c r="O62" s="176"/>
      <c r="P62" s="176"/>
      <c r="Q62" s="176"/>
      <c r="R62" s="176"/>
      <c r="S62" s="176"/>
      <c r="T62" s="176"/>
      <c r="U62" s="176"/>
      <c r="V62" s="176"/>
      <c r="W62" s="175"/>
      <c r="X62" s="175"/>
      <c r="Y62" s="175"/>
      <c r="Z62" s="175"/>
      <c r="AA62" s="175"/>
      <c r="AB62" s="175"/>
      <c r="AC62" s="175"/>
      <c r="AD62" s="175"/>
      <c r="AE62" s="175"/>
      <c r="AF62" s="175"/>
      <c r="AG62" s="175"/>
      <c r="AH62" s="175"/>
      <c r="AI62" s="175"/>
      <c r="AJ62" s="175"/>
      <c r="AK62" s="175"/>
      <c r="AL62" s="175"/>
      <c r="AM62" s="175"/>
      <c r="AN62" s="175"/>
      <c r="AO62" s="175"/>
      <c r="AP62" s="175"/>
      <c r="AQ62" s="175"/>
      <c r="AR62" s="175"/>
      <c r="AS62" s="177" t="s">
        <v>99</v>
      </c>
      <c r="AT62" s="177"/>
      <c r="AU62" s="177"/>
      <c r="AV62" s="177"/>
      <c r="AW62" s="166" t="s">
        <v>100</v>
      </c>
      <c r="AX62" s="166"/>
      <c r="AY62" s="166"/>
      <c r="AZ62" s="166" t="s">
        <v>101</v>
      </c>
      <c r="BA62" s="166"/>
      <c r="BB62" s="166"/>
      <c r="BC62" s="166"/>
      <c r="BD62" s="166"/>
      <c r="BE62" s="166"/>
      <c r="BF62" s="166"/>
      <c r="BG62" s="166"/>
      <c r="BH62" s="166"/>
      <c r="BI62" s="166" t="s">
        <v>102</v>
      </c>
      <c r="BJ62" s="166"/>
      <c r="BK62" s="166"/>
      <c r="BL62" s="179" t="s">
        <v>103</v>
      </c>
      <c r="BM62" s="180"/>
      <c r="BN62" s="181"/>
    </row>
    <row r="63" customFormat="false" ht="10.5" hidden="false" customHeight="true" outlineLevel="0" collapsed="false">
      <c r="A63" s="182" t="str">
        <f aca="false">IF(Eingabe!M6="","",Eingabe!M6)</f>
        <v>Technische Informatik</v>
      </c>
      <c r="B63" s="182"/>
      <c r="C63" s="182"/>
      <c r="D63" s="182"/>
      <c r="E63" s="182"/>
      <c r="F63" s="182"/>
      <c r="G63" s="182"/>
      <c r="H63" s="182"/>
      <c r="I63" s="182"/>
      <c r="J63" s="182"/>
      <c r="K63" s="182"/>
      <c r="L63" s="182"/>
      <c r="M63" s="182"/>
      <c r="N63" s="182"/>
      <c r="O63" s="182"/>
      <c r="P63" s="182"/>
      <c r="Q63" s="182"/>
      <c r="R63" s="182"/>
      <c r="S63" s="182"/>
      <c r="T63" s="182"/>
      <c r="U63" s="182"/>
      <c r="V63" s="182"/>
      <c r="W63" s="174" t="str">
        <f aca="false">IF(Eingabe!E6="","",Eingabe!E6)</f>
        <v>40 Key Split Ergomech KB</v>
      </c>
      <c r="X63" s="174"/>
      <c r="Y63" s="174"/>
      <c r="Z63" s="174"/>
      <c r="AA63" s="174"/>
      <c r="AB63" s="174"/>
      <c r="AC63" s="174"/>
      <c r="AD63" s="174"/>
      <c r="AE63" s="174"/>
      <c r="AF63" s="174"/>
      <c r="AG63" s="174"/>
      <c r="AH63" s="174"/>
      <c r="AI63" s="174"/>
      <c r="AJ63" s="174"/>
      <c r="AK63" s="174"/>
      <c r="AL63" s="174"/>
      <c r="AM63" s="174"/>
      <c r="AN63" s="174"/>
      <c r="AO63" s="174"/>
      <c r="AP63" s="174"/>
      <c r="AQ63" s="174"/>
      <c r="AR63" s="174"/>
      <c r="AS63" s="173" t="str">
        <f aca="false">IF(Eingabe!L6="","",Eingabe!L6)</f>
        <v>ohne</v>
      </c>
      <c r="AT63" s="173"/>
      <c r="AU63" s="173"/>
      <c r="AV63" s="173"/>
      <c r="AW63" s="167" t="str">
        <f aca="false">IF(Eingabe!I6="","",Eingabe!I6)</f>
        <v>DE</v>
      </c>
      <c r="AX63" s="167"/>
      <c r="AY63" s="167"/>
      <c r="AZ63" s="184" t="n">
        <f aca="false">IF(Eingabe!L2="","",Eingabe!L2)</f>
        <v>45824</v>
      </c>
      <c r="BA63" s="184"/>
      <c r="BB63" s="184"/>
      <c r="BC63" s="184"/>
      <c r="BD63" s="184"/>
      <c r="BE63" s="184"/>
      <c r="BF63" s="184"/>
      <c r="BG63" s="184"/>
      <c r="BH63" s="184"/>
      <c r="BI63" s="173" t="n">
        <v>2</v>
      </c>
      <c r="BJ63" s="173"/>
      <c r="BK63" s="173"/>
      <c r="BL63" s="173" t="str">
        <f aca="false">IF('Materialkalkulation (2)'!L4="","1",IF('Materialkalkulation (3)'!L4="","2","3"))</f>
        <v>1</v>
      </c>
      <c r="BM63" s="173"/>
      <c r="BN63" s="173"/>
    </row>
    <row r="64" customFormat="false" ht="10.5" hidden="false" customHeight="true" outlineLevel="0" collapsed="false">
      <c r="A64" s="182"/>
      <c r="B64" s="182"/>
      <c r="C64" s="182"/>
      <c r="D64" s="182"/>
      <c r="E64" s="182"/>
      <c r="F64" s="182"/>
      <c r="G64" s="182"/>
      <c r="H64" s="182"/>
      <c r="I64" s="182"/>
      <c r="J64" s="182"/>
      <c r="K64" s="182"/>
      <c r="L64" s="182"/>
      <c r="M64" s="182"/>
      <c r="N64" s="182"/>
      <c r="O64" s="182"/>
      <c r="P64" s="182"/>
      <c r="Q64" s="182"/>
      <c r="R64" s="182"/>
      <c r="S64" s="182"/>
      <c r="T64" s="182"/>
      <c r="U64" s="182"/>
      <c r="V64" s="182"/>
      <c r="W64" s="174"/>
      <c r="X64" s="174"/>
      <c r="Y64" s="174"/>
      <c r="Z64" s="174"/>
      <c r="AA64" s="174"/>
      <c r="AB64" s="174"/>
      <c r="AC64" s="174"/>
      <c r="AD64" s="174"/>
      <c r="AE64" s="174"/>
      <c r="AF64" s="174"/>
      <c r="AG64" s="174"/>
      <c r="AH64" s="174"/>
      <c r="AI64" s="174"/>
      <c r="AJ64" s="174"/>
      <c r="AK64" s="174"/>
      <c r="AL64" s="174"/>
      <c r="AM64" s="174"/>
      <c r="AN64" s="174"/>
      <c r="AO64" s="174"/>
      <c r="AP64" s="174"/>
      <c r="AQ64" s="174"/>
      <c r="AR64" s="174"/>
      <c r="AS64" s="173"/>
      <c r="AT64" s="173"/>
      <c r="AU64" s="173"/>
      <c r="AV64" s="173"/>
      <c r="AW64" s="167"/>
      <c r="AX64" s="167"/>
      <c r="AY64" s="167"/>
      <c r="AZ64" s="184"/>
      <c r="BA64" s="184"/>
      <c r="BB64" s="184"/>
      <c r="BC64" s="184"/>
      <c r="BD64" s="184"/>
      <c r="BE64" s="184"/>
      <c r="BF64" s="184"/>
      <c r="BG64" s="184"/>
      <c r="BH64" s="184"/>
      <c r="BI64" s="173"/>
      <c r="BJ64" s="173"/>
      <c r="BK64" s="173"/>
      <c r="BL64" s="173"/>
      <c r="BM64" s="173"/>
      <c r="BN64" s="173"/>
    </row>
    <row r="65" customFormat="false" ht="14.25" hidden="false" customHeight="false" outlineLevel="0" collapsed="false">
      <c r="A65" s="185"/>
      <c r="B65" s="185"/>
      <c r="C65" s="185"/>
      <c r="D65" s="185"/>
      <c r="E65" s="185"/>
      <c r="F65" s="185"/>
      <c r="G65" s="185"/>
      <c r="H65" s="185"/>
      <c r="I65" s="185"/>
      <c r="J65" s="185"/>
      <c r="K65" s="185"/>
      <c r="L65" s="185"/>
      <c r="M65" s="185"/>
      <c r="N65" s="185"/>
      <c r="O65" s="185"/>
      <c r="P65" s="185"/>
      <c r="Q65" s="185"/>
      <c r="R65" s="185"/>
      <c r="S65" s="185"/>
      <c r="T65" s="185"/>
      <c r="U65" s="185"/>
      <c r="V65" s="185"/>
      <c r="W65" s="185"/>
      <c r="X65" s="185"/>
      <c r="Y65" s="185"/>
      <c r="Z65" s="185"/>
      <c r="AA65" s="185"/>
      <c r="AB65" s="185"/>
      <c r="AC65" s="185"/>
      <c r="AD65" s="185"/>
      <c r="AE65" s="185"/>
      <c r="AF65" s="185"/>
      <c r="AG65" s="185"/>
      <c r="AH65" s="185"/>
      <c r="AI65" s="185"/>
      <c r="AJ65" s="185"/>
      <c r="AK65" s="185"/>
      <c r="AL65" s="185"/>
      <c r="AM65" s="185"/>
      <c r="AN65" s="185"/>
      <c r="AO65" s="185"/>
      <c r="AP65" s="185"/>
      <c r="AQ65" s="185"/>
      <c r="AR65" s="185"/>
      <c r="AS65" s="185"/>
      <c r="AT65" s="185"/>
      <c r="AU65" s="185"/>
      <c r="AV65" s="185"/>
      <c r="AW65" s="185"/>
      <c r="AX65" s="185"/>
      <c r="AY65" s="185"/>
      <c r="AZ65" s="185"/>
      <c r="BA65" s="185"/>
      <c r="BB65" s="185"/>
      <c r="BC65" s="185"/>
      <c r="BD65" s="185"/>
      <c r="BE65" s="185"/>
      <c r="BF65" s="185"/>
      <c r="BG65" s="185"/>
      <c r="BH65" s="185"/>
      <c r="BI65" s="185"/>
      <c r="BJ65" s="185"/>
      <c r="BK65" s="185"/>
      <c r="BL65" s="185"/>
      <c r="BM65" s="185"/>
      <c r="BN65" s="185"/>
    </row>
    <row r="69" customFormat="false" ht="15" hidden="false" customHeight="true" outlineLevel="0" collapsed="false"/>
    <row r="72" customFormat="false" ht="15" hidden="false" customHeight="true" outlineLevel="0" collapsed="false"/>
    <row r="75" customFormat="false" ht="15" hidden="false" customHeight="true" outlineLevel="0" collapsed="false"/>
    <row r="78" customFormat="false" ht="15" hidden="false" customHeight="true" outlineLevel="0" collapsed="false"/>
  </sheetData>
  <sheetProtection sheet="true" objects="true" scenarios="true" selectLockedCells="true"/>
  <mergeCells count="379">
    <mergeCell ref="A1:C1"/>
    <mergeCell ref="D1:G1"/>
    <mergeCell ref="H1:K1"/>
    <mergeCell ref="L1:AG1"/>
    <mergeCell ref="AH1:BD1"/>
    <mergeCell ref="BE1:BN1"/>
    <mergeCell ref="A2:C3"/>
    <mergeCell ref="D2:G3"/>
    <mergeCell ref="H2:K3"/>
    <mergeCell ref="L2:AG3"/>
    <mergeCell ref="AH2:BD3"/>
    <mergeCell ref="BE2:BN2"/>
    <mergeCell ref="BE3:BI3"/>
    <mergeCell ref="BJ3:BN3"/>
    <mergeCell ref="A4:C4"/>
    <mergeCell ref="D4:G4"/>
    <mergeCell ref="H4:K4"/>
    <mergeCell ref="L4:AG4"/>
    <mergeCell ref="AH4:BD4"/>
    <mergeCell ref="BE4:BI4"/>
    <mergeCell ref="BJ4:BN4"/>
    <mergeCell ref="A5:C5"/>
    <mergeCell ref="D5:G5"/>
    <mergeCell ref="H5:K5"/>
    <mergeCell ref="L5:AG5"/>
    <mergeCell ref="AH5:BD5"/>
    <mergeCell ref="BE5:BI5"/>
    <mergeCell ref="BJ5:BN5"/>
    <mergeCell ref="A6:C6"/>
    <mergeCell ref="D6:G6"/>
    <mergeCell ref="H6:K6"/>
    <mergeCell ref="L6:AG6"/>
    <mergeCell ref="AH6:BD6"/>
    <mergeCell ref="BE6:BI6"/>
    <mergeCell ref="BJ6:BN6"/>
    <mergeCell ref="A7:C7"/>
    <mergeCell ref="D7:G7"/>
    <mergeCell ref="H7:K7"/>
    <mergeCell ref="L7:AG7"/>
    <mergeCell ref="AH7:BD7"/>
    <mergeCell ref="BE7:BI7"/>
    <mergeCell ref="BJ7:BN7"/>
    <mergeCell ref="A8:C8"/>
    <mergeCell ref="D8:G8"/>
    <mergeCell ref="H8:K8"/>
    <mergeCell ref="L8:AG8"/>
    <mergeCell ref="AH8:BD8"/>
    <mergeCell ref="BE8:BI8"/>
    <mergeCell ref="BJ8:BN8"/>
    <mergeCell ref="A9:C9"/>
    <mergeCell ref="D9:G9"/>
    <mergeCell ref="H9:K9"/>
    <mergeCell ref="L9:AG9"/>
    <mergeCell ref="AH9:BD9"/>
    <mergeCell ref="BE9:BI9"/>
    <mergeCell ref="BJ9:BN9"/>
    <mergeCell ref="A10:C10"/>
    <mergeCell ref="D10:G10"/>
    <mergeCell ref="H10:K10"/>
    <mergeCell ref="L10:AG10"/>
    <mergeCell ref="AH10:BD10"/>
    <mergeCell ref="BE10:BI10"/>
    <mergeCell ref="BJ10:BN10"/>
    <mergeCell ref="A11:C11"/>
    <mergeCell ref="D11:G11"/>
    <mergeCell ref="H11:K11"/>
    <mergeCell ref="L11:AG11"/>
    <mergeCell ref="AH11:BD11"/>
    <mergeCell ref="BE11:BI11"/>
    <mergeCell ref="BJ11:BN11"/>
    <mergeCell ref="A12:C12"/>
    <mergeCell ref="D12:G12"/>
    <mergeCell ref="H12:K12"/>
    <mergeCell ref="L12:AG12"/>
    <mergeCell ref="AH12:BD12"/>
    <mergeCell ref="BE12:BI12"/>
    <mergeCell ref="BJ12:BN12"/>
    <mergeCell ref="A13:C13"/>
    <mergeCell ref="D13:G13"/>
    <mergeCell ref="H13:K13"/>
    <mergeCell ref="L13:AG13"/>
    <mergeCell ref="AH13:BD13"/>
    <mergeCell ref="BE13:BI13"/>
    <mergeCell ref="BJ13:BN13"/>
    <mergeCell ref="A14:C14"/>
    <mergeCell ref="D14:G14"/>
    <mergeCell ref="H14:K14"/>
    <mergeCell ref="L14:AG14"/>
    <mergeCell ref="AH14:BD14"/>
    <mergeCell ref="BE14:BI14"/>
    <mergeCell ref="BJ14:BN14"/>
    <mergeCell ref="A15:C15"/>
    <mergeCell ref="D15:G15"/>
    <mergeCell ref="H15:K15"/>
    <mergeCell ref="L15:AG15"/>
    <mergeCell ref="AH15:BD15"/>
    <mergeCell ref="BE15:BI15"/>
    <mergeCell ref="BJ15:BN15"/>
    <mergeCell ref="A16:C16"/>
    <mergeCell ref="D16:G16"/>
    <mergeCell ref="H16:K16"/>
    <mergeCell ref="L16:AG16"/>
    <mergeCell ref="AH16:BD16"/>
    <mergeCell ref="BE16:BI16"/>
    <mergeCell ref="BJ16:BN16"/>
    <mergeCell ref="A17:C17"/>
    <mergeCell ref="D17:G17"/>
    <mergeCell ref="H17:K17"/>
    <mergeCell ref="L17:AG17"/>
    <mergeCell ref="AH17:BD17"/>
    <mergeCell ref="BE17:BI17"/>
    <mergeCell ref="BJ17:BN17"/>
    <mergeCell ref="A18:C18"/>
    <mergeCell ref="D18:G18"/>
    <mergeCell ref="H18:K18"/>
    <mergeCell ref="L18:AG18"/>
    <mergeCell ref="AH18:BD18"/>
    <mergeCell ref="BE18:BI18"/>
    <mergeCell ref="BJ18:BN18"/>
    <mergeCell ref="A19:C19"/>
    <mergeCell ref="D19:G19"/>
    <mergeCell ref="H19:K19"/>
    <mergeCell ref="L19:AG19"/>
    <mergeCell ref="AH19:BD19"/>
    <mergeCell ref="BE19:BI19"/>
    <mergeCell ref="BJ19:BN19"/>
    <mergeCell ref="A20:C20"/>
    <mergeCell ref="D20:G20"/>
    <mergeCell ref="H20:K20"/>
    <mergeCell ref="L20:AG20"/>
    <mergeCell ref="AH20:BD20"/>
    <mergeCell ref="BE20:BI20"/>
    <mergeCell ref="BJ20:BN20"/>
    <mergeCell ref="A21:C21"/>
    <mergeCell ref="D21:G21"/>
    <mergeCell ref="H21:K21"/>
    <mergeCell ref="L21:AG21"/>
    <mergeCell ref="AH21:BD21"/>
    <mergeCell ref="BE21:BI21"/>
    <mergeCell ref="BJ21:BN21"/>
    <mergeCell ref="A22:C22"/>
    <mergeCell ref="D22:G22"/>
    <mergeCell ref="H22:K22"/>
    <mergeCell ref="L22:AG22"/>
    <mergeCell ref="AH22:BD22"/>
    <mergeCell ref="BE22:BI22"/>
    <mergeCell ref="BJ22:BN22"/>
    <mergeCell ref="A23:C23"/>
    <mergeCell ref="D23:G23"/>
    <mergeCell ref="H23:K23"/>
    <mergeCell ref="L23:AG23"/>
    <mergeCell ref="AH23:BD23"/>
    <mergeCell ref="BE23:BI23"/>
    <mergeCell ref="BJ23:BN23"/>
    <mergeCell ref="A24:C24"/>
    <mergeCell ref="D24:G24"/>
    <mergeCell ref="H24:K24"/>
    <mergeCell ref="L24:AG24"/>
    <mergeCell ref="AH24:BD24"/>
    <mergeCell ref="BE24:BI24"/>
    <mergeCell ref="BJ24:BN24"/>
    <mergeCell ref="A25:C25"/>
    <mergeCell ref="D25:G25"/>
    <mergeCell ref="H25:K25"/>
    <mergeCell ref="L25:AG25"/>
    <mergeCell ref="AH25:BD25"/>
    <mergeCell ref="BE25:BI25"/>
    <mergeCell ref="BJ25:BN25"/>
    <mergeCell ref="A26:C26"/>
    <mergeCell ref="D26:G26"/>
    <mergeCell ref="H26:K26"/>
    <mergeCell ref="L26:AG26"/>
    <mergeCell ref="AH26:BD26"/>
    <mergeCell ref="BE26:BI26"/>
    <mergeCell ref="BJ26:BN26"/>
    <mergeCell ref="A27:C27"/>
    <mergeCell ref="D27:G27"/>
    <mergeCell ref="H27:K27"/>
    <mergeCell ref="L27:AG27"/>
    <mergeCell ref="AH27:BD27"/>
    <mergeCell ref="BE27:BI27"/>
    <mergeCell ref="BJ27:BN27"/>
    <mergeCell ref="A28:C28"/>
    <mergeCell ref="D28:G28"/>
    <mergeCell ref="H28:K28"/>
    <mergeCell ref="L28:AG28"/>
    <mergeCell ref="AH28:BD28"/>
    <mergeCell ref="BE28:BI28"/>
    <mergeCell ref="BJ28:BN28"/>
    <mergeCell ref="A29:C29"/>
    <mergeCell ref="D29:G29"/>
    <mergeCell ref="H29:K29"/>
    <mergeCell ref="L29:AG29"/>
    <mergeCell ref="AH29:BD29"/>
    <mergeCell ref="BE29:BI29"/>
    <mergeCell ref="BJ29:BN29"/>
    <mergeCell ref="A30:C30"/>
    <mergeCell ref="D30:G30"/>
    <mergeCell ref="H30:K30"/>
    <mergeCell ref="L30:AG30"/>
    <mergeCell ref="AH30:BD30"/>
    <mergeCell ref="BE30:BI30"/>
    <mergeCell ref="BJ30:BN30"/>
    <mergeCell ref="A31:C31"/>
    <mergeCell ref="D31:G31"/>
    <mergeCell ref="H31:K31"/>
    <mergeCell ref="L31:AG31"/>
    <mergeCell ref="AH31:BD31"/>
    <mergeCell ref="BE31:BI31"/>
    <mergeCell ref="BJ31:BN31"/>
    <mergeCell ref="A32:C32"/>
    <mergeCell ref="D32:G32"/>
    <mergeCell ref="H32:K32"/>
    <mergeCell ref="L32:AG32"/>
    <mergeCell ref="AH32:BD32"/>
    <mergeCell ref="BE32:BI32"/>
    <mergeCell ref="BJ32:BN32"/>
    <mergeCell ref="A33:C33"/>
    <mergeCell ref="D33:G33"/>
    <mergeCell ref="H33:K33"/>
    <mergeCell ref="L33:AG33"/>
    <mergeCell ref="AH33:BD33"/>
    <mergeCell ref="BE33:BI33"/>
    <mergeCell ref="BJ33:BN33"/>
    <mergeCell ref="A34:C34"/>
    <mergeCell ref="D34:G34"/>
    <mergeCell ref="H34:K34"/>
    <mergeCell ref="L34:AG34"/>
    <mergeCell ref="AH34:BD34"/>
    <mergeCell ref="BE34:BI34"/>
    <mergeCell ref="BJ34:BN34"/>
    <mergeCell ref="A35:C35"/>
    <mergeCell ref="D35:G35"/>
    <mergeCell ref="H35:K35"/>
    <mergeCell ref="L35:AG35"/>
    <mergeCell ref="AH35:BD35"/>
    <mergeCell ref="BE35:BI35"/>
    <mergeCell ref="BJ35:BN35"/>
    <mergeCell ref="A36:C36"/>
    <mergeCell ref="D36:G36"/>
    <mergeCell ref="H36:K36"/>
    <mergeCell ref="L36:AG36"/>
    <mergeCell ref="AH36:BD36"/>
    <mergeCell ref="BE36:BI36"/>
    <mergeCell ref="BJ36:BN36"/>
    <mergeCell ref="A37:C37"/>
    <mergeCell ref="D37:G37"/>
    <mergeCell ref="H37:K37"/>
    <mergeCell ref="L37:AG37"/>
    <mergeCell ref="AH37:BD37"/>
    <mergeCell ref="BE37:BI37"/>
    <mergeCell ref="BJ37:BN37"/>
    <mergeCell ref="A38:C38"/>
    <mergeCell ref="D38:G38"/>
    <mergeCell ref="H38:K38"/>
    <mergeCell ref="L38:AG38"/>
    <mergeCell ref="AH38:BD38"/>
    <mergeCell ref="BE38:BI38"/>
    <mergeCell ref="BJ38:BN38"/>
    <mergeCell ref="A39:C39"/>
    <mergeCell ref="D39:G39"/>
    <mergeCell ref="H39:K39"/>
    <mergeCell ref="L39:AG39"/>
    <mergeCell ref="AH39:BD39"/>
    <mergeCell ref="BE39:BI39"/>
    <mergeCell ref="BJ39:BN39"/>
    <mergeCell ref="A40:C40"/>
    <mergeCell ref="D40:G40"/>
    <mergeCell ref="H40:K40"/>
    <mergeCell ref="L40:AG40"/>
    <mergeCell ref="AH40:BD40"/>
    <mergeCell ref="BE40:BI40"/>
    <mergeCell ref="BJ40:BN40"/>
    <mergeCell ref="A41:C41"/>
    <mergeCell ref="D41:G41"/>
    <mergeCell ref="H41:K41"/>
    <mergeCell ref="L41:AG41"/>
    <mergeCell ref="AH41:BD41"/>
    <mergeCell ref="BE41:BI41"/>
    <mergeCell ref="BJ41:BN41"/>
    <mergeCell ref="A42:C42"/>
    <mergeCell ref="D42:G42"/>
    <mergeCell ref="H42:K42"/>
    <mergeCell ref="L42:AG42"/>
    <mergeCell ref="AH42:BD42"/>
    <mergeCell ref="BE42:BI42"/>
    <mergeCell ref="BJ42:BN42"/>
    <mergeCell ref="A43:C43"/>
    <mergeCell ref="D43:G43"/>
    <mergeCell ref="H43:K43"/>
    <mergeCell ref="L43:AG43"/>
    <mergeCell ref="AH43:BD43"/>
    <mergeCell ref="BE43:BI43"/>
    <mergeCell ref="BJ43:BN43"/>
    <mergeCell ref="A44:C44"/>
    <mergeCell ref="D44:G44"/>
    <mergeCell ref="H44:K44"/>
    <mergeCell ref="L44:AG44"/>
    <mergeCell ref="AH44:BD44"/>
    <mergeCell ref="BE44:BI44"/>
    <mergeCell ref="BJ44:BN44"/>
    <mergeCell ref="A45:C45"/>
    <mergeCell ref="D45:G45"/>
    <mergeCell ref="H45:K45"/>
    <mergeCell ref="L45:AG45"/>
    <mergeCell ref="AH45:BD45"/>
    <mergeCell ref="BE45:BI45"/>
    <mergeCell ref="BJ45:BN45"/>
    <mergeCell ref="A46:C46"/>
    <mergeCell ref="D46:G46"/>
    <mergeCell ref="H46:K46"/>
    <mergeCell ref="L46:AG46"/>
    <mergeCell ref="AH46:BD46"/>
    <mergeCell ref="BE46:BI46"/>
    <mergeCell ref="BJ46:BN46"/>
    <mergeCell ref="A47:C47"/>
    <mergeCell ref="D47:G47"/>
    <mergeCell ref="H47:K47"/>
    <mergeCell ref="L47:AG47"/>
    <mergeCell ref="AH47:BD47"/>
    <mergeCell ref="BE47:BI47"/>
    <mergeCell ref="BJ47:BN47"/>
    <mergeCell ref="A48:C48"/>
    <mergeCell ref="D48:G48"/>
    <mergeCell ref="H48:K48"/>
    <mergeCell ref="L48:AG48"/>
    <mergeCell ref="AH48:BD48"/>
    <mergeCell ref="BE48:BI48"/>
    <mergeCell ref="BJ48:BN48"/>
    <mergeCell ref="A49:AG52"/>
    <mergeCell ref="AH49:BD49"/>
    <mergeCell ref="BE49:BN49"/>
    <mergeCell ref="AH50:BD50"/>
    <mergeCell ref="BE50:BN50"/>
    <mergeCell ref="AH51:BD51"/>
    <mergeCell ref="BE51:BN51"/>
    <mergeCell ref="AH52:BD52"/>
    <mergeCell ref="BE52:BN52"/>
    <mergeCell ref="A53:V53"/>
    <mergeCell ref="W53:AR53"/>
    <mergeCell ref="AS53:BA53"/>
    <mergeCell ref="BB53:BN53"/>
    <mergeCell ref="A54:V55"/>
    <mergeCell ref="W54:AR55"/>
    <mergeCell ref="AS54:BA55"/>
    <mergeCell ref="BB54:BN55"/>
    <mergeCell ref="A56:V60"/>
    <mergeCell ref="W56:AF56"/>
    <mergeCell ref="AG56:AJ56"/>
    <mergeCell ref="AK56:AN56"/>
    <mergeCell ref="AO56:AR56"/>
    <mergeCell ref="AS56:BH56"/>
    <mergeCell ref="BI56:BN56"/>
    <mergeCell ref="W57:AF58"/>
    <mergeCell ref="AG57:AJ58"/>
    <mergeCell ref="AK57:AN58"/>
    <mergeCell ref="AO57:AR58"/>
    <mergeCell ref="AS57:BH58"/>
    <mergeCell ref="BI57:BN58"/>
    <mergeCell ref="W59:AR59"/>
    <mergeCell ref="AS59:AY59"/>
    <mergeCell ref="AZ59:BD59"/>
    <mergeCell ref="BE59:BN59"/>
    <mergeCell ref="W60:AR62"/>
    <mergeCell ref="AS60:AY61"/>
    <mergeCell ref="AZ60:BD61"/>
    <mergeCell ref="BE60:BN61"/>
    <mergeCell ref="A61:V62"/>
    <mergeCell ref="AS62:AV62"/>
    <mergeCell ref="AW62:AY62"/>
    <mergeCell ref="AZ62:BH62"/>
    <mergeCell ref="BI62:BK62"/>
    <mergeCell ref="A63:V64"/>
    <mergeCell ref="W63:AR64"/>
    <mergeCell ref="AS63:AV64"/>
    <mergeCell ref="AW63:AY64"/>
    <mergeCell ref="AZ63:BH64"/>
    <mergeCell ref="BI63:BK64"/>
    <mergeCell ref="BL63:BN64"/>
  </mergeCells>
  <printOptions headings="false" gridLines="false" gridLinesSet="true" horizontalCentered="false" verticalCentered="false"/>
  <pageMargins left="0.7875" right="0.39375" top="0.39375" bottom="0.39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78"/>
  <sheetViews>
    <sheetView showFormulas="false" showGridLines="true" showRowColHeaders="true" showZeros="true" rightToLeft="false" tabSelected="false" showOutlineSymbols="true" defaultGridColor="true" view="pageBreakPreview" topLeftCell="A1" colorId="64" zoomScale="100" zoomScaleNormal="85" zoomScalePageLayoutView="100" workbookViewId="0">
      <selection pane="topLeft" activeCell="A4" activeCellId="0" sqref="A4"/>
    </sheetView>
  </sheetViews>
  <sheetFormatPr defaultColWidth="10.625" defaultRowHeight="14.25" customHeight="true" zeroHeight="false" outlineLevelRow="0" outlineLevelCol="0"/>
  <cols>
    <col collapsed="false" customWidth="true" hidden="false" outlineLevel="0" max="66" min="1" style="1" width="1.25"/>
    <col collapsed="false" customWidth="false" hidden="false" outlineLevel="0" max="16384" min="67" style="1" width="10.62"/>
  </cols>
  <sheetData>
    <row r="1" s="190" customFormat="true" ht="12.75" hidden="false" customHeight="true" outlineLevel="0" collapsed="false">
      <c r="A1" s="186" t="n">
        <v>1</v>
      </c>
      <c r="B1" s="186"/>
      <c r="C1" s="186"/>
      <c r="D1" s="187" t="n">
        <v>2</v>
      </c>
      <c r="E1" s="187"/>
      <c r="F1" s="187"/>
      <c r="G1" s="187"/>
      <c r="H1" s="187" t="n">
        <v>3</v>
      </c>
      <c r="I1" s="187"/>
      <c r="J1" s="187"/>
      <c r="K1" s="187"/>
      <c r="L1" s="187" t="n">
        <v>4</v>
      </c>
      <c r="M1" s="187"/>
      <c r="N1" s="187"/>
      <c r="O1" s="187"/>
      <c r="P1" s="187"/>
      <c r="Q1" s="187"/>
      <c r="R1" s="187"/>
      <c r="S1" s="187"/>
      <c r="T1" s="187"/>
      <c r="U1" s="187"/>
      <c r="V1" s="187"/>
      <c r="W1" s="187"/>
      <c r="X1" s="187"/>
      <c r="Y1" s="187"/>
      <c r="Z1" s="187"/>
      <c r="AA1" s="187"/>
      <c r="AB1" s="187"/>
      <c r="AC1" s="187"/>
      <c r="AD1" s="187"/>
      <c r="AE1" s="187"/>
      <c r="AF1" s="187"/>
      <c r="AG1" s="187"/>
      <c r="AH1" s="187" t="n">
        <v>5</v>
      </c>
      <c r="AI1" s="187"/>
      <c r="AJ1" s="187"/>
      <c r="AK1" s="187"/>
      <c r="AL1" s="187"/>
      <c r="AM1" s="187"/>
      <c r="AN1" s="187"/>
      <c r="AO1" s="187"/>
      <c r="AP1" s="187"/>
      <c r="AQ1" s="187"/>
      <c r="AR1" s="187"/>
      <c r="AS1" s="187"/>
      <c r="AT1" s="187"/>
      <c r="AU1" s="187"/>
      <c r="AV1" s="187"/>
      <c r="AW1" s="187"/>
      <c r="AX1" s="187"/>
      <c r="AY1" s="187"/>
      <c r="AZ1" s="187"/>
      <c r="BA1" s="187"/>
      <c r="BB1" s="187"/>
      <c r="BC1" s="187"/>
      <c r="BD1" s="187"/>
      <c r="BE1" s="188" t="n">
        <v>6</v>
      </c>
      <c r="BF1" s="188"/>
      <c r="BG1" s="188"/>
      <c r="BH1" s="188"/>
      <c r="BI1" s="188"/>
      <c r="BJ1" s="188"/>
      <c r="BK1" s="188"/>
      <c r="BL1" s="188"/>
      <c r="BM1" s="188"/>
      <c r="BN1" s="188"/>
      <c r="BO1" s="189"/>
      <c r="BP1" s="189"/>
      <c r="BQ1" s="189"/>
      <c r="BR1" s="189"/>
      <c r="BS1" s="189"/>
      <c r="BT1" s="189"/>
      <c r="BU1" s="189"/>
      <c r="BV1" s="189"/>
      <c r="BW1" s="189"/>
      <c r="BX1" s="189"/>
      <c r="BY1" s="189"/>
      <c r="BZ1" s="189"/>
      <c r="CA1" s="189"/>
      <c r="CB1" s="189"/>
      <c r="CC1" s="189"/>
      <c r="CD1" s="189"/>
      <c r="CE1" s="189"/>
      <c r="CF1" s="189"/>
      <c r="CG1" s="189"/>
      <c r="CH1" s="189"/>
      <c r="CI1" s="189"/>
      <c r="CJ1" s="189"/>
      <c r="CK1" s="189"/>
      <c r="CL1" s="189"/>
      <c r="CM1" s="189"/>
      <c r="CN1" s="189"/>
      <c r="CO1" s="189"/>
      <c r="CP1" s="189"/>
      <c r="CQ1" s="189"/>
      <c r="CR1" s="189"/>
      <c r="CS1" s="189"/>
      <c r="CT1" s="189"/>
      <c r="CU1" s="189"/>
      <c r="CV1" s="189"/>
      <c r="CW1" s="189"/>
      <c r="CX1" s="189"/>
      <c r="CY1" s="189"/>
      <c r="CZ1" s="189"/>
      <c r="DA1" s="189"/>
      <c r="DB1" s="189"/>
      <c r="DC1" s="189"/>
      <c r="DD1" s="189"/>
      <c r="DE1" s="189"/>
      <c r="DF1" s="189"/>
      <c r="DG1" s="189"/>
      <c r="DH1" s="189"/>
      <c r="DI1" s="189"/>
      <c r="DJ1" s="189"/>
      <c r="DK1" s="189"/>
      <c r="DL1" s="189"/>
      <c r="DM1" s="189"/>
      <c r="DN1" s="189"/>
      <c r="DO1" s="189"/>
      <c r="DP1" s="189"/>
      <c r="DQ1" s="189"/>
      <c r="DR1" s="189"/>
      <c r="DS1" s="189"/>
      <c r="DT1" s="189"/>
      <c r="DU1" s="189"/>
      <c r="DV1" s="189"/>
      <c r="DW1" s="189"/>
      <c r="DX1" s="189"/>
      <c r="DY1" s="189"/>
      <c r="DZ1" s="189"/>
      <c r="EA1" s="189"/>
      <c r="EB1" s="189"/>
      <c r="EC1" s="189"/>
      <c r="ED1" s="189"/>
      <c r="EE1" s="189"/>
      <c r="EF1" s="189"/>
      <c r="EG1" s="189"/>
      <c r="EH1" s="189"/>
      <c r="EI1" s="189"/>
      <c r="EJ1" s="189"/>
      <c r="EK1" s="189"/>
      <c r="EL1" s="189"/>
      <c r="EM1" s="189"/>
      <c r="EN1" s="189"/>
      <c r="EO1" s="189"/>
      <c r="EP1" s="189"/>
      <c r="EQ1" s="189"/>
      <c r="ER1" s="189"/>
      <c r="ES1" s="189"/>
      <c r="ET1" s="189"/>
      <c r="EU1" s="189"/>
      <c r="EV1" s="189"/>
      <c r="EW1" s="189"/>
      <c r="EX1" s="189"/>
      <c r="EY1" s="189"/>
      <c r="EZ1" s="189"/>
      <c r="FA1" s="189"/>
      <c r="FB1" s="189"/>
      <c r="FC1" s="189"/>
      <c r="FD1" s="189"/>
      <c r="FE1" s="189"/>
      <c r="FF1" s="189"/>
      <c r="FG1" s="189"/>
      <c r="FH1" s="189"/>
      <c r="FI1" s="189"/>
      <c r="FJ1" s="189"/>
      <c r="FK1" s="189"/>
      <c r="FL1" s="189"/>
      <c r="FM1" s="189"/>
      <c r="FN1" s="189"/>
      <c r="FO1" s="189"/>
      <c r="FP1" s="189"/>
      <c r="FQ1" s="189"/>
      <c r="FR1" s="189"/>
      <c r="FS1" s="189"/>
      <c r="FT1" s="189"/>
      <c r="FU1" s="189"/>
      <c r="FV1" s="189"/>
      <c r="FW1" s="189"/>
      <c r="FX1" s="189"/>
      <c r="FY1" s="189"/>
      <c r="FZ1" s="189"/>
      <c r="GA1" s="189"/>
      <c r="GB1" s="189"/>
      <c r="GC1" s="189"/>
      <c r="GD1" s="189"/>
      <c r="GE1" s="189"/>
      <c r="GF1" s="189"/>
      <c r="GG1" s="189"/>
      <c r="GH1" s="189"/>
      <c r="GI1" s="189"/>
      <c r="GJ1" s="189"/>
      <c r="GK1" s="189"/>
      <c r="GL1" s="189"/>
      <c r="GM1" s="189"/>
      <c r="GN1" s="189"/>
      <c r="GO1" s="189"/>
      <c r="GP1" s="189"/>
      <c r="GQ1" s="189"/>
      <c r="GR1" s="189"/>
      <c r="GS1" s="189"/>
      <c r="GT1" s="189"/>
      <c r="GU1" s="189"/>
      <c r="GV1" s="189"/>
      <c r="GW1" s="189"/>
      <c r="GX1" s="189"/>
      <c r="GY1" s="189"/>
      <c r="GZ1" s="189"/>
      <c r="HA1" s="189"/>
      <c r="HB1" s="189"/>
      <c r="HC1" s="189"/>
      <c r="HD1" s="189"/>
      <c r="HE1" s="189"/>
      <c r="HF1" s="189"/>
      <c r="HG1" s="189"/>
      <c r="HH1" s="189"/>
      <c r="HI1" s="189"/>
      <c r="HJ1" s="189"/>
      <c r="HK1" s="189"/>
      <c r="HL1" s="189"/>
      <c r="HM1" s="189"/>
      <c r="HN1" s="189"/>
      <c r="HO1" s="189"/>
      <c r="HP1" s="189"/>
      <c r="HQ1" s="189"/>
      <c r="HR1" s="189"/>
      <c r="HS1" s="189"/>
      <c r="HT1" s="189"/>
      <c r="HU1" s="189"/>
      <c r="HV1" s="189"/>
      <c r="HW1" s="189"/>
      <c r="HX1" s="189"/>
      <c r="HY1" s="189"/>
      <c r="HZ1" s="189"/>
      <c r="IA1" s="189"/>
      <c r="IB1" s="189"/>
      <c r="IC1" s="189"/>
      <c r="ID1" s="189"/>
      <c r="IE1" s="189"/>
      <c r="IF1" s="189"/>
      <c r="IG1" s="189"/>
      <c r="IH1" s="189"/>
      <c r="II1" s="189"/>
      <c r="IJ1" s="189"/>
      <c r="IK1" s="189"/>
      <c r="IL1" s="189"/>
      <c r="IM1" s="189"/>
      <c r="IN1" s="189"/>
      <c r="IO1" s="189"/>
      <c r="IP1" s="189"/>
      <c r="IQ1" s="189"/>
      <c r="IR1" s="189"/>
      <c r="IS1" s="189"/>
      <c r="IT1" s="189"/>
      <c r="IU1" s="189"/>
      <c r="IV1" s="189"/>
    </row>
    <row r="2" s="190" customFormat="true" ht="12.75" hidden="false" customHeight="true" outlineLevel="0" collapsed="false">
      <c r="A2" s="191" t="str">
        <f aca="false">Eingabe!A7</f>
        <v>Lfd. 
Nr.</v>
      </c>
      <c r="B2" s="191"/>
      <c r="C2" s="191"/>
      <c r="D2" s="147" t="str">
        <f aca="false">Eingabe!B7</f>
        <v>Stück-
zahl</v>
      </c>
      <c r="E2" s="147"/>
      <c r="F2" s="147"/>
      <c r="G2" s="147"/>
      <c r="H2" s="147" t="str">
        <f aca="false">Eingabe!C7</f>
        <v>Ein-
heit</v>
      </c>
      <c r="I2" s="147"/>
      <c r="J2" s="147"/>
      <c r="K2" s="147"/>
      <c r="L2" s="148" t="str">
        <f aca="false">Eingabe!D7</f>
        <v>Benennung</v>
      </c>
      <c r="M2" s="148"/>
      <c r="N2" s="148"/>
      <c r="O2" s="148"/>
      <c r="P2" s="148"/>
      <c r="Q2" s="148"/>
      <c r="R2" s="148"/>
      <c r="S2" s="148"/>
      <c r="T2" s="148"/>
      <c r="U2" s="148"/>
      <c r="V2" s="148"/>
      <c r="W2" s="148"/>
      <c r="X2" s="148"/>
      <c r="Y2" s="148"/>
      <c r="Z2" s="148"/>
      <c r="AA2" s="148"/>
      <c r="AB2" s="148"/>
      <c r="AC2" s="148"/>
      <c r="AD2" s="148"/>
      <c r="AE2" s="148"/>
      <c r="AF2" s="148"/>
      <c r="AG2" s="148"/>
      <c r="AH2" s="148" t="str">
        <f aca="false">Eingabe!F7&amp;" / "&amp;Eingabe!G7</f>
        <v>Lieferant / Bestellnummer</v>
      </c>
      <c r="AI2" s="148"/>
      <c r="AJ2" s="148"/>
      <c r="AK2" s="148"/>
      <c r="AL2" s="148"/>
      <c r="AM2" s="148"/>
      <c r="AN2" s="148"/>
      <c r="AO2" s="148"/>
      <c r="AP2" s="148"/>
      <c r="AQ2" s="148"/>
      <c r="AR2" s="148"/>
      <c r="AS2" s="148"/>
      <c r="AT2" s="148"/>
      <c r="AU2" s="148"/>
      <c r="AV2" s="148"/>
      <c r="AW2" s="148"/>
      <c r="AX2" s="148"/>
      <c r="AY2" s="148"/>
      <c r="AZ2" s="148"/>
      <c r="BA2" s="148"/>
      <c r="BB2" s="148"/>
      <c r="BC2" s="148"/>
      <c r="BD2" s="148"/>
      <c r="BE2" s="192" t="s">
        <v>104</v>
      </c>
      <c r="BF2" s="192"/>
      <c r="BG2" s="192"/>
      <c r="BH2" s="192"/>
      <c r="BI2" s="192"/>
      <c r="BJ2" s="192"/>
      <c r="BK2" s="192"/>
      <c r="BL2" s="192"/>
      <c r="BM2" s="192"/>
      <c r="BN2" s="192"/>
      <c r="BO2" s="189"/>
      <c r="BP2" s="189"/>
      <c r="BQ2" s="189"/>
      <c r="BR2" s="189"/>
      <c r="BS2" s="189"/>
      <c r="BT2" s="189"/>
      <c r="BU2" s="189"/>
      <c r="BV2" s="189"/>
      <c r="BW2" s="189"/>
      <c r="BX2" s="189"/>
      <c r="BY2" s="189"/>
      <c r="BZ2" s="189"/>
      <c r="CA2" s="189"/>
      <c r="CB2" s="189"/>
      <c r="CC2" s="189"/>
      <c r="CD2" s="189"/>
      <c r="CE2" s="189"/>
      <c r="CF2" s="189"/>
      <c r="CG2" s="189"/>
      <c r="CH2" s="189"/>
      <c r="CI2" s="189"/>
      <c r="CJ2" s="189"/>
      <c r="CK2" s="189"/>
      <c r="CL2" s="189"/>
      <c r="CM2" s="189"/>
      <c r="CN2" s="189"/>
      <c r="CO2" s="189"/>
      <c r="CP2" s="189"/>
      <c r="CQ2" s="189"/>
      <c r="CR2" s="189"/>
      <c r="CS2" s="189"/>
      <c r="CT2" s="189"/>
      <c r="CU2" s="189"/>
      <c r="CV2" s="189"/>
      <c r="CW2" s="189"/>
      <c r="CX2" s="189"/>
      <c r="CY2" s="189"/>
      <c r="CZ2" s="189"/>
      <c r="DA2" s="189"/>
      <c r="DB2" s="189"/>
      <c r="DC2" s="189"/>
      <c r="DD2" s="189"/>
      <c r="DE2" s="189"/>
      <c r="DF2" s="189"/>
      <c r="DG2" s="189"/>
      <c r="DH2" s="189"/>
      <c r="DI2" s="189"/>
      <c r="DJ2" s="189"/>
      <c r="DK2" s="189"/>
      <c r="DL2" s="189"/>
      <c r="DM2" s="189"/>
      <c r="DN2" s="189"/>
      <c r="DO2" s="189"/>
      <c r="DP2" s="189"/>
      <c r="DQ2" s="189"/>
      <c r="DR2" s="189"/>
      <c r="DS2" s="189"/>
      <c r="DT2" s="189"/>
      <c r="DU2" s="189"/>
      <c r="DV2" s="189"/>
      <c r="DW2" s="189"/>
      <c r="DX2" s="189"/>
      <c r="DY2" s="189"/>
      <c r="DZ2" s="189"/>
      <c r="EA2" s="189"/>
      <c r="EB2" s="189"/>
      <c r="EC2" s="189"/>
      <c r="ED2" s="189"/>
      <c r="EE2" s="189"/>
      <c r="EF2" s="189"/>
      <c r="EG2" s="189"/>
      <c r="EH2" s="189"/>
      <c r="EI2" s="189"/>
      <c r="EJ2" s="189"/>
      <c r="EK2" s="189"/>
      <c r="EL2" s="189"/>
      <c r="EM2" s="189"/>
      <c r="EN2" s="189"/>
      <c r="EO2" s="189"/>
      <c r="EP2" s="189"/>
      <c r="EQ2" s="189"/>
      <c r="ER2" s="189"/>
      <c r="ES2" s="189"/>
      <c r="ET2" s="189"/>
      <c r="EU2" s="189"/>
      <c r="EV2" s="189"/>
      <c r="EW2" s="189"/>
      <c r="EX2" s="189"/>
      <c r="EY2" s="189"/>
      <c r="EZ2" s="189"/>
      <c r="FA2" s="189"/>
      <c r="FB2" s="189"/>
      <c r="FC2" s="189"/>
      <c r="FD2" s="189"/>
      <c r="FE2" s="189"/>
      <c r="FF2" s="189"/>
      <c r="FG2" s="189"/>
      <c r="FH2" s="189"/>
      <c r="FI2" s="189"/>
      <c r="FJ2" s="189"/>
      <c r="FK2" s="189"/>
      <c r="FL2" s="189"/>
      <c r="FM2" s="189"/>
      <c r="FN2" s="189"/>
      <c r="FO2" s="189"/>
      <c r="FP2" s="189"/>
      <c r="FQ2" s="189"/>
      <c r="FR2" s="189"/>
      <c r="FS2" s="189"/>
      <c r="FT2" s="189"/>
      <c r="FU2" s="189"/>
      <c r="FV2" s="189"/>
      <c r="FW2" s="189"/>
      <c r="FX2" s="189"/>
      <c r="FY2" s="189"/>
      <c r="FZ2" s="189"/>
      <c r="GA2" s="189"/>
      <c r="GB2" s="189"/>
      <c r="GC2" s="189"/>
      <c r="GD2" s="189"/>
      <c r="GE2" s="189"/>
      <c r="GF2" s="189"/>
      <c r="GG2" s="189"/>
      <c r="GH2" s="189"/>
      <c r="GI2" s="189"/>
      <c r="GJ2" s="189"/>
      <c r="GK2" s="189"/>
      <c r="GL2" s="189"/>
      <c r="GM2" s="189"/>
      <c r="GN2" s="189"/>
      <c r="GO2" s="189"/>
      <c r="GP2" s="189"/>
      <c r="GQ2" s="189"/>
      <c r="GR2" s="189"/>
      <c r="GS2" s="189"/>
      <c r="GT2" s="189"/>
      <c r="GU2" s="189"/>
      <c r="GV2" s="189"/>
      <c r="GW2" s="189"/>
      <c r="GX2" s="189"/>
      <c r="GY2" s="189"/>
      <c r="GZ2" s="189"/>
      <c r="HA2" s="189"/>
      <c r="HB2" s="189"/>
      <c r="HC2" s="189"/>
      <c r="HD2" s="189"/>
      <c r="HE2" s="189"/>
      <c r="HF2" s="189"/>
      <c r="HG2" s="189"/>
      <c r="HH2" s="189"/>
      <c r="HI2" s="189"/>
      <c r="HJ2" s="189"/>
      <c r="HK2" s="189"/>
      <c r="HL2" s="189"/>
      <c r="HM2" s="189"/>
      <c r="HN2" s="189"/>
      <c r="HO2" s="189"/>
      <c r="HP2" s="189"/>
      <c r="HQ2" s="189"/>
      <c r="HR2" s="189"/>
      <c r="HS2" s="189"/>
      <c r="HT2" s="189"/>
      <c r="HU2" s="189"/>
      <c r="HV2" s="189"/>
      <c r="HW2" s="189"/>
      <c r="HX2" s="189"/>
      <c r="HY2" s="189"/>
      <c r="HZ2" s="189"/>
      <c r="IA2" s="189"/>
      <c r="IB2" s="189"/>
      <c r="IC2" s="189"/>
      <c r="ID2" s="189"/>
      <c r="IE2" s="189"/>
      <c r="IF2" s="189"/>
      <c r="IG2" s="189"/>
      <c r="IH2" s="189"/>
      <c r="II2" s="189"/>
      <c r="IJ2" s="189"/>
      <c r="IK2" s="189"/>
      <c r="IL2" s="189"/>
      <c r="IM2" s="189"/>
      <c r="IN2" s="189"/>
      <c r="IO2" s="189"/>
      <c r="IP2" s="189"/>
      <c r="IQ2" s="189"/>
      <c r="IR2" s="189"/>
      <c r="IS2" s="189"/>
      <c r="IT2" s="189"/>
      <c r="IU2" s="189"/>
      <c r="IV2" s="189"/>
    </row>
    <row r="3" s="190" customFormat="true" ht="12.75" hidden="false" customHeight="true" outlineLevel="0" collapsed="false">
      <c r="A3" s="191"/>
      <c r="B3" s="191"/>
      <c r="C3" s="191"/>
      <c r="D3" s="147"/>
      <c r="E3" s="147"/>
      <c r="F3" s="147"/>
      <c r="G3" s="147"/>
      <c r="H3" s="147"/>
      <c r="I3" s="147"/>
      <c r="J3" s="147"/>
      <c r="K3" s="147"/>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93" t="s">
        <v>105</v>
      </c>
      <c r="BF3" s="193"/>
      <c r="BG3" s="193"/>
      <c r="BH3" s="193"/>
      <c r="BI3" s="193"/>
      <c r="BJ3" s="194" t="s">
        <v>106</v>
      </c>
      <c r="BK3" s="194"/>
      <c r="BL3" s="194"/>
      <c r="BM3" s="194"/>
      <c r="BN3" s="194"/>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c r="CY3" s="189"/>
      <c r="CZ3" s="189"/>
      <c r="DA3" s="189"/>
      <c r="DB3" s="189"/>
      <c r="DC3" s="189"/>
      <c r="DD3" s="189"/>
      <c r="DE3" s="189"/>
      <c r="DF3" s="189"/>
      <c r="DG3" s="189"/>
      <c r="DH3" s="189"/>
      <c r="DI3" s="189"/>
      <c r="DJ3" s="189"/>
      <c r="DK3" s="189"/>
      <c r="DL3" s="189"/>
      <c r="DM3" s="189"/>
      <c r="DN3" s="189"/>
      <c r="DO3" s="189"/>
      <c r="DP3" s="189"/>
      <c r="DQ3" s="189"/>
      <c r="DR3" s="189"/>
      <c r="DS3" s="189"/>
      <c r="DT3" s="189"/>
      <c r="DU3" s="189"/>
      <c r="DV3" s="189"/>
      <c r="DW3" s="189"/>
      <c r="DX3" s="189"/>
      <c r="DY3" s="189"/>
      <c r="DZ3" s="189"/>
      <c r="EA3" s="189"/>
      <c r="EB3" s="189"/>
      <c r="EC3" s="189"/>
      <c r="ED3" s="189"/>
      <c r="EE3" s="189"/>
      <c r="EF3" s="189"/>
      <c r="EG3" s="189"/>
      <c r="EH3" s="189"/>
      <c r="EI3" s="189"/>
      <c r="EJ3" s="189"/>
      <c r="EK3" s="189"/>
      <c r="EL3" s="189"/>
      <c r="EM3" s="189"/>
      <c r="EN3" s="189"/>
      <c r="EO3" s="189"/>
      <c r="EP3" s="189"/>
      <c r="EQ3" s="189"/>
      <c r="ER3" s="189"/>
      <c r="ES3" s="189"/>
      <c r="ET3" s="189"/>
      <c r="EU3" s="189"/>
      <c r="EV3" s="189"/>
      <c r="EW3" s="189"/>
      <c r="EX3" s="189"/>
      <c r="EY3" s="189"/>
      <c r="EZ3" s="189"/>
      <c r="FA3" s="189"/>
      <c r="FB3" s="189"/>
      <c r="FC3" s="189"/>
      <c r="FD3" s="189"/>
      <c r="FE3" s="189"/>
      <c r="FF3" s="189"/>
      <c r="FG3" s="189"/>
      <c r="FH3" s="189"/>
      <c r="FI3" s="189"/>
      <c r="FJ3" s="189"/>
      <c r="FK3" s="189"/>
      <c r="FL3" s="189"/>
      <c r="FM3" s="189"/>
      <c r="FN3" s="189"/>
      <c r="FO3" s="189"/>
      <c r="FP3" s="189"/>
      <c r="FQ3" s="189"/>
      <c r="FR3" s="189"/>
      <c r="FS3" s="189"/>
      <c r="FT3" s="189"/>
      <c r="FU3" s="189"/>
      <c r="FV3" s="189"/>
      <c r="FW3" s="189"/>
      <c r="FX3" s="189"/>
      <c r="FY3" s="189"/>
      <c r="FZ3" s="189"/>
      <c r="GA3" s="189"/>
      <c r="GB3" s="189"/>
      <c r="GC3" s="189"/>
      <c r="GD3" s="189"/>
      <c r="GE3" s="189"/>
      <c r="GF3" s="189"/>
      <c r="GG3" s="189"/>
      <c r="GH3" s="189"/>
      <c r="GI3" s="189"/>
      <c r="GJ3" s="189"/>
      <c r="GK3" s="189"/>
      <c r="GL3" s="189"/>
      <c r="GM3" s="189"/>
      <c r="GN3" s="189"/>
      <c r="GO3" s="189"/>
      <c r="GP3" s="189"/>
      <c r="GQ3" s="189"/>
      <c r="GR3" s="189"/>
      <c r="GS3" s="189"/>
      <c r="GT3" s="189"/>
      <c r="GU3" s="189"/>
      <c r="GV3" s="189"/>
      <c r="GW3" s="189"/>
      <c r="GX3" s="189"/>
      <c r="GY3" s="189"/>
      <c r="GZ3" s="189"/>
      <c r="HA3" s="189"/>
      <c r="HB3" s="189"/>
      <c r="HC3" s="189"/>
      <c r="HD3" s="189"/>
      <c r="HE3" s="189"/>
      <c r="HF3" s="189"/>
      <c r="HG3" s="189"/>
      <c r="HH3" s="189"/>
      <c r="HI3" s="189"/>
      <c r="HJ3" s="189"/>
      <c r="HK3" s="189"/>
      <c r="HL3" s="189"/>
      <c r="HM3" s="189"/>
      <c r="HN3" s="189"/>
      <c r="HO3" s="189"/>
      <c r="HP3" s="189"/>
      <c r="HQ3" s="189"/>
      <c r="HR3" s="189"/>
      <c r="HS3" s="189"/>
      <c r="HT3" s="189"/>
      <c r="HU3" s="189"/>
      <c r="HV3" s="189"/>
      <c r="HW3" s="189"/>
      <c r="HX3" s="189"/>
      <c r="HY3" s="189"/>
      <c r="HZ3" s="189"/>
      <c r="IA3" s="189"/>
      <c r="IB3" s="189"/>
      <c r="IC3" s="189"/>
      <c r="ID3" s="189"/>
      <c r="IE3" s="189"/>
      <c r="IF3" s="189"/>
      <c r="IG3" s="189"/>
      <c r="IH3" s="189"/>
      <c r="II3" s="189"/>
      <c r="IJ3" s="189"/>
      <c r="IK3" s="189"/>
      <c r="IL3" s="189"/>
      <c r="IM3" s="189"/>
      <c r="IN3" s="189"/>
      <c r="IO3" s="189"/>
      <c r="IP3" s="189"/>
      <c r="IQ3" s="189"/>
      <c r="IR3" s="189"/>
      <c r="IS3" s="189"/>
      <c r="IT3" s="189"/>
      <c r="IU3" s="189"/>
      <c r="IV3" s="189"/>
    </row>
    <row r="4" s="199" customFormat="true" ht="12.75" hidden="false" customHeight="true" outlineLevel="0" collapsed="false">
      <c r="A4" s="150" t="str">
        <f aca="false">IF(Eingabe!A98="","",Eingabe!A98)</f>
        <v/>
      </c>
      <c r="B4" s="150"/>
      <c r="C4" s="150"/>
      <c r="D4" s="151" t="str">
        <f aca="false">IF(Eingabe!B98="","",Eingabe!B98)</f>
        <v/>
      </c>
      <c r="E4" s="151"/>
      <c r="F4" s="151"/>
      <c r="G4" s="151"/>
      <c r="H4" s="152" t="str">
        <f aca="false">IF(Eingabe!C98="","",Eingabe!C98)</f>
        <v/>
      </c>
      <c r="I4" s="152"/>
      <c r="J4" s="152"/>
      <c r="K4" s="152"/>
      <c r="L4" s="153" t="str">
        <f aca="false">IF(Eingabe!D98="","",Eingabe!D98)</f>
        <v/>
      </c>
      <c r="M4" s="153"/>
      <c r="N4" s="153"/>
      <c r="O4" s="153"/>
      <c r="P4" s="153"/>
      <c r="Q4" s="153"/>
      <c r="R4" s="153"/>
      <c r="S4" s="153"/>
      <c r="T4" s="153"/>
      <c r="U4" s="153"/>
      <c r="V4" s="153"/>
      <c r="W4" s="153"/>
      <c r="X4" s="153"/>
      <c r="Y4" s="153"/>
      <c r="Z4" s="153"/>
      <c r="AA4" s="153"/>
      <c r="AB4" s="153"/>
      <c r="AC4" s="153"/>
      <c r="AD4" s="153"/>
      <c r="AE4" s="153"/>
      <c r="AF4" s="153"/>
      <c r="AG4" s="153"/>
      <c r="AH4" s="195" t="str">
        <f aca="false">IF(Eingabe!F98&amp;Eingabe!G98="","",Eingabe!F98&amp;"  /  "&amp;Eingabe!G98)</f>
        <v/>
      </c>
      <c r="AI4" s="195"/>
      <c r="AJ4" s="195"/>
      <c r="AK4" s="195"/>
      <c r="AL4" s="195"/>
      <c r="AM4" s="195"/>
      <c r="AN4" s="195"/>
      <c r="AO4" s="195"/>
      <c r="AP4" s="195"/>
      <c r="AQ4" s="195"/>
      <c r="AR4" s="195"/>
      <c r="AS4" s="195"/>
      <c r="AT4" s="195"/>
      <c r="AU4" s="195"/>
      <c r="AV4" s="195"/>
      <c r="AW4" s="195"/>
      <c r="AX4" s="195"/>
      <c r="AY4" s="195"/>
      <c r="AZ4" s="195"/>
      <c r="BA4" s="195"/>
      <c r="BB4" s="195"/>
      <c r="BC4" s="195"/>
      <c r="BD4" s="195"/>
      <c r="BE4" s="196" t="str">
        <f aca="false">IF(Eingabe!I98="","",Eingabe!I98)</f>
        <v/>
      </c>
      <c r="BF4" s="196"/>
      <c r="BG4" s="196"/>
      <c r="BH4" s="196"/>
      <c r="BI4" s="196"/>
      <c r="BJ4" s="197" t="str">
        <f aca="false">IF(Eingabe!I98="","",Eingabe!I98*Eingabe!B98)</f>
        <v/>
      </c>
      <c r="BK4" s="197"/>
      <c r="BL4" s="197"/>
      <c r="BM4" s="197"/>
      <c r="BN4" s="197"/>
      <c r="BO4" s="198"/>
      <c r="BP4" s="198"/>
      <c r="BQ4" s="198"/>
      <c r="BR4" s="198"/>
      <c r="BS4" s="198"/>
      <c r="BT4" s="198"/>
      <c r="BU4" s="198"/>
      <c r="BV4" s="198"/>
      <c r="BW4" s="198"/>
      <c r="BX4" s="198"/>
      <c r="BY4" s="198"/>
      <c r="BZ4" s="198"/>
      <c r="CA4" s="198"/>
      <c r="CB4" s="198"/>
      <c r="CC4" s="198"/>
      <c r="CD4" s="198"/>
      <c r="CE4" s="198"/>
      <c r="CF4" s="198"/>
      <c r="CG4" s="198"/>
      <c r="CH4" s="198"/>
      <c r="CI4" s="198"/>
      <c r="CJ4" s="198"/>
      <c r="CK4" s="198"/>
      <c r="CL4" s="198"/>
      <c r="CM4" s="198"/>
      <c r="CN4" s="198"/>
      <c r="CO4" s="198"/>
      <c r="CP4" s="198"/>
      <c r="CQ4" s="198"/>
      <c r="CR4" s="198"/>
      <c r="CS4" s="198"/>
      <c r="CT4" s="198"/>
      <c r="CU4" s="198"/>
      <c r="CV4" s="198"/>
      <c r="CW4" s="198"/>
      <c r="CX4" s="198"/>
      <c r="CY4" s="198"/>
      <c r="CZ4" s="198"/>
      <c r="DA4" s="198"/>
      <c r="DB4" s="198"/>
      <c r="DC4" s="198"/>
      <c r="DD4" s="198"/>
      <c r="DE4" s="198"/>
      <c r="DF4" s="198"/>
      <c r="DG4" s="198"/>
      <c r="DH4" s="198"/>
      <c r="DI4" s="198"/>
      <c r="DJ4" s="198"/>
      <c r="DK4" s="198"/>
      <c r="DL4" s="198"/>
      <c r="DM4" s="198"/>
      <c r="DN4" s="198"/>
      <c r="DO4" s="198"/>
      <c r="DP4" s="198"/>
      <c r="DQ4" s="198"/>
      <c r="DR4" s="198"/>
      <c r="DS4" s="198"/>
      <c r="DT4" s="198"/>
      <c r="DU4" s="198"/>
      <c r="DV4" s="198"/>
      <c r="DW4" s="198"/>
      <c r="DX4" s="198"/>
      <c r="DY4" s="198"/>
      <c r="DZ4" s="198"/>
      <c r="EA4" s="198"/>
      <c r="EB4" s="198"/>
      <c r="EC4" s="198"/>
      <c r="ED4" s="198"/>
      <c r="EE4" s="198"/>
      <c r="EF4" s="198"/>
      <c r="EG4" s="198"/>
      <c r="EH4" s="198"/>
      <c r="EI4" s="198"/>
      <c r="EJ4" s="198"/>
      <c r="EK4" s="198"/>
      <c r="EL4" s="198"/>
      <c r="EM4" s="198"/>
      <c r="EN4" s="198"/>
      <c r="EO4" s="198"/>
      <c r="EP4" s="198"/>
      <c r="EQ4" s="198"/>
      <c r="ER4" s="198"/>
      <c r="ES4" s="198"/>
      <c r="ET4" s="198"/>
      <c r="EU4" s="198"/>
      <c r="EV4" s="198"/>
      <c r="EW4" s="198"/>
      <c r="EX4" s="198"/>
      <c r="EY4" s="198"/>
      <c r="EZ4" s="198"/>
      <c r="FA4" s="198"/>
      <c r="FB4" s="198"/>
      <c r="FC4" s="198"/>
      <c r="FD4" s="198"/>
      <c r="FE4" s="198"/>
      <c r="FF4" s="198"/>
      <c r="FG4" s="198"/>
      <c r="FH4" s="198"/>
      <c r="FI4" s="198"/>
      <c r="FJ4" s="198"/>
      <c r="FK4" s="198"/>
      <c r="FL4" s="198"/>
      <c r="FM4" s="198"/>
      <c r="FN4" s="198"/>
      <c r="FO4" s="198"/>
      <c r="FP4" s="198"/>
      <c r="FQ4" s="198"/>
      <c r="FR4" s="198"/>
      <c r="FS4" s="198"/>
      <c r="FT4" s="198"/>
      <c r="FU4" s="198"/>
      <c r="FV4" s="198"/>
      <c r="FW4" s="198"/>
      <c r="FX4" s="198"/>
      <c r="FY4" s="198"/>
      <c r="FZ4" s="198"/>
      <c r="GA4" s="198"/>
      <c r="GB4" s="198"/>
      <c r="GC4" s="198"/>
      <c r="GD4" s="198"/>
      <c r="GE4" s="198"/>
      <c r="GF4" s="198"/>
      <c r="GG4" s="198"/>
      <c r="GH4" s="198"/>
      <c r="GI4" s="198"/>
      <c r="GJ4" s="198"/>
      <c r="GK4" s="198"/>
      <c r="GL4" s="198"/>
      <c r="GM4" s="198"/>
      <c r="GN4" s="198"/>
      <c r="GO4" s="198"/>
      <c r="GP4" s="198"/>
      <c r="GQ4" s="198"/>
      <c r="GR4" s="198"/>
      <c r="GS4" s="198"/>
      <c r="GT4" s="198"/>
      <c r="GU4" s="198"/>
      <c r="GV4" s="198"/>
      <c r="GW4" s="198"/>
      <c r="GX4" s="198"/>
      <c r="GY4" s="198"/>
      <c r="GZ4" s="198"/>
      <c r="HA4" s="198"/>
      <c r="HB4" s="198"/>
      <c r="HC4" s="198"/>
      <c r="HD4" s="198"/>
      <c r="HE4" s="198"/>
      <c r="HF4" s="198"/>
      <c r="HG4" s="198"/>
      <c r="HH4" s="198"/>
      <c r="HI4" s="198"/>
      <c r="HJ4" s="198"/>
      <c r="HK4" s="198"/>
      <c r="HL4" s="198"/>
      <c r="HM4" s="198"/>
      <c r="HN4" s="198"/>
      <c r="HO4" s="198"/>
      <c r="HP4" s="198"/>
      <c r="HQ4" s="198"/>
      <c r="HR4" s="198"/>
      <c r="HS4" s="198"/>
      <c r="HT4" s="198"/>
      <c r="HU4" s="198"/>
      <c r="HV4" s="198"/>
      <c r="HW4" s="198"/>
      <c r="HX4" s="198"/>
      <c r="HY4" s="198"/>
      <c r="HZ4" s="198"/>
      <c r="IA4" s="198"/>
      <c r="IB4" s="198"/>
      <c r="IC4" s="198"/>
      <c r="ID4" s="198"/>
      <c r="IE4" s="198"/>
      <c r="IF4" s="198"/>
      <c r="IG4" s="198"/>
      <c r="IH4" s="198"/>
      <c r="II4" s="198"/>
      <c r="IJ4" s="198"/>
      <c r="IK4" s="198"/>
      <c r="IL4" s="198"/>
      <c r="IM4" s="198"/>
      <c r="IN4" s="198"/>
      <c r="IO4" s="198"/>
      <c r="IP4" s="198"/>
      <c r="IQ4" s="198"/>
      <c r="IR4" s="198"/>
      <c r="IS4" s="198"/>
      <c r="IT4" s="198"/>
      <c r="IU4" s="198"/>
      <c r="IV4" s="198"/>
    </row>
    <row r="5" s="199" customFormat="true" ht="12.75" hidden="false" customHeight="true" outlineLevel="0" collapsed="false">
      <c r="A5" s="157" t="str">
        <f aca="false">IF(Eingabe!A99="","",Eingabe!A99)</f>
        <v/>
      </c>
      <c r="B5" s="157"/>
      <c r="C5" s="157"/>
      <c r="D5" s="158" t="str">
        <f aca="false">IF(Eingabe!B99="","",Eingabe!B99)</f>
        <v/>
      </c>
      <c r="E5" s="158"/>
      <c r="F5" s="158"/>
      <c r="G5" s="158"/>
      <c r="H5" s="159" t="str">
        <f aca="false">IF(Eingabe!C99="","",Eingabe!C99)</f>
        <v/>
      </c>
      <c r="I5" s="159"/>
      <c r="J5" s="159"/>
      <c r="K5" s="159"/>
      <c r="L5" s="160" t="str">
        <f aca="false">IF(Eingabe!D99="","",Eingabe!D99)</f>
        <v/>
      </c>
      <c r="M5" s="160"/>
      <c r="N5" s="160"/>
      <c r="O5" s="160"/>
      <c r="P5" s="160"/>
      <c r="Q5" s="160"/>
      <c r="R5" s="160"/>
      <c r="S5" s="160"/>
      <c r="T5" s="160"/>
      <c r="U5" s="160"/>
      <c r="V5" s="160"/>
      <c r="W5" s="160"/>
      <c r="X5" s="160"/>
      <c r="Y5" s="160"/>
      <c r="Z5" s="160"/>
      <c r="AA5" s="160"/>
      <c r="AB5" s="160"/>
      <c r="AC5" s="160"/>
      <c r="AD5" s="160"/>
      <c r="AE5" s="160"/>
      <c r="AF5" s="160"/>
      <c r="AG5" s="160"/>
      <c r="AH5" s="200" t="str">
        <f aca="false">IF(Eingabe!F99&amp;Eingabe!G99="","",Eingabe!F99&amp;"  /  "&amp;Eingabe!G99)</f>
        <v/>
      </c>
      <c r="AI5" s="200"/>
      <c r="AJ5" s="200"/>
      <c r="AK5" s="200"/>
      <c r="AL5" s="200"/>
      <c r="AM5" s="200"/>
      <c r="AN5" s="200"/>
      <c r="AO5" s="200"/>
      <c r="AP5" s="200"/>
      <c r="AQ5" s="200"/>
      <c r="AR5" s="200"/>
      <c r="AS5" s="200"/>
      <c r="AT5" s="200"/>
      <c r="AU5" s="200"/>
      <c r="AV5" s="200"/>
      <c r="AW5" s="200"/>
      <c r="AX5" s="200"/>
      <c r="AY5" s="200"/>
      <c r="AZ5" s="200"/>
      <c r="BA5" s="200"/>
      <c r="BB5" s="200"/>
      <c r="BC5" s="200"/>
      <c r="BD5" s="200"/>
      <c r="BE5" s="201" t="str">
        <f aca="false">IF(Eingabe!I99="","",Eingabe!I99)</f>
        <v/>
      </c>
      <c r="BF5" s="201"/>
      <c r="BG5" s="201"/>
      <c r="BH5" s="201"/>
      <c r="BI5" s="201"/>
      <c r="BJ5" s="202" t="str">
        <f aca="false">IF(Eingabe!I99="","",Eingabe!I99*Eingabe!B99)</f>
        <v/>
      </c>
      <c r="BK5" s="202"/>
      <c r="BL5" s="202"/>
      <c r="BM5" s="202"/>
      <c r="BN5" s="202"/>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row>
    <row r="6" s="199" customFormat="true" ht="12.75" hidden="false" customHeight="true" outlineLevel="0" collapsed="false">
      <c r="A6" s="157" t="str">
        <f aca="false">IF(Eingabe!A100="","",Eingabe!A100)</f>
        <v/>
      </c>
      <c r="B6" s="157"/>
      <c r="C6" s="157"/>
      <c r="D6" s="158" t="str">
        <f aca="false">IF(Eingabe!B100="","",Eingabe!B100)</f>
        <v/>
      </c>
      <c r="E6" s="158"/>
      <c r="F6" s="158"/>
      <c r="G6" s="158"/>
      <c r="H6" s="159" t="str">
        <f aca="false">IF(Eingabe!C100="","",Eingabe!C100)</f>
        <v/>
      </c>
      <c r="I6" s="159"/>
      <c r="J6" s="159"/>
      <c r="K6" s="159"/>
      <c r="L6" s="160" t="str">
        <f aca="false">IF(Eingabe!D100="","",Eingabe!D100)</f>
        <v/>
      </c>
      <c r="M6" s="160"/>
      <c r="N6" s="160"/>
      <c r="O6" s="160"/>
      <c r="P6" s="160"/>
      <c r="Q6" s="160"/>
      <c r="R6" s="160"/>
      <c r="S6" s="160"/>
      <c r="T6" s="160"/>
      <c r="U6" s="160"/>
      <c r="V6" s="160"/>
      <c r="W6" s="160"/>
      <c r="X6" s="160"/>
      <c r="Y6" s="160"/>
      <c r="Z6" s="160"/>
      <c r="AA6" s="160"/>
      <c r="AB6" s="160"/>
      <c r="AC6" s="160"/>
      <c r="AD6" s="160"/>
      <c r="AE6" s="160"/>
      <c r="AF6" s="160"/>
      <c r="AG6" s="160"/>
      <c r="AH6" s="200" t="str">
        <f aca="false">IF(Eingabe!F100&amp;Eingabe!G100="","",Eingabe!F100&amp;"  /  "&amp;Eingabe!G100)</f>
        <v/>
      </c>
      <c r="AI6" s="200"/>
      <c r="AJ6" s="200"/>
      <c r="AK6" s="200"/>
      <c r="AL6" s="200"/>
      <c r="AM6" s="200"/>
      <c r="AN6" s="200"/>
      <c r="AO6" s="200"/>
      <c r="AP6" s="200"/>
      <c r="AQ6" s="200"/>
      <c r="AR6" s="200"/>
      <c r="AS6" s="200"/>
      <c r="AT6" s="200"/>
      <c r="AU6" s="200"/>
      <c r="AV6" s="200"/>
      <c r="AW6" s="200"/>
      <c r="AX6" s="200"/>
      <c r="AY6" s="200"/>
      <c r="AZ6" s="200"/>
      <c r="BA6" s="200"/>
      <c r="BB6" s="200"/>
      <c r="BC6" s="200"/>
      <c r="BD6" s="200"/>
      <c r="BE6" s="201" t="str">
        <f aca="false">IF(Eingabe!I100="","",Eingabe!I100)</f>
        <v/>
      </c>
      <c r="BF6" s="201"/>
      <c r="BG6" s="201"/>
      <c r="BH6" s="201"/>
      <c r="BI6" s="201"/>
      <c r="BJ6" s="202" t="str">
        <f aca="false">IF(Eingabe!I100="","",Eingabe!I100*Eingabe!B100)</f>
        <v/>
      </c>
      <c r="BK6" s="202"/>
      <c r="BL6" s="202"/>
      <c r="BM6" s="202"/>
      <c r="BN6" s="202"/>
      <c r="BO6" s="198"/>
      <c r="BP6" s="198"/>
      <c r="BQ6" s="198"/>
      <c r="BR6" s="198"/>
      <c r="BS6" s="198"/>
      <c r="BT6" s="198"/>
      <c r="BU6" s="198"/>
      <c r="BV6" s="198"/>
      <c r="BW6" s="198"/>
      <c r="BX6" s="198"/>
      <c r="BY6" s="198"/>
      <c r="BZ6" s="198"/>
      <c r="CA6" s="198"/>
      <c r="CB6" s="198"/>
      <c r="CC6" s="198"/>
      <c r="CD6" s="198"/>
      <c r="CE6" s="198"/>
      <c r="CF6" s="198"/>
      <c r="CG6" s="198"/>
      <c r="CH6" s="198"/>
      <c r="CI6" s="198"/>
      <c r="CJ6" s="198"/>
      <c r="CK6" s="198"/>
      <c r="CL6" s="198"/>
      <c r="CM6" s="198"/>
      <c r="CN6" s="198"/>
      <c r="CO6" s="198"/>
      <c r="CP6" s="198"/>
      <c r="CQ6" s="198"/>
      <c r="CR6" s="198"/>
      <c r="CS6" s="198"/>
      <c r="CT6" s="198"/>
      <c r="CU6" s="198"/>
      <c r="CV6" s="198"/>
      <c r="CW6" s="198"/>
      <c r="CX6" s="198"/>
      <c r="CY6" s="198"/>
      <c r="CZ6" s="198"/>
      <c r="DA6" s="198"/>
      <c r="DB6" s="198"/>
      <c r="DC6" s="198"/>
      <c r="DD6" s="198"/>
      <c r="DE6" s="198"/>
      <c r="DF6" s="198"/>
      <c r="DG6" s="198"/>
      <c r="DH6" s="198"/>
      <c r="DI6" s="198"/>
      <c r="DJ6" s="198"/>
      <c r="DK6" s="198"/>
      <c r="DL6" s="198"/>
      <c r="DM6" s="198"/>
      <c r="DN6" s="198"/>
      <c r="DO6" s="198"/>
      <c r="DP6" s="198"/>
      <c r="DQ6" s="198"/>
      <c r="DR6" s="198"/>
      <c r="DS6" s="198"/>
      <c r="DT6" s="198"/>
      <c r="DU6" s="198"/>
      <c r="DV6" s="198"/>
      <c r="DW6" s="198"/>
      <c r="DX6" s="198"/>
      <c r="DY6" s="198"/>
      <c r="DZ6" s="198"/>
      <c r="EA6" s="198"/>
      <c r="EB6" s="198"/>
      <c r="EC6" s="198"/>
      <c r="ED6" s="198"/>
      <c r="EE6" s="198"/>
      <c r="EF6" s="198"/>
      <c r="EG6" s="198"/>
      <c r="EH6" s="198"/>
      <c r="EI6" s="198"/>
      <c r="EJ6" s="198"/>
      <c r="EK6" s="198"/>
      <c r="EL6" s="198"/>
      <c r="EM6" s="198"/>
      <c r="EN6" s="198"/>
      <c r="EO6" s="198"/>
      <c r="EP6" s="198"/>
      <c r="EQ6" s="198"/>
      <c r="ER6" s="198"/>
      <c r="ES6" s="198"/>
      <c r="ET6" s="198"/>
      <c r="EU6" s="198"/>
      <c r="EV6" s="198"/>
      <c r="EW6" s="198"/>
      <c r="EX6" s="198"/>
      <c r="EY6" s="198"/>
      <c r="EZ6" s="198"/>
      <c r="FA6" s="198"/>
      <c r="FB6" s="198"/>
      <c r="FC6" s="198"/>
      <c r="FD6" s="198"/>
      <c r="FE6" s="198"/>
      <c r="FF6" s="198"/>
      <c r="FG6" s="198"/>
      <c r="FH6" s="198"/>
      <c r="FI6" s="198"/>
      <c r="FJ6" s="198"/>
      <c r="FK6" s="198"/>
      <c r="FL6" s="198"/>
      <c r="FM6" s="198"/>
      <c r="FN6" s="198"/>
      <c r="FO6" s="198"/>
      <c r="FP6" s="198"/>
      <c r="FQ6" s="198"/>
      <c r="FR6" s="198"/>
      <c r="FS6" s="198"/>
      <c r="FT6" s="198"/>
      <c r="FU6" s="198"/>
      <c r="FV6" s="198"/>
      <c r="FW6" s="198"/>
      <c r="FX6" s="198"/>
      <c r="FY6" s="198"/>
      <c r="FZ6" s="198"/>
      <c r="GA6" s="198"/>
      <c r="GB6" s="198"/>
      <c r="GC6" s="198"/>
      <c r="GD6" s="198"/>
      <c r="GE6" s="198"/>
      <c r="GF6" s="198"/>
      <c r="GG6" s="198"/>
      <c r="GH6" s="198"/>
      <c r="GI6" s="198"/>
      <c r="GJ6" s="198"/>
      <c r="GK6" s="198"/>
      <c r="GL6" s="198"/>
      <c r="GM6" s="198"/>
      <c r="GN6" s="198"/>
      <c r="GO6" s="198"/>
      <c r="GP6" s="198"/>
      <c r="GQ6" s="198"/>
      <c r="GR6" s="198"/>
      <c r="GS6" s="198"/>
      <c r="GT6" s="198"/>
      <c r="GU6" s="198"/>
      <c r="GV6" s="198"/>
      <c r="GW6" s="198"/>
      <c r="GX6" s="198"/>
      <c r="GY6" s="198"/>
      <c r="GZ6" s="198"/>
      <c r="HA6" s="198"/>
      <c r="HB6" s="198"/>
      <c r="HC6" s="198"/>
      <c r="HD6" s="198"/>
      <c r="HE6" s="198"/>
      <c r="HF6" s="198"/>
      <c r="HG6" s="198"/>
      <c r="HH6" s="198"/>
      <c r="HI6" s="198"/>
      <c r="HJ6" s="198"/>
      <c r="HK6" s="198"/>
      <c r="HL6" s="198"/>
      <c r="HM6" s="198"/>
      <c r="HN6" s="198"/>
      <c r="HO6" s="198"/>
      <c r="HP6" s="198"/>
      <c r="HQ6" s="198"/>
      <c r="HR6" s="198"/>
      <c r="HS6" s="198"/>
      <c r="HT6" s="198"/>
      <c r="HU6" s="198"/>
      <c r="HV6" s="198"/>
      <c r="HW6" s="198"/>
      <c r="HX6" s="198"/>
      <c r="HY6" s="198"/>
      <c r="HZ6" s="198"/>
      <c r="IA6" s="198"/>
      <c r="IB6" s="198"/>
      <c r="IC6" s="198"/>
      <c r="ID6" s="198"/>
      <c r="IE6" s="198"/>
      <c r="IF6" s="198"/>
      <c r="IG6" s="198"/>
      <c r="IH6" s="198"/>
      <c r="II6" s="198"/>
      <c r="IJ6" s="198"/>
      <c r="IK6" s="198"/>
      <c r="IL6" s="198"/>
      <c r="IM6" s="198"/>
      <c r="IN6" s="198"/>
      <c r="IO6" s="198"/>
      <c r="IP6" s="198"/>
      <c r="IQ6" s="198"/>
      <c r="IR6" s="198"/>
      <c r="IS6" s="198"/>
      <c r="IT6" s="198"/>
      <c r="IU6" s="198"/>
      <c r="IV6" s="198"/>
    </row>
    <row r="7" s="199" customFormat="true" ht="12.75" hidden="false" customHeight="true" outlineLevel="0" collapsed="false">
      <c r="A7" s="157" t="str">
        <f aca="false">IF(Eingabe!A101="","",Eingabe!A101)</f>
        <v/>
      </c>
      <c r="B7" s="157"/>
      <c r="C7" s="157"/>
      <c r="D7" s="158" t="str">
        <f aca="false">IF(Eingabe!B101="","",Eingabe!B101)</f>
        <v/>
      </c>
      <c r="E7" s="158"/>
      <c r="F7" s="158"/>
      <c r="G7" s="158"/>
      <c r="H7" s="159" t="str">
        <f aca="false">IF(Eingabe!C101="","",Eingabe!C101)</f>
        <v/>
      </c>
      <c r="I7" s="159"/>
      <c r="J7" s="159"/>
      <c r="K7" s="159"/>
      <c r="L7" s="160" t="str">
        <f aca="false">IF(Eingabe!D101="","",Eingabe!D101)</f>
        <v/>
      </c>
      <c r="M7" s="160"/>
      <c r="N7" s="160"/>
      <c r="O7" s="160"/>
      <c r="P7" s="160"/>
      <c r="Q7" s="160"/>
      <c r="R7" s="160"/>
      <c r="S7" s="160"/>
      <c r="T7" s="160"/>
      <c r="U7" s="160"/>
      <c r="V7" s="160"/>
      <c r="W7" s="160"/>
      <c r="X7" s="160"/>
      <c r="Y7" s="160"/>
      <c r="Z7" s="160"/>
      <c r="AA7" s="160"/>
      <c r="AB7" s="160"/>
      <c r="AC7" s="160"/>
      <c r="AD7" s="160"/>
      <c r="AE7" s="160"/>
      <c r="AF7" s="160"/>
      <c r="AG7" s="160"/>
      <c r="AH7" s="200" t="str">
        <f aca="false">IF(Eingabe!F101&amp;Eingabe!G101="","",Eingabe!F101&amp;"  /  "&amp;Eingabe!G101)</f>
        <v/>
      </c>
      <c r="AI7" s="200"/>
      <c r="AJ7" s="200"/>
      <c r="AK7" s="200"/>
      <c r="AL7" s="200"/>
      <c r="AM7" s="200"/>
      <c r="AN7" s="200"/>
      <c r="AO7" s="200"/>
      <c r="AP7" s="200"/>
      <c r="AQ7" s="200"/>
      <c r="AR7" s="200"/>
      <c r="AS7" s="200"/>
      <c r="AT7" s="200"/>
      <c r="AU7" s="200"/>
      <c r="AV7" s="200"/>
      <c r="AW7" s="200"/>
      <c r="AX7" s="200"/>
      <c r="AY7" s="200"/>
      <c r="AZ7" s="200"/>
      <c r="BA7" s="200"/>
      <c r="BB7" s="200"/>
      <c r="BC7" s="200"/>
      <c r="BD7" s="200"/>
      <c r="BE7" s="201" t="str">
        <f aca="false">IF(Eingabe!I101="","",Eingabe!I101)</f>
        <v/>
      </c>
      <c r="BF7" s="201"/>
      <c r="BG7" s="201"/>
      <c r="BH7" s="201"/>
      <c r="BI7" s="201"/>
      <c r="BJ7" s="202" t="str">
        <f aca="false">IF(Eingabe!I101="","",Eingabe!I101*Eingabe!B101)</f>
        <v/>
      </c>
      <c r="BK7" s="202"/>
      <c r="BL7" s="202"/>
      <c r="BM7" s="202"/>
      <c r="BN7" s="202"/>
      <c r="BO7" s="198"/>
      <c r="BP7" s="198"/>
      <c r="BQ7" s="198"/>
      <c r="BR7" s="198"/>
      <c r="BS7" s="198"/>
      <c r="BT7" s="198"/>
      <c r="BU7" s="198"/>
      <c r="BV7" s="198"/>
      <c r="BW7" s="198"/>
      <c r="BX7" s="198"/>
      <c r="BY7" s="198"/>
      <c r="BZ7" s="198"/>
      <c r="CA7" s="198"/>
      <c r="CB7" s="198"/>
      <c r="CC7" s="198"/>
      <c r="CD7" s="198"/>
      <c r="CE7" s="198"/>
      <c r="CF7" s="198"/>
      <c r="CG7" s="198"/>
      <c r="CH7" s="198"/>
      <c r="CI7" s="198"/>
      <c r="CJ7" s="198"/>
      <c r="CK7" s="198"/>
      <c r="CL7" s="198"/>
      <c r="CM7" s="198"/>
      <c r="CN7" s="198"/>
      <c r="CO7" s="198"/>
      <c r="CP7" s="198"/>
      <c r="CQ7" s="198"/>
      <c r="CR7" s="198"/>
      <c r="CS7" s="198"/>
      <c r="CT7" s="198"/>
      <c r="CU7" s="198"/>
      <c r="CV7" s="198"/>
      <c r="CW7" s="198"/>
      <c r="CX7" s="198"/>
      <c r="CY7" s="198"/>
      <c r="CZ7" s="198"/>
      <c r="DA7" s="198"/>
      <c r="DB7" s="198"/>
      <c r="DC7" s="198"/>
      <c r="DD7" s="198"/>
      <c r="DE7" s="198"/>
      <c r="DF7" s="198"/>
      <c r="DG7" s="198"/>
      <c r="DH7" s="198"/>
      <c r="DI7" s="198"/>
      <c r="DJ7" s="198"/>
      <c r="DK7" s="198"/>
      <c r="DL7" s="198"/>
      <c r="DM7" s="198"/>
      <c r="DN7" s="198"/>
      <c r="DO7" s="198"/>
      <c r="DP7" s="198"/>
      <c r="DQ7" s="198"/>
      <c r="DR7" s="198"/>
      <c r="DS7" s="198"/>
      <c r="DT7" s="198"/>
      <c r="DU7" s="198"/>
      <c r="DV7" s="198"/>
      <c r="DW7" s="198"/>
      <c r="DX7" s="198"/>
      <c r="DY7" s="198"/>
      <c r="DZ7" s="198"/>
      <c r="EA7" s="198"/>
      <c r="EB7" s="198"/>
      <c r="EC7" s="198"/>
      <c r="ED7" s="198"/>
      <c r="EE7" s="198"/>
      <c r="EF7" s="198"/>
      <c r="EG7" s="198"/>
      <c r="EH7" s="198"/>
      <c r="EI7" s="198"/>
      <c r="EJ7" s="198"/>
      <c r="EK7" s="198"/>
      <c r="EL7" s="198"/>
      <c r="EM7" s="198"/>
      <c r="EN7" s="198"/>
      <c r="EO7" s="198"/>
      <c r="EP7" s="198"/>
      <c r="EQ7" s="198"/>
      <c r="ER7" s="198"/>
      <c r="ES7" s="198"/>
      <c r="ET7" s="198"/>
      <c r="EU7" s="198"/>
      <c r="EV7" s="198"/>
      <c r="EW7" s="198"/>
      <c r="EX7" s="198"/>
      <c r="EY7" s="198"/>
      <c r="EZ7" s="198"/>
      <c r="FA7" s="198"/>
      <c r="FB7" s="198"/>
      <c r="FC7" s="198"/>
      <c r="FD7" s="198"/>
      <c r="FE7" s="198"/>
      <c r="FF7" s="198"/>
      <c r="FG7" s="198"/>
      <c r="FH7" s="198"/>
      <c r="FI7" s="198"/>
      <c r="FJ7" s="198"/>
      <c r="FK7" s="198"/>
      <c r="FL7" s="198"/>
      <c r="FM7" s="198"/>
      <c r="FN7" s="198"/>
      <c r="FO7" s="198"/>
      <c r="FP7" s="198"/>
      <c r="FQ7" s="198"/>
      <c r="FR7" s="198"/>
      <c r="FS7" s="198"/>
      <c r="FT7" s="198"/>
      <c r="FU7" s="198"/>
      <c r="FV7" s="198"/>
      <c r="FW7" s="198"/>
      <c r="FX7" s="198"/>
      <c r="FY7" s="198"/>
      <c r="FZ7" s="198"/>
      <c r="GA7" s="198"/>
      <c r="GB7" s="198"/>
      <c r="GC7" s="198"/>
      <c r="GD7" s="198"/>
      <c r="GE7" s="198"/>
      <c r="GF7" s="198"/>
      <c r="GG7" s="198"/>
      <c r="GH7" s="198"/>
      <c r="GI7" s="198"/>
      <c r="GJ7" s="198"/>
      <c r="GK7" s="198"/>
      <c r="GL7" s="198"/>
      <c r="GM7" s="198"/>
      <c r="GN7" s="198"/>
      <c r="GO7" s="198"/>
      <c r="GP7" s="198"/>
      <c r="GQ7" s="198"/>
      <c r="GR7" s="198"/>
      <c r="GS7" s="198"/>
      <c r="GT7" s="198"/>
      <c r="GU7" s="198"/>
      <c r="GV7" s="198"/>
      <c r="GW7" s="198"/>
      <c r="GX7" s="198"/>
      <c r="GY7" s="198"/>
      <c r="GZ7" s="198"/>
      <c r="HA7" s="198"/>
      <c r="HB7" s="198"/>
      <c r="HC7" s="198"/>
      <c r="HD7" s="198"/>
      <c r="HE7" s="198"/>
      <c r="HF7" s="198"/>
      <c r="HG7" s="198"/>
      <c r="HH7" s="198"/>
      <c r="HI7" s="198"/>
      <c r="HJ7" s="198"/>
      <c r="HK7" s="198"/>
      <c r="HL7" s="198"/>
      <c r="HM7" s="198"/>
      <c r="HN7" s="198"/>
      <c r="HO7" s="198"/>
      <c r="HP7" s="198"/>
      <c r="HQ7" s="198"/>
      <c r="HR7" s="198"/>
      <c r="HS7" s="198"/>
      <c r="HT7" s="198"/>
      <c r="HU7" s="198"/>
      <c r="HV7" s="198"/>
      <c r="HW7" s="198"/>
      <c r="HX7" s="198"/>
      <c r="HY7" s="198"/>
      <c r="HZ7" s="198"/>
      <c r="IA7" s="198"/>
      <c r="IB7" s="198"/>
      <c r="IC7" s="198"/>
      <c r="ID7" s="198"/>
      <c r="IE7" s="198"/>
      <c r="IF7" s="198"/>
      <c r="IG7" s="198"/>
      <c r="IH7" s="198"/>
      <c r="II7" s="198"/>
      <c r="IJ7" s="198"/>
      <c r="IK7" s="198"/>
      <c r="IL7" s="198"/>
      <c r="IM7" s="198"/>
      <c r="IN7" s="198"/>
      <c r="IO7" s="198"/>
      <c r="IP7" s="198"/>
      <c r="IQ7" s="198"/>
      <c r="IR7" s="198"/>
      <c r="IS7" s="198"/>
      <c r="IT7" s="198"/>
      <c r="IU7" s="198"/>
      <c r="IV7" s="198"/>
    </row>
    <row r="8" s="199" customFormat="true" ht="12.75" hidden="false" customHeight="true" outlineLevel="0" collapsed="false">
      <c r="A8" s="157" t="str">
        <f aca="false">IF(Eingabe!A102="","",Eingabe!A102)</f>
        <v/>
      </c>
      <c r="B8" s="157"/>
      <c r="C8" s="157"/>
      <c r="D8" s="158" t="str">
        <f aca="false">IF(Eingabe!B102="","",Eingabe!B102)</f>
        <v/>
      </c>
      <c r="E8" s="158"/>
      <c r="F8" s="158"/>
      <c r="G8" s="158"/>
      <c r="H8" s="159" t="str">
        <f aca="false">IF(Eingabe!C102="","",Eingabe!C102)</f>
        <v/>
      </c>
      <c r="I8" s="159"/>
      <c r="J8" s="159"/>
      <c r="K8" s="159"/>
      <c r="L8" s="160" t="str">
        <f aca="false">IF(Eingabe!D102="","",Eingabe!D102)</f>
        <v/>
      </c>
      <c r="M8" s="160"/>
      <c r="N8" s="160"/>
      <c r="O8" s="160"/>
      <c r="P8" s="160"/>
      <c r="Q8" s="160"/>
      <c r="R8" s="160"/>
      <c r="S8" s="160"/>
      <c r="T8" s="160"/>
      <c r="U8" s="160"/>
      <c r="V8" s="160"/>
      <c r="W8" s="160"/>
      <c r="X8" s="160"/>
      <c r="Y8" s="160"/>
      <c r="Z8" s="160"/>
      <c r="AA8" s="160"/>
      <c r="AB8" s="160"/>
      <c r="AC8" s="160"/>
      <c r="AD8" s="160"/>
      <c r="AE8" s="160"/>
      <c r="AF8" s="160"/>
      <c r="AG8" s="160"/>
      <c r="AH8" s="200" t="str">
        <f aca="false">IF(Eingabe!F102&amp;Eingabe!G102="","",Eingabe!F102&amp;"  /  "&amp;Eingabe!G102)</f>
        <v/>
      </c>
      <c r="AI8" s="200"/>
      <c r="AJ8" s="200"/>
      <c r="AK8" s="200"/>
      <c r="AL8" s="200"/>
      <c r="AM8" s="200"/>
      <c r="AN8" s="200"/>
      <c r="AO8" s="200"/>
      <c r="AP8" s="200"/>
      <c r="AQ8" s="200"/>
      <c r="AR8" s="200"/>
      <c r="AS8" s="200"/>
      <c r="AT8" s="200"/>
      <c r="AU8" s="200"/>
      <c r="AV8" s="200"/>
      <c r="AW8" s="200"/>
      <c r="AX8" s="200"/>
      <c r="AY8" s="200"/>
      <c r="AZ8" s="200"/>
      <c r="BA8" s="200"/>
      <c r="BB8" s="200"/>
      <c r="BC8" s="200"/>
      <c r="BD8" s="200"/>
      <c r="BE8" s="201" t="str">
        <f aca="false">IF(Eingabe!I102="","",Eingabe!I102)</f>
        <v/>
      </c>
      <c r="BF8" s="201"/>
      <c r="BG8" s="201"/>
      <c r="BH8" s="201"/>
      <c r="BI8" s="201"/>
      <c r="BJ8" s="202" t="str">
        <f aca="false">IF(Eingabe!I102="","",Eingabe!I102*Eingabe!B102)</f>
        <v/>
      </c>
      <c r="BK8" s="202"/>
      <c r="BL8" s="202"/>
      <c r="BM8" s="202"/>
      <c r="BN8" s="202"/>
      <c r="BO8" s="198"/>
      <c r="BP8" s="198"/>
      <c r="BQ8" s="198"/>
      <c r="BR8" s="198"/>
      <c r="BS8" s="198"/>
      <c r="BT8" s="198"/>
      <c r="BU8" s="198"/>
      <c r="BV8" s="198"/>
      <c r="BW8" s="198"/>
      <c r="BX8" s="198"/>
      <c r="BY8" s="198"/>
      <c r="BZ8" s="198"/>
      <c r="CA8" s="198"/>
      <c r="CB8" s="198"/>
      <c r="CC8" s="198"/>
      <c r="CD8" s="198"/>
      <c r="CE8" s="198"/>
      <c r="CF8" s="198"/>
      <c r="CG8" s="198"/>
      <c r="CH8" s="198"/>
      <c r="CI8" s="198"/>
      <c r="CJ8" s="198"/>
      <c r="CK8" s="198"/>
      <c r="CL8" s="198"/>
      <c r="CM8" s="198"/>
      <c r="CN8" s="198"/>
      <c r="CO8" s="198"/>
      <c r="CP8" s="198"/>
      <c r="CQ8" s="198"/>
      <c r="CR8" s="198"/>
      <c r="CS8" s="198"/>
      <c r="CT8" s="198"/>
      <c r="CU8" s="198"/>
      <c r="CV8" s="198"/>
      <c r="CW8" s="198"/>
      <c r="CX8" s="198"/>
      <c r="CY8" s="198"/>
      <c r="CZ8" s="198"/>
      <c r="DA8" s="198"/>
      <c r="DB8" s="198"/>
      <c r="DC8" s="198"/>
      <c r="DD8" s="198"/>
      <c r="DE8" s="198"/>
      <c r="DF8" s="198"/>
      <c r="DG8" s="198"/>
      <c r="DH8" s="198"/>
      <c r="DI8" s="198"/>
      <c r="DJ8" s="198"/>
      <c r="DK8" s="198"/>
      <c r="DL8" s="198"/>
      <c r="DM8" s="198"/>
      <c r="DN8" s="198"/>
      <c r="DO8" s="198"/>
      <c r="DP8" s="198"/>
      <c r="DQ8" s="198"/>
      <c r="DR8" s="198"/>
      <c r="DS8" s="198"/>
      <c r="DT8" s="198"/>
      <c r="DU8" s="198"/>
      <c r="DV8" s="198"/>
      <c r="DW8" s="198"/>
      <c r="DX8" s="198"/>
      <c r="DY8" s="198"/>
      <c r="DZ8" s="198"/>
      <c r="EA8" s="198"/>
      <c r="EB8" s="198"/>
      <c r="EC8" s="198"/>
      <c r="ED8" s="198"/>
      <c r="EE8" s="198"/>
      <c r="EF8" s="198"/>
      <c r="EG8" s="198"/>
      <c r="EH8" s="198"/>
      <c r="EI8" s="198"/>
      <c r="EJ8" s="198"/>
      <c r="EK8" s="198"/>
      <c r="EL8" s="198"/>
      <c r="EM8" s="198"/>
      <c r="EN8" s="198"/>
      <c r="EO8" s="198"/>
      <c r="EP8" s="198"/>
      <c r="EQ8" s="198"/>
      <c r="ER8" s="198"/>
      <c r="ES8" s="198"/>
      <c r="ET8" s="198"/>
      <c r="EU8" s="198"/>
      <c r="EV8" s="198"/>
      <c r="EW8" s="198"/>
      <c r="EX8" s="198"/>
      <c r="EY8" s="198"/>
      <c r="EZ8" s="198"/>
      <c r="FA8" s="198"/>
      <c r="FB8" s="198"/>
      <c r="FC8" s="198"/>
      <c r="FD8" s="198"/>
      <c r="FE8" s="198"/>
      <c r="FF8" s="198"/>
      <c r="FG8" s="198"/>
      <c r="FH8" s="198"/>
      <c r="FI8" s="198"/>
      <c r="FJ8" s="198"/>
      <c r="FK8" s="198"/>
      <c r="FL8" s="198"/>
      <c r="FM8" s="198"/>
      <c r="FN8" s="198"/>
      <c r="FO8" s="198"/>
      <c r="FP8" s="198"/>
      <c r="FQ8" s="198"/>
      <c r="FR8" s="198"/>
      <c r="FS8" s="198"/>
      <c r="FT8" s="198"/>
      <c r="FU8" s="198"/>
      <c r="FV8" s="198"/>
      <c r="FW8" s="198"/>
      <c r="FX8" s="198"/>
      <c r="FY8" s="198"/>
      <c r="FZ8" s="198"/>
      <c r="GA8" s="198"/>
      <c r="GB8" s="198"/>
      <c r="GC8" s="198"/>
      <c r="GD8" s="198"/>
      <c r="GE8" s="198"/>
      <c r="GF8" s="198"/>
      <c r="GG8" s="198"/>
      <c r="GH8" s="198"/>
      <c r="GI8" s="198"/>
      <c r="GJ8" s="198"/>
      <c r="GK8" s="198"/>
      <c r="GL8" s="198"/>
      <c r="GM8" s="198"/>
      <c r="GN8" s="198"/>
      <c r="GO8" s="198"/>
      <c r="GP8" s="198"/>
      <c r="GQ8" s="198"/>
      <c r="GR8" s="198"/>
      <c r="GS8" s="198"/>
      <c r="GT8" s="198"/>
      <c r="GU8" s="198"/>
      <c r="GV8" s="198"/>
      <c r="GW8" s="198"/>
      <c r="GX8" s="198"/>
      <c r="GY8" s="198"/>
      <c r="GZ8" s="198"/>
      <c r="HA8" s="198"/>
      <c r="HB8" s="198"/>
      <c r="HC8" s="198"/>
      <c r="HD8" s="198"/>
      <c r="HE8" s="198"/>
      <c r="HF8" s="198"/>
      <c r="HG8" s="198"/>
      <c r="HH8" s="198"/>
      <c r="HI8" s="198"/>
      <c r="HJ8" s="198"/>
      <c r="HK8" s="198"/>
      <c r="HL8" s="198"/>
      <c r="HM8" s="198"/>
      <c r="HN8" s="198"/>
      <c r="HO8" s="198"/>
      <c r="HP8" s="198"/>
      <c r="HQ8" s="198"/>
      <c r="HR8" s="198"/>
      <c r="HS8" s="198"/>
      <c r="HT8" s="198"/>
      <c r="HU8" s="198"/>
      <c r="HV8" s="198"/>
      <c r="HW8" s="198"/>
      <c r="HX8" s="198"/>
      <c r="HY8" s="198"/>
      <c r="HZ8" s="198"/>
      <c r="IA8" s="198"/>
      <c r="IB8" s="198"/>
      <c r="IC8" s="198"/>
      <c r="ID8" s="198"/>
      <c r="IE8" s="198"/>
      <c r="IF8" s="198"/>
      <c r="IG8" s="198"/>
      <c r="IH8" s="198"/>
      <c r="II8" s="198"/>
      <c r="IJ8" s="198"/>
      <c r="IK8" s="198"/>
      <c r="IL8" s="198"/>
      <c r="IM8" s="198"/>
      <c r="IN8" s="198"/>
      <c r="IO8" s="198"/>
      <c r="IP8" s="198"/>
      <c r="IQ8" s="198"/>
      <c r="IR8" s="198"/>
      <c r="IS8" s="198"/>
      <c r="IT8" s="198"/>
      <c r="IU8" s="198"/>
      <c r="IV8" s="198"/>
    </row>
    <row r="9" s="199" customFormat="true" ht="12.75" hidden="false" customHeight="true" outlineLevel="0" collapsed="false">
      <c r="A9" s="157" t="str">
        <f aca="false">IF(Eingabe!A103="","",Eingabe!A103)</f>
        <v/>
      </c>
      <c r="B9" s="157"/>
      <c r="C9" s="157"/>
      <c r="D9" s="158" t="str">
        <f aca="false">IF(Eingabe!B103="","",Eingabe!B103)</f>
        <v/>
      </c>
      <c r="E9" s="158"/>
      <c r="F9" s="158"/>
      <c r="G9" s="158"/>
      <c r="H9" s="159" t="str">
        <f aca="false">IF(Eingabe!C103="","",Eingabe!C103)</f>
        <v/>
      </c>
      <c r="I9" s="159"/>
      <c r="J9" s="159"/>
      <c r="K9" s="159"/>
      <c r="L9" s="160" t="str">
        <f aca="false">IF(Eingabe!D103="","",Eingabe!D103)</f>
        <v/>
      </c>
      <c r="M9" s="160"/>
      <c r="N9" s="160"/>
      <c r="O9" s="160"/>
      <c r="P9" s="160"/>
      <c r="Q9" s="160"/>
      <c r="R9" s="160"/>
      <c r="S9" s="160"/>
      <c r="T9" s="160"/>
      <c r="U9" s="160"/>
      <c r="V9" s="160"/>
      <c r="W9" s="160"/>
      <c r="X9" s="160"/>
      <c r="Y9" s="160"/>
      <c r="Z9" s="160"/>
      <c r="AA9" s="160"/>
      <c r="AB9" s="160"/>
      <c r="AC9" s="160"/>
      <c r="AD9" s="160"/>
      <c r="AE9" s="160"/>
      <c r="AF9" s="160"/>
      <c r="AG9" s="160"/>
      <c r="AH9" s="200" t="str">
        <f aca="false">IF(Eingabe!F103&amp;Eingabe!G103="","",Eingabe!F103&amp;"  /  "&amp;Eingabe!G103)</f>
        <v/>
      </c>
      <c r="AI9" s="200"/>
      <c r="AJ9" s="200"/>
      <c r="AK9" s="200"/>
      <c r="AL9" s="200"/>
      <c r="AM9" s="200"/>
      <c r="AN9" s="200"/>
      <c r="AO9" s="200"/>
      <c r="AP9" s="200"/>
      <c r="AQ9" s="200"/>
      <c r="AR9" s="200"/>
      <c r="AS9" s="200"/>
      <c r="AT9" s="200"/>
      <c r="AU9" s="200"/>
      <c r="AV9" s="200"/>
      <c r="AW9" s="200"/>
      <c r="AX9" s="200"/>
      <c r="AY9" s="200"/>
      <c r="AZ9" s="200"/>
      <c r="BA9" s="200"/>
      <c r="BB9" s="200"/>
      <c r="BC9" s="200"/>
      <c r="BD9" s="200"/>
      <c r="BE9" s="201" t="str">
        <f aca="false">IF(Eingabe!I103="","",Eingabe!I103)</f>
        <v/>
      </c>
      <c r="BF9" s="201"/>
      <c r="BG9" s="201"/>
      <c r="BH9" s="201"/>
      <c r="BI9" s="201"/>
      <c r="BJ9" s="202" t="str">
        <f aca="false">IF(Eingabe!I103="","",Eingabe!I103*Eingabe!B103)</f>
        <v/>
      </c>
      <c r="BK9" s="202"/>
      <c r="BL9" s="202"/>
      <c r="BM9" s="202"/>
      <c r="BN9" s="202"/>
      <c r="BO9" s="198"/>
      <c r="BP9" s="198"/>
      <c r="BQ9" s="198"/>
      <c r="BR9" s="198"/>
      <c r="BS9" s="198"/>
      <c r="BT9" s="198"/>
      <c r="BU9" s="198"/>
      <c r="BV9" s="198"/>
      <c r="BW9" s="198"/>
      <c r="BX9" s="198"/>
      <c r="BY9" s="198"/>
      <c r="BZ9" s="198"/>
      <c r="CA9" s="198"/>
      <c r="CB9" s="198"/>
      <c r="CC9" s="198"/>
      <c r="CD9" s="198"/>
      <c r="CE9" s="198"/>
      <c r="CF9" s="198"/>
      <c r="CG9" s="198"/>
      <c r="CH9" s="198"/>
      <c r="CI9" s="198"/>
      <c r="CJ9" s="198"/>
      <c r="CK9" s="198"/>
      <c r="CL9" s="198"/>
      <c r="CM9" s="198"/>
      <c r="CN9" s="198"/>
      <c r="CO9" s="198"/>
      <c r="CP9" s="198"/>
      <c r="CQ9" s="198"/>
      <c r="CR9" s="198"/>
      <c r="CS9" s="198"/>
      <c r="CT9" s="198"/>
      <c r="CU9" s="198"/>
      <c r="CV9" s="198"/>
      <c r="CW9" s="198"/>
      <c r="CX9" s="198"/>
      <c r="CY9" s="198"/>
      <c r="CZ9" s="198"/>
      <c r="DA9" s="198"/>
      <c r="DB9" s="198"/>
      <c r="DC9" s="198"/>
      <c r="DD9" s="198"/>
      <c r="DE9" s="198"/>
      <c r="DF9" s="198"/>
      <c r="DG9" s="198"/>
      <c r="DH9" s="198"/>
      <c r="DI9" s="198"/>
      <c r="DJ9" s="198"/>
      <c r="DK9" s="198"/>
      <c r="DL9" s="198"/>
      <c r="DM9" s="198"/>
      <c r="DN9" s="198"/>
      <c r="DO9" s="198"/>
      <c r="DP9" s="198"/>
      <c r="DQ9" s="198"/>
      <c r="DR9" s="198"/>
      <c r="DS9" s="198"/>
      <c r="DT9" s="198"/>
      <c r="DU9" s="198"/>
      <c r="DV9" s="198"/>
      <c r="DW9" s="198"/>
      <c r="DX9" s="198"/>
      <c r="DY9" s="198"/>
      <c r="DZ9" s="198"/>
      <c r="EA9" s="198"/>
      <c r="EB9" s="198"/>
      <c r="EC9" s="198"/>
      <c r="ED9" s="198"/>
      <c r="EE9" s="198"/>
      <c r="EF9" s="198"/>
      <c r="EG9" s="198"/>
      <c r="EH9" s="198"/>
      <c r="EI9" s="198"/>
      <c r="EJ9" s="198"/>
      <c r="EK9" s="198"/>
      <c r="EL9" s="198"/>
      <c r="EM9" s="198"/>
      <c r="EN9" s="198"/>
      <c r="EO9" s="198"/>
      <c r="EP9" s="198"/>
      <c r="EQ9" s="198"/>
      <c r="ER9" s="198"/>
      <c r="ES9" s="198"/>
      <c r="ET9" s="198"/>
      <c r="EU9" s="198"/>
      <c r="EV9" s="198"/>
      <c r="EW9" s="198"/>
      <c r="EX9" s="198"/>
      <c r="EY9" s="198"/>
      <c r="EZ9" s="198"/>
      <c r="FA9" s="198"/>
      <c r="FB9" s="198"/>
      <c r="FC9" s="198"/>
      <c r="FD9" s="198"/>
      <c r="FE9" s="198"/>
      <c r="FF9" s="198"/>
      <c r="FG9" s="198"/>
      <c r="FH9" s="198"/>
      <c r="FI9" s="198"/>
      <c r="FJ9" s="198"/>
      <c r="FK9" s="198"/>
      <c r="FL9" s="198"/>
      <c r="FM9" s="198"/>
      <c r="FN9" s="198"/>
      <c r="FO9" s="198"/>
      <c r="FP9" s="198"/>
      <c r="FQ9" s="198"/>
      <c r="FR9" s="198"/>
      <c r="FS9" s="198"/>
      <c r="FT9" s="198"/>
      <c r="FU9" s="198"/>
      <c r="FV9" s="198"/>
      <c r="FW9" s="198"/>
      <c r="FX9" s="198"/>
      <c r="FY9" s="198"/>
      <c r="FZ9" s="198"/>
      <c r="GA9" s="198"/>
      <c r="GB9" s="198"/>
      <c r="GC9" s="198"/>
      <c r="GD9" s="198"/>
      <c r="GE9" s="198"/>
      <c r="GF9" s="198"/>
      <c r="GG9" s="198"/>
      <c r="GH9" s="198"/>
      <c r="GI9" s="198"/>
      <c r="GJ9" s="198"/>
      <c r="GK9" s="198"/>
      <c r="GL9" s="198"/>
      <c r="GM9" s="198"/>
      <c r="GN9" s="198"/>
      <c r="GO9" s="198"/>
      <c r="GP9" s="198"/>
      <c r="GQ9" s="198"/>
      <c r="GR9" s="198"/>
      <c r="GS9" s="198"/>
      <c r="GT9" s="198"/>
      <c r="GU9" s="198"/>
      <c r="GV9" s="198"/>
      <c r="GW9" s="198"/>
      <c r="GX9" s="198"/>
      <c r="GY9" s="198"/>
      <c r="GZ9" s="198"/>
      <c r="HA9" s="198"/>
      <c r="HB9" s="198"/>
      <c r="HC9" s="198"/>
      <c r="HD9" s="198"/>
      <c r="HE9" s="198"/>
      <c r="HF9" s="198"/>
      <c r="HG9" s="198"/>
      <c r="HH9" s="198"/>
      <c r="HI9" s="198"/>
      <c r="HJ9" s="198"/>
      <c r="HK9" s="198"/>
      <c r="HL9" s="198"/>
      <c r="HM9" s="198"/>
      <c r="HN9" s="198"/>
      <c r="HO9" s="198"/>
      <c r="HP9" s="198"/>
      <c r="HQ9" s="198"/>
      <c r="HR9" s="198"/>
      <c r="HS9" s="198"/>
      <c r="HT9" s="198"/>
      <c r="HU9" s="198"/>
      <c r="HV9" s="198"/>
      <c r="HW9" s="198"/>
      <c r="HX9" s="198"/>
      <c r="HY9" s="198"/>
      <c r="HZ9" s="198"/>
      <c r="IA9" s="198"/>
      <c r="IB9" s="198"/>
      <c r="IC9" s="198"/>
      <c r="ID9" s="198"/>
      <c r="IE9" s="198"/>
      <c r="IF9" s="198"/>
      <c r="IG9" s="198"/>
      <c r="IH9" s="198"/>
      <c r="II9" s="198"/>
      <c r="IJ9" s="198"/>
      <c r="IK9" s="198"/>
      <c r="IL9" s="198"/>
      <c r="IM9" s="198"/>
      <c r="IN9" s="198"/>
      <c r="IO9" s="198"/>
      <c r="IP9" s="198"/>
      <c r="IQ9" s="198"/>
      <c r="IR9" s="198"/>
      <c r="IS9" s="198"/>
      <c r="IT9" s="198"/>
      <c r="IU9" s="198"/>
      <c r="IV9" s="198"/>
    </row>
    <row r="10" s="199" customFormat="true" ht="12.75" hidden="false" customHeight="true" outlineLevel="0" collapsed="false">
      <c r="A10" s="157" t="str">
        <f aca="false">IF(Eingabe!A104="","",Eingabe!A104)</f>
        <v/>
      </c>
      <c r="B10" s="157"/>
      <c r="C10" s="157"/>
      <c r="D10" s="158" t="str">
        <f aca="false">IF(Eingabe!B104="","",Eingabe!B104)</f>
        <v/>
      </c>
      <c r="E10" s="158"/>
      <c r="F10" s="158"/>
      <c r="G10" s="158"/>
      <c r="H10" s="159" t="str">
        <f aca="false">IF(Eingabe!C104="","",Eingabe!C104)</f>
        <v/>
      </c>
      <c r="I10" s="159"/>
      <c r="J10" s="159"/>
      <c r="K10" s="159"/>
      <c r="L10" s="160" t="str">
        <f aca="false">IF(Eingabe!D104="","",Eingabe!D104)</f>
        <v/>
      </c>
      <c r="M10" s="160"/>
      <c r="N10" s="160"/>
      <c r="O10" s="160"/>
      <c r="P10" s="160"/>
      <c r="Q10" s="160"/>
      <c r="R10" s="160"/>
      <c r="S10" s="160"/>
      <c r="T10" s="160"/>
      <c r="U10" s="160"/>
      <c r="V10" s="160"/>
      <c r="W10" s="160"/>
      <c r="X10" s="160"/>
      <c r="Y10" s="160"/>
      <c r="Z10" s="160"/>
      <c r="AA10" s="160"/>
      <c r="AB10" s="160"/>
      <c r="AC10" s="160"/>
      <c r="AD10" s="160"/>
      <c r="AE10" s="160"/>
      <c r="AF10" s="160"/>
      <c r="AG10" s="160"/>
      <c r="AH10" s="200" t="str">
        <f aca="false">IF(Eingabe!F104&amp;Eingabe!G104="","",Eingabe!F104&amp;"  /  "&amp;Eingabe!G104)</f>
        <v/>
      </c>
      <c r="AI10" s="200"/>
      <c r="AJ10" s="200"/>
      <c r="AK10" s="200"/>
      <c r="AL10" s="200"/>
      <c r="AM10" s="200"/>
      <c r="AN10" s="200"/>
      <c r="AO10" s="200"/>
      <c r="AP10" s="200"/>
      <c r="AQ10" s="200"/>
      <c r="AR10" s="200"/>
      <c r="AS10" s="200"/>
      <c r="AT10" s="200"/>
      <c r="AU10" s="200"/>
      <c r="AV10" s="200"/>
      <c r="AW10" s="200"/>
      <c r="AX10" s="200"/>
      <c r="AY10" s="200"/>
      <c r="AZ10" s="200"/>
      <c r="BA10" s="200"/>
      <c r="BB10" s="200"/>
      <c r="BC10" s="200"/>
      <c r="BD10" s="200"/>
      <c r="BE10" s="201" t="str">
        <f aca="false">IF(Eingabe!I104="","",Eingabe!I104)</f>
        <v/>
      </c>
      <c r="BF10" s="201"/>
      <c r="BG10" s="201"/>
      <c r="BH10" s="201"/>
      <c r="BI10" s="201"/>
      <c r="BJ10" s="202" t="str">
        <f aca="false">IF(Eingabe!I104="","",Eingabe!I104*Eingabe!B104)</f>
        <v/>
      </c>
      <c r="BK10" s="202"/>
      <c r="BL10" s="202"/>
      <c r="BM10" s="202"/>
      <c r="BN10" s="202"/>
      <c r="BO10" s="198"/>
      <c r="BP10" s="198"/>
      <c r="BQ10" s="198"/>
      <c r="BR10" s="198"/>
      <c r="BS10" s="198"/>
      <c r="BT10" s="198"/>
      <c r="BU10" s="198"/>
      <c r="BV10" s="198"/>
      <c r="BW10" s="198"/>
      <c r="BX10" s="198"/>
      <c r="BY10" s="198"/>
      <c r="BZ10" s="198"/>
      <c r="CA10" s="198"/>
      <c r="CB10" s="198"/>
      <c r="CC10" s="198"/>
      <c r="CD10" s="198"/>
      <c r="CE10" s="198"/>
      <c r="CF10" s="198"/>
      <c r="CG10" s="198"/>
      <c r="CH10" s="198"/>
      <c r="CI10" s="198"/>
      <c r="CJ10" s="198"/>
      <c r="CK10" s="198"/>
      <c r="CL10" s="198"/>
      <c r="CM10" s="198"/>
      <c r="CN10" s="198"/>
      <c r="CO10" s="198"/>
      <c r="CP10" s="198"/>
      <c r="CQ10" s="198"/>
      <c r="CR10" s="198"/>
      <c r="CS10" s="198"/>
      <c r="CT10" s="198"/>
      <c r="CU10" s="198"/>
      <c r="CV10" s="198"/>
      <c r="CW10" s="198"/>
      <c r="CX10" s="198"/>
      <c r="CY10" s="198"/>
      <c r="CZ10" s="198"/>
      <c r="DA10" s="198"/>
      <c r="DB10" s="198"/>
      <c r="DC10" s="198"/>
      <c r="DD10" s="198"/>
      <c r="DE10" s="198"/>
      <c r="DF10" s="198"/>
      <c r="DG10" s="198"/>
      <c r="DH10" s="198"/>
      <c r="DI10" s="198"/>
      <c r="DJ10" s="198"/>
      <c r="DK10" s="198"/>
      <c r="DL10" s="198"/>
      <c r="DM10" s="198"/>
      <c r="DN10" s="198"/>
      <c r="DO10" s="198"/>
      <c r="DP10" s="198"/>
      <c r="DQ10" s="198"/>
      <c r="DR10" s="198"/>
      <c r="DS10" s="198"/>
      <c r="DT10" s="198"/>
      <c r="DU10" s="198"/>
      <c r="DV10" s="198"/>
      <c r="DW10" s="198"/>
      <c r="DX10" s="198"/>
      <c r="DY10" s="198"/>
      <c r="DZ10" s="198"/>
      <c r="EA10" s="198"/>
      <c r="EB10" s="198"/>
      <c r="EC10" s="198"/>
      <c r="ED10" s="198"/>
      <c r="EE10" s="198"/>
      <c r="EF10" s="198"/>
      <c r="EG10" s="198"/>
      <c r="EH10" s="198"/>
      <c r="EI10" s="198"/>
      <c r="EJ10" s="198"/>
      <c r="EK10" s="198"/>
      <c r="EL10" s="198"/>
      <c r="EM10" s="198"/>
      <c r="EN10" s="198"/>
      <c r="EO10" s="198"/>
      <c r="EP10" s="198"/>
      <c r="EQ10" s="198"/>
      <c r="ER10" s="198"/>
      <c r="ES10" s="198"/>
      <c r="ET10" s="198"/>
      <c r="EU10" s="198"/>
      <c r="EV10" s="198"/>
      <c r="EW10" s="198"/>
      <c r="EX10" s="198"/>
      <c r="EY10" s="198"/>
      <c r="EZ10" s="198"/>
      <c r="FA10" s="198"/>
      <c r="FB10" s="198"/>
      <c r="FC10" s="198"/>
      <c r="FD10" s="198"/>
      <c r="FE10" s="198"/>
      <c r="FF10" s="198"/>
      <c r="FG10" s="198"/>
      <c r="FH10" s="198"/>
      <c r="FI10" s="198"/>
      <c r="FJ10" s="198"/>
      <c r="FK10" s="198"/>
      <c r="FL10" s="198"/>
      <c r="FM10" s="198"/>
      <c r="FN10" s="198"/>
      <c r="FO10" s="198"/>
      <c r="FP10" s="198"/>
      <c r="FQ10" s="198"/>
      <c r="FR10" s="198"/>
      <c r="FS10" s="198"/>
      <c r="FT10" s="198"/>
      <c r="FU10" s="198"/>
      <c r="FV10" s="198"/>
      <c r="FW10" s="198"/>
      <c r="FX10" s="198"/>
      <c r="FY10" s="198"/>
      <c r="FZ10" s="198"/>
      <c r="GA10" s="198"/>
      <c r="GB10" s="198"/>
      <c r="GC10" s="198"/>
      <c r="GD10" s="198"/>
      <c r="GE10" s="198"/>
      <c r="GF10" s="198"/>
      <c r="GG10" s="198"/>
      <c r="GH10" s="198"/>
      <c r="GI10" s="198"/>
      <c r="GJ10" s="198"/>
      <c r="GK10" s="198"/>
      <c r="GL10" s="198"/>
      <c r="GM10" s="198"/>
      <c r="GN10" s="198"/>
      <c r="GO10" s="198"/>
      <c r="GP10" s="198"/>
      <c r="GQ10" s="198"/>
      <c r="GR10" s="198"/>
      <c r="GS10" s="198"/>
      <c r="GT10" s="198"/>
      <c r="GU10" s="198"/>
      <c r="GV10" s="198"/>
      <c r="GW10" s="198"/>
      <c r="GX10" s="198"/>
      <c r="GY10" s="198"/>
      <c r="GZ10" s="198"/>
      <c r="HA10" s="198"/>
      <c r="HB10" s="198"/>
      <c r="HC10" s="198"/>
      <c r="HD10" s="198"/>
      <c r="HE10" s="198"/>
      <c r="HF10" s="198"/>
      <c r="HG10" s="198"/>
      <c r="HH10" s="198"/>
      <c r="HI10" s="198"/>
      <c r="HJ10" s="198"/>
      <c r="HK10" s="198"/>
      <c r="HL10" s="198"/>
      <c r="HM10" s="198"/>
      <c r="HN10" s="198"/>
      <c r="HO10" s="198"/>
      <c r="HP10" s="198"/>
      <c r="HQ10" s="198"/>
      <c r="HR10" s="198"/>
      <c r="HS10" s="198"/>
      <c r="HT10" s="198"/>
      <c r="HU10" s="198"/>
      <c r="HV10" s="198"/>
      <c r="HW10" s="198"/>
      <c r="HX10" s="198"/>
      <c r="HY10" s="198"/>
      <c r="HZ10" s="198"/>
      <c r="IA10" s="198"/>
      <c r="IB10" s="198"/>
      <c r="IC10" s="198"/>
      <c r="ID10" s="198"/>
      <c r="IE10" s="198"/>
      <c r="IF10" s="198"/>
      <c r="IG10" s="198"/>
      <c r="IH10" s="198"/>
      <c r="II10" s="198"/>
      <c r="IJ10" s="198"/>
      <c r="IK10" s="198"/>
      <c r="IL10" s="198"/>
      <c r="IM10" s="198"/>
      <c r="IN10" s="198"/>
      <c r="IO10" s="198"/>
      <c r="IP10" s="198"/>
      <c r="IQ10" s="198"/>
      <c r="IR10" s="198"/>
      <c r="IS10" s="198"/>
      <c r="IT10" s="198"/>
      <c r="IU10" s="198"/>
      <c r="IV10" s="198"/>
    </row>
    <row r="11" s="199" customFormat="true" ht="12.75" hidden="false" customHeight="true" outlineLevel="0" collapsed="false">
      <c r="A11" s="157" t="str">
        <f aca="false">IF(Eingabe!A105="","",Eingabe!A105)</f>
        <v/>
      </c>
      <c r="B11" s="157"/>
      <c r="C11" s="157"/>
      <c r="D11" s="158" t="str">
        <f aca="false">IF(Eingabe!B105="","",Eingabe!B105)</f>
        <v/>
      </c>
      <c r="E11" s="158"/>
      <c r="F11" s="158"/>
      <c r="G11" s="158"/>
      <c r="H11" s="159" t="str">
        <f aca="false">IF(Eingabe!C105="","",Eingabe!C105)</f>
        <v/>
      </c>
      <c r="I11" s="159"/>
      <c r="J11" s="159"/>
      <c r="K11" s="159"/>
      <c r="L11" s="160" t="str">
        <f aca="false">IF(Eingabe!D105="","",Eingabe!D105)</f>
        <v/>
      </c>
      <c r="M11" s="160"/>
      <c r="N11" s="160"/>
      <c r="O11" s="160"/>
      <c r="P11" s="160"/>
      <c r="Q11" s="160"/>
      <c r="R11" s="160"/>
      <c r="S11" s="160"/>
      <c r="T11" s="160"/>
      <c r="U11" s="160"/>
      <c r="V11" s="160"/>
      <c r="W11" s="160"/>
      <c r="X11" s="160"/>
      <c r="Y11" s="160"/>
      <c r="Z11" s="160"/>
      <c r="AA11" s="160"/>
      <c r="AB11" s="160"/>
      <c r="AC11" s="160"/>
      <c r="AD11" s="160"/>
      <c r="AE11" s="160"/>
      <c r="AF11" s="160"/>
      <c r="AG11" s="160"/>
      <c r="AH11" s="200" t="str">
        <f aca="false">IF(Eingabe!F105&amp;Eingabe!G105="","",Eingabe!F105&amp;"  /  "&amp;Eingabe!G105)</f>
        <v/>
      </c>
      <c r="AI11" s="200"/>
      <c r="AJ11" s="200"/>
      <c r="AK11" s="200"/>
      <c r="AL11" s="200"/>
      <c r="AM11" s="200"/>
      <c r="AN11" s="200"/>
      <c r="AO11" s="200"/>
      <c r="AP11" s="200"/>
      <c r="AQ11" s="200"/>
      <c r="AR11" s="200"/>
      <c r="AS11" s="200"/>
      <c r="AT11" s="200"/>
      <c r="AU11" s="200"/>
      <c r="AV11" s="200"/>
      <c r="AW11" s="200"/>
      <c r="AX11" s="200"/>
      <c r="AY11" s="200"/>
      <c r="AZ11" s="200"/>
      <c r="BA11" s="200"/>
      <c r="BB11" s="200"/>
      <c r="BC11" s="200"/>
      <c r="BD11" s="200"/>
      <c r="BE11" s="201" t="str">
        <f aca="false">IF(Eingabe!I105="","",Eingabe!I105)</f>
        <v/>
      </c>
      <c r="BF11" s="201"/>
      <c r="BG11" s="201"/>
      <c r="BH11" s="201"/>
      <c r="BI11" s="201"/>
      <c r="BJ11" s="202" t="str">
        <f aca="false">IF(Eingabe!I105="","",Eingabe!I105*Eingabe!B105)</f>
        <v/>
      </c>
      <c r="BK11" s="202"/>
      <c r="BL11" s="202"/>
      <c r="BM11" s="202"/>
      <c r="BN11" s="202"/>
      <c r="BO11" s="198"/>
      <c r="BP11" s="198"/>
      <c r="BQ11" s="198"/>
      <c r="BR11" s="198"/>
      <c r="BS11" s="198"/>
      <c r="BT11" s="198"/>
      <c r="BU11" s="198"/>
      <c r="BV11" s="198"/>
      <c r="BW11" s="198"/>
      <c r="BX11" s="198"/>
      <c r="BY11" s="198"/>
      <c r="BZ11" s="198"/>
      <c r="CA11" s="198"/>
      <c r="CB11" s="198"/>
      <c r="CC11" s="198"/>
      <c r="CD11" s="198"/>
      <c r="CE11" s="198"/>
      <c r="CF11" s="198"/>
      <c r="CG11" s="198"/>
      <c r="CH11" s="198"/>
      <c r="CI11" s="198"/>
      <c r="CJ11" s="198"/>
      <c r="CK11" s="198"/>
      <c r="CL11" s="198"/>
      <c r="CM11" s="198"/>
      <c r="CN11" s="198"/>
      <c r="CO11" s="198"/>
      <c r="CP11" s="198"/>
      <c r="CQ11" s="198"/>
      <c r="CR11" s="198"/>
      <c r="CS11" s="198"/>
      <c r="CT11" s="198"/>
      <c r="CU11" s="198"/>
      <c r="CV11" s="198"/>
      <c r="CW11" s="198"/>
      <c r="CX11" s="198"/>
      <c r="CY11" s="198"/>
      <c r="CZ11" s="198"/>
      <c r="DA11" s="198"/>
      <c r="DB11" s="198"/>
      <c r="DC11" s="198"/>
      <c r="DD11" s="198"/>
      <c r="DE11" s="198"/>
      <c r="DF11" s="198"/>
      <c r="DG11" s="198"/>
      <c r="DH11" s="198"/>
      <c r="DI11" s="198"/>
      <c r="DJ11" s="198"/>
      <c r="DK11" s="198"/>
      <c r="DL11" s="198"/>
      <c r="DM11" s="198"/>
      <c r="DN11" s="198"/>
      <c r="DO11" s="198"/>
      <c r="DP11" s="198"/>
      <c r="DQ11" s="198"/>
      <c r="DR11" s="198"/>
      <c r="DS11" s="198"/>
      <c r="DT11" s="198"/>
      <c r="DU11" s="198"/>
      <c r="DV11" s="198"/>
      <c r="DW11" s="198"/>
      <c r="DX11" s="198"/>
      <c r="DY11" s="198"/>
      <c r="DZ11" s="198"/>
      <c r="EA11" s="198"/>
      <c r="EB11" s="198"/>
      <c r="EC11" s="198"/>
      <c r="ED11" s="198"/>
      <c r="EE11" s="198"/>
      <c r="EF11" s="198"/>
      <c r="EG11" s="198"/>
      <c r="EH11" s="198"/>
      <c r="EI11" s="198"/>
      <c r="EJ11" s="198"/>
      <c r="EK11" s="198"/>
      <c r="EL11" s="198"/>
      <c r="EM11" s="198"/>
      <c r="EN11" s="198"/>
      <c r="EO11" s="198"/>
      <c r="EP11" s="198"/>
      <c r="EQ11" s="198"/>
      <c r="ER11" s="198"/>
      <c r="ES11" s="198"/>
      <c r="ET11" s="198"/>
      <c r="EU11" s="198"/>
      <c r="EV11" s="198"/>
      <c r="EW11" s="198"/>
      <c r="EX11" s="198"/>
      <c r="EY11" s="198"/>
      <c r="EZ11" s="198"/>
      <c r="FA11" s="198"/>
      <c r="FB11" s="198"/>
      <c r="FC11" s="198"/>
      <c r="FD11" s="198"/>
      <c r="FE11" s="198"/>
      <c r="FF11" s="198"/>
      <c r="FG11" s="198"/>
      <c r="FH11" s="198"/>
      <c r="FI11" s="198"/>
      <c r="FJ11" s="198"/>
      <c r="FK11" s="198"/>
      <c r="FL11" s="198"/>
      <c r="FM11" s="198"/>
      <c r="FN11" s="198"/>
      <c r="FO11" s="198"/>
      <c r="FP11" s="198"/>
      <c r="FQ11" s="198"/>
      <c r="FR11" s="198"/>
      <c r="FS11" s="198"/>
      <c r="FT11" s="198"/>
      <c r="FU11" s="198"/>
      <c r="FV11" s="198"/>
      <c r="FW11" s="198"/>
      <c r="FX11" s="198"/>
      <c r="FY11" s="198"/>
      <c r="FZ11" s="198"/>
      <c r="GA11" s="198"/>
      <c r="GB11" s="198"/>
      <c r="GC11" s="198"/>
      <c r="GD11" s="198"/>
      <c r="GE11" s="198"/>
      <c r="GF11" s="198"/>
      <c r="GG11" s="198"/>
      <c r="GH11" s="198"/>
      <c r="GI11" s="198"/>
      <c r="GJ11" s="198"/>
      <c r="GK11" s="198"/>
      <c r="GL11" s="198"/>
      <c r="GM11" s="198"/>
      <c r="GN11" s="198"/>
      <c r="GO11" s="198"/>
      <c r="GP11" s="198"/>
      <c r="GQ11" s="198"/>
      <c r="GR11" s="198"/>
      <c r="GS11" s="198"/>
      <c r="GT11" s="198"/>
      <c r="GU11" s="198"/>
      <c r="GV11" s="198"/>
      <c r="GW11" s="198"/>
      <c r="GX11" s="198"/>
      <c r="GY11" s="198"/>
      <c r="GZ11" s="198"/>
      <c r="HA11" s="198"/>
      <c r="HB11" s="198"/>
      <c r="HC11" s="198"/>
      <c r="HD11" s="198"/>
      <c r="HE11" s="198"/>
      <c r="HF11" s="198"/>
      <c r="HG11" s="198"/>
      <c r="HH11" s="198"/>
      <c r="HI11" s="198"/>
      <c r="HJ11" s="198"/>
      <c r="HK11" s="198"/>
      <c r="HL11" s="198"/>
      <c r="HM11" s="198"/>
      <c r="HN11" s="198"/>
      <c r="HO11" s="198"/>
      <c r="HP11" s="198"/>
      <c r="HQ11" s="198"/>
      <c r="HR11" s="198"/>
      <c r="HS11" s="198"/>
      <c r="HT11" s="198"/>
      <c r="HU11" s="198"/>
      <c r="HV11" s="198"/>
      <c r="HW11" s="198"/>
      <c r="HX11" s="198"/>
      <c r="HY11" s="198"/>
      <c r="HZ11" s="198"/>
      <c r="IA11" s="198"/>
      <c r="IB11" s="198"/>
      <c r="IC11" s="198"/>
      <c r="ID11" s="198"/>
      <c r="IE11" s="198"/>
      <c r="IF11" s="198"/>
      <c r="IG11" s="198"/>
      <c r="IH11" s="198"/>
      <c r="II11" s="198"/>
      <c r="IJ11" s="198"/>
      <c r="IK11" s="198"/>
      <c r="IL11" s="198"/>
      <c r="IM11" s="198"/>
      <c r="IN11" s="198"/>
      <c r="IO11" s="198"/>
      <c r="IP11" s="198"/>
      <c r="IQ11" s="198"/>
      <c r="IR11" s="198"/>
      <c r="IS11" s="198"/>
      <c r="IT11" s="198"/>
      <c r="IU11" s="198"/>
      <c r="IV11" s="198"/>
    </row>
    <row r="12" s="199" customFormat="true" ht="12.75" hidden="false" customHeight="true" outlineLevel="0" collapsed="false">
      <c r="A12" s="157" t="str">
        <f aca="false">IF(Eingabe!A106="","",Eingabe!A106)</f>
        <v/>
      </c>
      <c r="B12" s="157"/>
      <c r="C12" s="157"/>
      <c r="D12" s="158" t="str">
        <f aca="false">IF(Eingabe!B106="","",Eingabe!B106)</f>
        <v/>
      </c>
      <c r="E12" s="158"/>
      <c r="F12" s="158"/>
      <c r="G12" s="158"/>
      <c r="H12" s="159" t="str">
        <f aca="false">IF(Eingabe!C106="","",Eingabe!C106)</f>
        <v/>
      </c>
      <c r="I12" s="159"/>
      <c r="J12" s="159"/>
      <c r="K12" s="159"/>
      <c r="L12" s="160" t="str">
        <f aca="false">IF(Eingabe!D106="","",Eingabe!D106)</f>
        <v/>
      </c>
      <c r="M12" s="160"/>
      <c r="N12" s="160"/>
      <c r="O12" s="160"/>
      <c r="P12" s="160"/>
      <c r="Q12" s="160"/>
      <c r="R12" s="160"/>
      <c r="S12" s="160"/>
      <c r="T12" s="160"/>
      <c r="U12" s="160"/>
      <c r="V12" s="160"/>
      <c r="W12" s="160"/>
      <c r="X12" s="160"/>
      <c r="Y12" s="160"/>
      <c r="Z12" s="160"/>
      <c r="AA12" s="160"/>
      <c r="AB12" s="160"/>
      <c r="AC12" s="160"/>
      <c r="AD12" s="160"/>
      <c r="AE12" s="160"/>
      <c r="AF12" s="160"/>
      <c r="AG12" s="160"/>
      <c r="AH12" s="200" t="str">
        <f aca="false">IF(Eingabe!F106&amp;Eingabe!G106="","",Eingabe!F106&amp;"  /  "&amp;Eingabe!G106)</f>
        <v/>
      </c>
      <c r="AI12" s="200"/>
      <c r="AJ12" s="200"/>
      <c r="AK12" s="200"/>
      <c r="AL12" s="200"/>
      <c r="AM12" s="200"/>
      <c r="AN12" s="200"/>
      <c r="AO12" s="200"/>
      <c r="AP12" s="200"/>
      <c r="AQ12" s="200"/>
      <c r="AR12" s="200"/>
      <c r="AS12" s="200"/>
      <c r="AT12" s="200"/>
      <c r="AU12" s="200"/>
      <c r="AV12" s="200"/>
      <c r="AW12" s="200"/>
      <c r="AX12" s="200"/>
      <c r="AY12" s="200"/>
      <c r="AZ12" s="200"/>
      <c r="BA12" s="200"/>
      <c r="BB12" s="200"/>
      <c r="BC12" s="200"/>
      <c r="BD12" s="200"/>
      <c r="BE12" s="201" t="str">
        <f aca="false">IF(Eingabe!I106="","",Eingabe!I106)</f>
        <v/>
      </c>
      <c r="BF12" s="201"/>
      <c r="BG12" s="201"/>
      <c r="BH12" s="201"/>
      <c r="BI12" s="201"/>
      <c r="BJ12" s="202" t="str">
        <f aca="false">IF(Eingabe!I106="","",Eingabe!I106*Eingabe!B106)</f>
        <v/>
      </c>
      <c r="BK12" s="202"/>
      <c r="BL12" s="202"/>
      <c r="BM12" s="202"/>
      <c r="BN12" s="202"/>
      <c r="BO12" s="198"/>
      <c r="BP12" s="198"/>
      <c r="BQ12" s="198"/>
      <c r="BR12" s="198"/>
      <c r="BS12" s="198"/>
      <c r="BT12" s="198"/>
      <c r="BU12" s="198"/>
      <c r="BV12" s="198"/>
      <c r="BW12" s="198"/>
      <c r="BX12" s="198"/>
      <c r="BY12" s="198"/>
      <c r="BZ12" s="198"/>
      <c r="CA12" s="198"/>
      <c r="CB12" s="198"/>
      <c r="CC12" s="198"/>
      <c r="CD12" s="198"/>
      <c r="CE12" s="198"/>
      <c r="CF12" s="198"/>
      <c r="CG12" s="198"/>
      <c r="CH12" s="198"/>
      <c r="CI12" s="198"/>
      <c r="CJ12" s="198"/>
      <c r="CK12" s="198"/>
      <c r="CL12" s="198"/>
      <c r="CM12" s="198"/>
      <c r="CN12" s="198"/>
      <c r="CO12" s="198"/>
      <c r="CP12" s="198"/>
      <c r="CQ12" s="198"/>
      <c r="CR12" s="198"/>
      <c r="CS12" s="198"/>
      <c r="CT12" s="198"/>
      <c r="CU12" s="198"/>
      <c r="CV12" s="198"/>
      <c r="CW12" s="198"/>
      <c r="CX12" s="198"/>
      <c r="CY12" s="198"/>
      <c r="CZ12" s="198"/>
      <c r="DA12" s="198"/>
      <c r="DB12" s="198"/>
      <c r="DC12" s="198"/>
      <c r="DD12" s="198"/>
      <c r="DE12" s="198"/>
      <c r="DF12" s="198"/>
      <c r="DG12" s="198"/>
      <c r="DH12" s="198"/>
      <c r="DI12" s="198"/>
      <c r="DJ12" s="198"/>
      <c r="DK12" s="198"/>
      <c r="DL12" s="198"/>
      <c r="DM12" s="198"/>
      <c r="DN12" s="198"/>
      <c r="DO12" s="198"/>
      <c r="DP12" s="198"/>
      <c r="DQ12" s="198"/>
      <c r="DR12" s="198"/>
      <c r="DS12" s="198"/>
      <c r="DT12" s="198"/>
      <c r="DU12" s="198"/>
      <c r="DV12" s="198"/>
      <c r="DW12" s="198"/>
      <c r="DX12" s="198"/>
      <c r="DY12" s="198"/>
      <c r="DZ12" s="198"/>
      <c r="EA12" s="198"/>
      <c r="EB12" s="198"/>
      <c r="EC12" s="198"/>
      <c r="ED12" s="198"/>
      <c r="EE12" s="198"/>
      <c r="EF12" s="198"/>
      <c r="EG12" s="198"/>
      <c r="EH12" s="198"/>
      <c r="EI12" s="198"/>
      <c r="EJ12" s="198"/>
      <c r="EK12" s="198"/>
      <c r="EL12" s="198"/>
      <c r="EM12" s="198"/>
      <c r="EN12" s="198"/>
      <c r="EO12" s="198"/>
      <c r="EP12" s="198"/>
      <c r="EQ12" s="198"/>
      <c r="ER12" s="198"/>
      <c r="ES12" s="198"/>
      <c r="ET12" s="198"/>
      <c r="EU12" s="198"/>
      <c r="EV12" s="198"/>
      <c r="EW12" s="198"/>
      <c r="EX12" s="198"/>
      <c r="EY12" s="198"/>
      <c r="EZ12" s="198"/>
      <c r="FA12" s="198"/>
      <c r="FB12" s="198"/>
      <c r="FC12" s="198"/>
      <c r="FD12" s="198"/>
      <c r="FE12" s="198"/>
      <c r="FF12" s="198"/>
      <c r="FG12" s="198"/>
      <c r="FH12" s="198"/>
      <c r="FI12" s="198"/>
      <c r="FJ12" s="198"/>
      <c r="FK12" s="198"/>
      <c r="FL12" s="198"/>
      <c r="FM12" s="198"/>
      <c r="FN12" s="198"/>
      <c r="FO12" s="198"/>
      <c r="FP12" s="198"/>
      <c r="FQ12" s="198"/>
      <c r="FR12" s="198"/>
      <c r="FS12" s="198"/>
      <c r="FT12" s="198"/>
      <c r="FU12" s="198"/>
      <c r="FV12" s="198"/>
      <c r="FW12" s="198"/>
      <c r="FX12" s="198"/>
      <c r="FY12" s="198"/>
      <c r="FZ12" s="198"/>
      <c r="GA12" s="198"/>
      <c r="GB12" s="198"/>
      <c r="GC12" s="198"/>
      <c r="GD12" s="198"/>
      <c r="GE12" s="198"/>
      <c r="GF12" s="198"/>
      <c r="GG12" s="198"/>
      <c r="GH12" s="198"/>
      <c r="GI12" s="198"/>
      <c r="GJ12" s="198"/>
      <c r="GK12" s="198"/>
      <c r="GL12" s="198"/>
      <c r="GM12" s="198"/>
      <c r="GN12" s="198"/>
      <c r="GO12" s="198"/>
      <c r="GP12" s="198"/>
      <c r="GQ12" s="198"/>
      <c r="GR12" s="198"/>
      <c r="GS12" s="198"/>
      <c r="GT12" s="198"/>
      <c r="GU12" s="198"/>
      <c r="GV12" s="198"/>
      <c r="GW12" s="198"/>
      <c r="GX12" s="198"/>
      <c r="GY12" s="198"/>
      <c r="GZ12" s="198"/>
      <c r="HA12" s="198"/>
      <c r="HB12" s="198"/>
      <c r="HC12" s="198"/>
      <c r="HD12" s="198"/>
      <c r="HE12" s="198"/>
      <c r="HF12" s="198"/>
      <c r="HG12" s="198"/>
      <c r="HH12" s="198"/>
      <c r="HI12" s="198"/>
      <c r="HJ12" s="198"/>
      <c r="HK12" s="198"/>
      <c r="HL12" s="198"/>
      <c r="HM12" s="198"/>
      <c r="HN12" s="198"/>
      <c r="HO12" s="198"/>
      <c r="HP12" s="198"/>
      <c r="HQ12" s="198"/>
      <c r="HR12" s="198"/>
      <c r="HS12" s="198"/>
      <c r="HT12" s="198"/>
      <c r="HU12" s="198"/>
      <c r="HV12" s="198"/>
      <c r="HW12" s="198"/>
      <c r="HX12" s="198"/>
      <c r="HY12" s="198"/>
      <c r="HZ12" s="198"/>
      <c r="IA12" s="198"/>
      <c r="IB12" s="198"/>
      <c r="IC12" s="198"/>
      <c r="ID12" s="198"/>
      <c r="IE12" s="198"/>
      <c r="IF12" s="198"/>
      <c r="IG12" s="198"/>
      <c r="IH12" s="198"/>
      <c r="II12" s="198"/>
      <c r="IJ12" s="198"/>
      <c r="IK12" s="198"/>
      <c r="IL12" s="198"/>
      <c r="IM12" s="198"/>
      <c r="IN12" s="198"/>
      <c r="IO12" s="198"/>
      <c r="IP12" s="198"/>
      <c r="IQ12" s="198"/>
      <c r="IR12" s="198"/>
      <c r="IS12" s="198"/>
      <c r="IT12" s="198"/>
      <c r="IU12" s="198"/>
      <c r="IV12" s="198"/>
    </row>
    <row r="13" s="199" customFormat="true" ht="12.75" hidden="false" customHeight="true" outlineLevel="0" collapsed="false">
      <c r="A13" s="157" t="str">
        <f aca="false">IF(Eingabe!A107="","",Eingabe!A107)</f>
        <v/>
      </c>
      <c r="B13" s="157"/>
      <c r="C13" s="157"/>
      <c r="D13" s="158" t="str">
        <f aca="false">IF(Eingabe!B107="","",Eingabe!B107)</f>
        <v/>
      </c>
      <c r="E13" s="158"/>
      <c r="F13" s="158"/>
      <c r="G13" s="158"/>
      <c r="H13" s="159" t="str">
        <f aca="false">IF(Eingabe!C107="","",Eingabe!C107)</f>
        <v/>
      </c>
      <c r="I13" s="159"/>
      <c r="J13" s="159"/>
      <c r="K13" s="159"/>
      <c r="L13" s="160" t="str">
        <f aca="false">IF(Eingabe!D107="","",Eingabe!D107)</f>
        <v/>
      </c>
      <c r="M13" s="160"/>
      <c r="N13" s="160"/>
      <c r="O13" s="160"/>
      <c r="P13" s="160"/>
      <c r="Q13" s="160"/>
      <c r="R13" s="160"/>
      <c r="S13" s="160"/>
      <c r="T13" s="160"/>
      <c r="U13" s="160"/>
      <c r="V13" s="160"/>
      <c r="W13" s="160"/>
      <c r="X13" s="160"/>
      <c r="Y13" s="160"/>
      <c r="Z13" s="160"/>
      <c r="AA13" s="160"/>
      <c r="AB13" s="160"/>
      <c r="AC13" s="160"/>
      <c r="AD13" s="160"/>
      <c r="AE13" s="160"/>
      <c r="AF13" s="160"/>
      <c r="AG13" s="160"/>
      <c r="AH13" s="200" t="str">
        <f aca="false">IF(Eingabe!F107&amp;Eingabe!G107="","",Eingabe!F107&amp;"  /  "&amp;Eingabe!G107)</f>
        <v/>
      </c>
      <c r="AI13" s="200"/>
      <c r="AJ13" s="200"/>
      <c r="AK13" s="200"/>
      <c r="AL13" s="200"/>
      <c r="AM13" s="200"/>
      <c r="AN13" s="200"/>
      <c r="AO13" s="200"/>
      <c r="AP13" s="200"/>
      <c r="AQ13" s="200"/>
      <c r="AR13" s="200"/>
      <c r="AS13" s="200"/>
      <c r="AT13" s="200"/>
      <c r="AU13" s="200"/>
      <c r="AV13" s="200"/>
      <c r="AW13" s="200"/>
      <c r="AX13" s="200"/>
      <c r="AY13" s="200"/>
      <c r="AZ13" s="200"/>
      <c r="BA13" s="200"/>
      <c r="BB13" s="200"/>
      <c r="BC13" s="200"/>
      <c r="BD13" s="200"/>
      <c r="BE13" s="201" t="str">
        <f aca="false">IF(Eingabe!I107="","",Eingabe!I107)</f>
        <v/>
      </c>
      <c r="BF13" s="201"/>
      <c r="BG13" s="201"/>
      <c r="BH13" s="201"/>
      <c r="BI13" s="201"/>
      <c r="BJ13" s="202" t="str">
        <f aca="false">IF(Eingabe!I107="","",Eingabe!I107*Eingabe!B107)</f>
        <v/>
      </c>
      <c r="BK13" s="202"/>
      <c r="BL13" s="202"/>
      <c r="BM13" s="202"/>
      <c r="BN13" s="202"/>
      <c r="BO13" s="198"/>
      <c r="BP13" s="198"/>
      <c r="BQ13" s="198"/>
      <c r="BR13" s="198"/>
      <c r="BS13" s="198"/>
      <c r="BT13" s="198"/>
      <c r="BU13" s="198"/>
      <c r="BV13" s="198"/>
      <c r="BW13" s="198"/>
      <c r="BX13" s="198"/>
      <c r="BY13" s="198"/>
      <c r="BZ13" s="198"/>
      <c r="CA13" s="198"/>
      <c r="CB13" s="198"/>
      <c r="CC13" s="198"/>
      <c r="CD13" s="198"/>
      <c r="CE13" s="198"/>
      <c r="CF13" s="198"/>
      <c r="CG13" s="198"/>
      <c r="CH13" s="198"/>
      <c r="CI13" s="198"/>
      <c r="CJ13" s="198"/>
      <c r="CK13" s="198"/>
      <c r="CL13" s="198"/>
      <c r="CM13" s="198"/>
      <c r="CN13" s="198"/>
      <c r="CO13" s="198"/>
      <c r="CP13" s="198"/>
      <c r="CQ13" s="198"/>
      <c r="CR13" s="198"/>
      <c r="CS13" s="198"/>
      <c r="CT13" s="198"/>
      <c r="CU13" s="198"/>
      <c r="CV13" s="198"/>
      <c r="CW13" s="198"/>
      <c r="CX13" s="198"/>
      <c r="CY13" s="198"/>
      <c r="CZ13" s="198"/>
      <c r="DA13" s="198"/>
      <c r="DB13" s="198"/>
      <c r="DC13" s="198"/>
      <c r="DD13" s="198"/>
      <c r="DE13" s="198"/>
      <c r="DF13" s="198"/>
      <c r="DG13" s="198"/>
      <c r="DH13" s="198"/>
      <c r="DI13" s="198"/>
      <c r="DJ13" s="198"/>
      <c r="DK13" s="198"/>
      <c r="DL13" s="198"/>
      <c r="DM13" s="198"/>
      <c r="DN13" s="198"/>
      <c r="DO13" s="198"/>
      <c r="DP13" s="198"/>
      <c r="DQ13" s="198"/>
      <c r="DR13" s="198"/>
      <c r="DS13" s="198"/>
      <c r="DT13" s="198"/>
      <c r="DU13" s="198"/>
      <c r="DV13" s="198"/>
      <c r="DW13" s="198"/>
      <c r="DX13" s="198"/>
      <c r="DY13" s="198"/>
      <c r="DZ13" s="198"/>
      <c r="EA13" s="198"/>
      <c r="EB13" s="198"/>
      <c r="EC13" s="198"/>
      <c r="ED13" s="198"/>
      <c r="EE13" s="198"/>
      <c r="EF13" s="198"/>
      <c r="EG13" s="198"/>
      <c r="EH13" s="198"/>
      <c r="EI13" s="198"/>
      <c r="EJ13" s="198"/>
      <c r="EK13" s="198"/>
      <c r="EL13" s="198"/>
      <c r="EM13" s="198"/>
      <c r="EN13" s="198"/>
      <c r="EO13" s="198"/>
      <c r="EP13" s="198"/>
      <c r="EQ13" s="198"/>
      <c r="ER13" s="198"/>
      <c r="ES13" s="198"/>
      <c r="ET13" s="198"/>
      <c r="EU13" s="198"/>
      <c r="EV13" s="198"/>
      <c r="EW13" s="198"/>
      <c r="EX13" s="198"/>
      <c r="EY13" s="198"/>
      <c r="EZ13" s="198"/>
      <c r="FA13" s="198"/>
      <c r="FB13" s="198"/>
      <c r="FC13" s="198"/>
      <c r="FD13" s="198"/>
      <c r="FE13" s="198"/>
      <c r="FF13" s="198"/>
      <c r="FG13" s="198"/>
      <c r="FH13" s="198"/>
      <c r="FI13" s="198"/>
      <c r="FJ13" s="198"/>
      <c r="FK13" s="198"/>
      <c r="FL13" s="198"/>
      <c r="FM13" s="198"/>
      <c r="FN13" s="198"/>
      <c r="FO13" s="198"/>
      <c r="FP13" s="198"/>
      <c r="FQ13" s="198"/>
      <c r="FR13" s="198"/>
      <c r="FS13" s="198"/>
      <c r="FT13" s="198"/>
      <c r="FU13" s="198"/>
      <c r="FV13" s="198"/>
      <c r="FW13" s="198"/>
      <c r="FX13" s="198"/>
      <c r="FY13" s="198"/>
      <c r="FZ13" s="198"/>
      <c r="GA13" s="198"/>
      <c r="GB13" s="198"/>
      <c r="GC13" s="198"/>
      <c r="GD13" s="198"/>
      <c r="GE13" s="198"/>
      <c r="GF13" s="198"/>
      <c r="GG13" s="198"/>
      <c r="GH13" s="198"/>
      <c r="GI13" s="198"/>
      <c r="GJ13" s="198"/>
      <c r="GK13" s="198"/>
      <c r="GL13" s="198"/>
      <c r="GM13" s="198"/>
      <c r="GN13" s="198"/>
      <c r="GO13" s="198"/>
      <c r="GP13" s="198"/>
      <c r="GQ13" s="198"/>
      <c r="GR13" s="198"/>
      <c r="GS13" s="198"/>
      <c r="GT13" s="198"/>
      <c r="GU13" s="198"/>
      <c r="GV13" s="198"/>
      <c r="GW13" s="198"/>
      <c r="GX13" s="198"/>
      <c r="GY13" s="198"/>
      <c r="GZ13" s="198"/>
      <c r="HA13" s="198"/>
      <c r="HB13" s="198"/>
      <c r="HC13" s="198"/>
      <c r="HD13" s="198"/>
      <c r="HE13" s="198"/>
      <c r="HF13" s="198"/>
      <c r="HG13" s="198"/>
      <c r="HH13" s="198"/>
      <c r="HI13" s="198"/>
      <c r="HJ13" s="198"/>
      <c r="HK13" s="198"/>
      <c r="HL13" s="198"/>
      <c r="HM13" s="198"/>
      <c r="HN13" s="198"/>
      <c r="HO13" s="198"/>
      <c r="HP13" s="198"/>
      <c r="HQ13" s="198"/>
      <c r="HR13" s="198"/>
      <c r="HS13" s="198"/>
      <c r="HT13" s="198"/>
      <c r="HU13" s="198"/>
      <c r="HV13" s="198"/>
      <c r="HW13" s="198"/>
      <c r="HX13" s="198"/>
      <c r="HY13" s="198"/>
      <c r="HZ13" s="198"/>
      <c r="IA13" s="198"/>
      <c r="IB13" s="198"/>
      <c r="IC13" s="198"/>
      <c r="ID13" s="198"/>
      <c r="IE13" s="198"/>
      <c r="IF13" s="198"/>
      <c r="IG13" s="198"/>
      <c r="IH13" s="198"/>
      <c r="II13" s="198"/>
      <c r="IJ13" s="198"/>
      <c r="IK13" s="198"/>
      <c r="IL13" s="198"/>
      <c r="IM13" s="198"/>
      <c r="IN13" s="198"/>
      <c r="IO13" s="198"/>
      <c r="IP13" s="198"/>
      <c r="IQ13" s="198"/>
      <c r="IR13" s="198"/>
      <c r="IS13" s="198"/>
      <c r="IT13" s="198"/>
      <c r="IU13" s="198"/>
      <c r="IV13" s="198"/>
    </row>
    <row r="14" s="199" customFormat="true" ht="12.75" hidden="false" customHeight="true" outlineLevel="0" collapsed="false">
      <c r="A14" s="157" t="str">
        <f aca="false">IF(Eingabe!A108="","",Eingabe!A108)</f>
        <v/>
      </c>
      <c r="B14" s="157"/>
      <c r="C14" s="157"/>
      <c r="D14" s="158" t="str">
        <f aca="false">IF(Eingabe!B108="","",Eingabe!B108)</f>
        <v/>
      </c>
      <c r="E14" s="158"/>
      <c r="F14" s="158"/>
      <c r="G14" s="158"/>
      <c r="H14" s="159" t="str">
        <f aca="false">IF(Eingabe!C108="","",Eingabe!C108)</f>
        <v/>
      </c>
      <c r="I14" s="159"/>
      <c r="J14" s="159"/>
      <c r="K14" s="159"/>
      <c r="L14" s="160" t="str">
        <f aca="false">IF(Eingabe!D108="","",Eingabe!D108)</f>
        <v/>
      </c>
      <c r="M14" s="160"/>
      <c r="N14" s="160"/>
      <c r="O14" s="160"/>
      <c r="P14" s="160"/>
      <c r="Q14" s="160"/>
      <c r="R14" s="160"/>
      <c r="S14" s="160"/>
      <c r="T14" s="160"/>
      <c r="U14" s="160"/>
      <c r="V14" s="160"/>
      <c r="W14" s="160"/>
      <c r="X14" s="160"/>
      <c r="Y14" s="160"/>
      <c r="Z14" s="160"/>
      <c r="AA14" s="160"/>
      <c r="AB14" s="160"/>
      <c r="AC14" s="160"/>
      <c r="AD14" s="160"/>
      <c r="AE14" s="160"/>
      <c r="AF14" s="160"/>
      <c r="AG14" s="160"/>
      <c r="AH14" s="200" t="str">
        <f aca="false">IF(Eingabe!F108&amp;Eingabe!G108="","",Eingabe!F108&amp;"  /  "&amp;Eingabe!G108)</f>
        <v/>
      </c>
      <c r="AI14" s="200"/>
      <c r="AJ14" s="200"/>
      <c r="AK14" s="200"/>
      <c r="AL14" s="200"/>
      <c r="AM14" s="200"/>
      <c r="AN14" s="200"/>
      <c r="AO14" s="200"/>
      <c r="AP14" s="200"/>
      <c r="AQ14" s="200"/>
      <c r="AR14" s="200"/>
      <c r="AS14" s="200"/>
      <c r="AT14" s="200"/>
      <c r="AU14" s="200"/>
      <c r="AV14" s="200"/>
      <c r="AW14" s="200"/>
      <c r="AX14" s="200"/>
      <c r="AY14" s="200"/>
      <c r="AZ14" s="200"/>
      <c r="BA14" s="200"/>
      <c r="BB14" s="200"/>
      <c r="BC14" s="200"/>
      <c r="BD14" s="200"/>
      <c r="BE14" s="201" t="str">
        <f aca="false">IF(Eingabe!I108="","",Eingabe!I108)</f>
        <v/>
      </c>
      <c r="BF14" s="201"/>
      <c r="BG14" s="201"/>
      <c r="BH14" s="201"/>
      <c r="BI14" s="201"/>
      <c r="BJ14" s="202" t="str">
        <f aca="false">IF(Eingabe!I108="","",Eingabe!I108*Eingabe!B108)</f>
        <v/>
      </c>
      <c r="BK14" s="202"/>
      <c r="BL14" s="202"/>
      <c r="BM14" s="202"/>
      <c r="BN14" s="202"/>
      <c r="BO14" s="198"/>
      <c r="BP14" s="198"/>
      <c r="BQ14" s="198"/>
      <c r="BR14" s="198"/>
      <c r="BS14" s="198"/>
      <c r="BT14" s="198"/>
      <c r="BU14" s="198"/>
      <c r="BV14" s="198"/>
      <c r="BW14" s="198"/>
      <c r="BX14" s="198"/>
      <c r="BY14" s="198"/>
      <c r="BZ14" s="198"/>
      <c r="CA14" s="198"/>
      <c r="CB14" s="198"/>
      <c r="CC14" s="198"/>
      <c r="CD14" s="198"/>
      <c r="CE14" s="198"/>
      <c r="CF14" s="198"/>
      <c r="CG14" s="198"/>
      <c r="CH14" s="198"/>
      <c r="CI14" s="198"/>
      <c r="CJ14" s="198"/>
      <c r="CK14" s="198"/>
      <c r="CL14" s="198"/>
      <c r="CM14" s="198"/>
      <c r="CN14" s="198"/>
      <c r="CO14" s="198"/>
      <c r="CP14" s="198"/>
      <c r="CQ14" s="198"/>
      <c r="CR14" s="198"/>
      <c r="CS14" s="198"/>
      <c r="CT14" s="198"/>
      <c r="CU14" s="198"/>
      <c r="CV14" s="198"/>
      <c r="CW14" s="198"/>
      <c r="CX14" s="198"/>
      <c r="CY14" s="198"/>
      <c r="CZ14" s="198"/>
      <c r="DA14" s="198"/>
      <c r="DB14" s="198"/>
      <c r="DC14" s="198"/>
      <c r="DD14" s="198"/>
      <c r="DE14" s="198"/>
      <c r="DF14" s="198"/>
      <c r="DG14" s="198"/>
      <c r="DH14" s="198"/>
      <c r="DI14" s="198"/>
      <c r="DJ14" s="198"/>
      <c r="DK14" s="198"/>
      <c r="DL14" s="198"/>
      <c r="DM14" s="198"/>
      <c r="DN14" s="198"/>
      <c r="DO14" s="198"/>
      <c r="DP14" s="198"/>
      <c r="DQ14" s="198"/>
      <c r="DR14" s="198"/>
      <c r="DS14" s="198"/>
      <c r="DT14" s="198"/>
      <c r="DU14" s="198"/>
      <c r="DV14" s="198"/>
      <c r="DW14" s="198"/>
      <c r="DX14" s="198"/>
      <c r="DY14" s="198"/>
      <c r="DZ14" s="198"/>
      <c r="EA14" s="198"/>
      <c r="EB14" s="198"/>
      <c r="EC14" s="198"/>
      <c r="ED14" s="198"/>
      <c r="EE14" s="198"/>
      <c r="EF14" s="198"/>
      <c r="EG14" s="198"/>
      <c r="EH14" s="198"/>
      <c r="EI14" s="198"/>
      <c r="EJ14" s="198"/>
      <c r="EK14" s="198"/>
      <c r="EL14" s="198"/>
      <c r="EM14" s="198"/>
      <c r="EN14" s="198"/>
      <c r="EO14" s="198"/>
      <c r="EP14" s="198"/>
      <c r="EQ14" s="198"/>
      <c r="ER14" s="198"/>
      <c r="ES14" s="198"/>
      <c r="ET14" s="198"/>
      <c r="EU14" s="198"/>
      <c r="EV14" s="198"/>
      <c r="EW14" s="198"/>
      <c r="EX14" s="198"/>
      <c r="EY14" s="198"/>
      <c r="EZ14" s="198"/>
      <c r="FA14" s="198"/>
      <c r="FB14" s="198"/>
      <c r="FC14" s="198"/>
      <c r="FD14" s="198"/>
      <c r="FE14" s="198"/>
      <c r="FF14" s="198"/>
      <c r="FG14" s="198"/>
      <c r="FH14" s="198"/>
      <c r="FI14" s="198"/>
      <c r="FJ14" s="198"/>
      <c r="FK14" s="198"/>
      <c r="FL14" s="198"/>
      <c r="FM14" s="198"/>
      <c r="FN14" s="198"/>
      <c r="FO14" s="198"/>
      <c r="FP14" s="198"/>
      <c r="FQ14" s="198"/>
      <c r="FR14" s="198"/>
      <c r="FS14" s="198"/>
      <c r="FT14" s="198"/>
      <c r="FU14" s="198"/>
      <c r="FV14" s="198"/>
      <c r="FW14" s="198"/>
      <c r="FX14" s="198"/>
      <c r="FY14" s="198"/>
      <c r="FZ14" s="198"/>
      <c r="GA14" s="198"/>
      <c r="GB14" s="198"/>
      <c r="GC14" s="198"/>
      <c r="GD14" s="198"/>
      <c r="GE14" s="198"/>
      <c r="GF14" s="198"/>
      <c r="GG14" s="198"/>
      <c r="GH14" s="198"/>
      <c r="GI14" s="198"/>
      <c r="GJ14" s="198"/>
      <c r="GK14" s="198"/>
      <c r="GL14" s="198"/>
      <c r="GM14" s="198"/>
      <c r="GN14" s="198"/>
      <c r="GO14" s="198"/>
      <c r="GP14" s="198"/>
      <c r="GQ14" s="198"/>
      <c r="GR14" s="198"/>
      <c r="GS14" s="198"/>
      <c r="GT14" s="198"/>
      <c r="GU14" s="198"/>
      <c r="GV14" s="198"/>
      <c r="GW14" s="198"/>
      <c r="GX14" s="198"/>
      <c r="GY14" s="198"/>
      <c r="GZ14" s="198"/>
      <c r="HA14" s="198"/>
      <c r="HB14" s="198"/>
      <c r="HC14" s="198"/>
      <c r="HD14" s="198"/>
      <c r="HE14" s="198"/>
      <c r="HF14" s="198"/>
      <c r="HG14" s="198"/>
      <c r="HH14" s="198"/>
      <c r="HI14" s="198"/>
      <c r="HJ14" s="198"/>
      <c r="HK14" s="198"/>
      <c r="HL14" s="198"/>
      <c r="HM14" s="198"/>
      <c r="HN14" s="198"/>
      <c r="HO14" s="198"/>
      <c r="HP14" s="198"/>
      <c r="HQ14" s="198"/>
      <c r="HR14" s="198"/>
      <c r="HS14" s="198"/>
      <c r="HT14" s="198"/>
      <c r="HU14" s="198"/>
      <c r="HV14" s="198"/>
      <c r="HW14" s="198"/>
      <c r="HX14" s="198"/>
      <c r="HY14" s="198"/>
      <c r="HZ14" s="198"/>
      <c r="IA14" s="198"/>
      <c r="IB14" s="198"/>
      <c r="IC14" s="198"/>
      <c r="ID14" s="198"/>
      <c r="IE14" s="198"/>
      <c r="IF14" s="198"/>
      <c r="IG14" s="198"/>
      <c r="IH14" s="198"/>
      <c r="II14" s="198"/>
      <c r="IJ14" s="198"/>
      <c r="IK14" s="198"/>
      <c r="IL14" s="198"/>
      <c r="IM14" s="198"/>
      <c r="IN14" s="198"/>
      <c r="IO14" s="198"/>
      <c r="IP14" s="198"/>
      <c r="IQ14" s="198"/>
      <c r="IR14" s="198"/>
      <c r="IS14" s="198"/>
      <c r="IT14" s="198"/>
      <c r="IU14" s="198"/>
      <c r="IV14" s="198"/>
    </row>
    <row r="15" s="199" customFormat="true" ht="12.75" hidden="false" customHeight="true" outlineLevel="0" collapsed="false">
      <c r="A15" s="157" t="str">
        <f aca="false">IF(Eingabe!A109="","",Eingabe!A109)</f>
        <v/>
      </c>
      <c r="B15" s="157"/>
      <c r="C15" s="157"/>
      <c r="D15" s="158" t="str">
        <f aca="false">IF(Eingabe!B109="","",Eingabe!B109)</f>
        <v/>
      </c>
      <c r="E15" s="158"/>
      <c r="F15" s="158"/>
      <c r="G15" s="158"/>
      <c r="H15" s="159" t="str">
        <f aca="false">IF(Eingabe!C109="","",Eingabe!C109)</f>
        <v/>
      </c>
      <c r="I15" s="159"/>
      <c r="J15" s="159"/>
      <c r="K15" s="159"/>
      <c r="L15" s="160" t="str">
        <f aca="false">IF(Eingabe!D109="","",Eingabe!D109)</f>
        <v/>
      </c>
      <c r="M15" s="160"/>
      <c r="N15" s="160"/>
      <c r="O15" s="160"/>
      <c r="P15" s="160"/>
      <c r="Q15" s="160"/>
      <c r="R15" s="160"/>
      <c r="S15" s="160"/>
      <c r="T15" s="160"/>
      <c r="U15" s="160"/>
      <c r="V15" s="160"/>
      <c r="W15" s="160"/>
      <c r="X15" s="160"/>
      <c r="Y15" s="160"/>
      <c r="Z15" s="160"/>
      <c r="AA15" s="160"/>
      <c r="AB15" s="160"/>
      <c r="AC15" s="160"/>
      <c r="AD15" s="160"/>
      <c r="AE15" s="160"/>
      <c r="AF15" s="160"/>
      <c r="AG15" s="160"/>
      <c r="AH15" s="200" t="str">
        <f aca="false">IF(Eingabe!F109&amp;Eingabe!G109="","",Eingabe!F109&amp;"  /  "&amp;Eingabe!G109)</f>
        <v/>
      </c>
      <c r="AI15" s="200"/>
      <c r="AJ15" s="200"/>
      <c r="AK15" s="200"/>
      <c r="AL15" s="200"/>
      <c r="AM15" s="200"/>
      <c r="AN15" s="200"/>
      <c r="AO15" s="200"/>
      <c r="AP15" s="200"/>
      <c r="AQ15" s="200"/>
      <c r="AR15" s="200"/>
      <c r="AS15" s="200"/>
      <c r="AT15" s="200"/>
      <c r="AU15" s="200"/>
      <c r="AV15" s="200"/>
      <c r="AW15" s="200"/>
      <c r="AX15" s="200"/>
      <c r="AY15" s="200"/>
      <c r="AZ15" s="200"/>
      <c r="BA15" s="200"/>
      <c r="BB15" s="200"/>
      <c r="BC15" s="200"/>
      <c r="BD15" s="200"/>
      <c r="BE15" s="201" t="str">
        <f aca="false">IF(Eingabe!I109="","",Eingabe!I109)</f>
        <v/>
      </c>
      <c r="BF15" s="201"/>
      <c r="BG15" s="201"/>
      <c r="BH15" s="201"/>
      <c r="BI15" s="201"/>
      <c r="BJ15" s="202" t="str">
        <f aca="false">IF(Eingabe!I109="","",Eingabe!I109*Eingabe!B109)</f>
        <v/>
      </c>
      <c r="BK15" s="202"/>
      <c r="BL15" s="202"/>
      <c r="BM15" s="202"/>
      <c r="BN15" s="202"/>
      <c r="BO15" s="198"/>
      <c r="BP15" s="198"/>
      <c r="BQ15" s="198"/>
      <c r="BR15" s="198"/>
      <c r="BS15" s="198"/>
      <c r="BT15" s="198"/>
      <c r="BU15" s="198"/>
      <c r="BV15" s="198"/>
      <c r="BW15" s="198"/>
      <c r="BX15" s="198"/>
      <c r="BY15" s="198"/>
      <c r="BZ15" s="198"/>
      <c r="CA15" s="198"/>
      <c r="CB15" s="198"/>
      <c r="CC15" s="198"/>
      <c r="CD15" s="198"/>
      <c r="CE15" s="198"/>
      <c r="CF15" s="198"/>
      <c r="CG15" s="198"/>
      <c r="CH15" s="198"/>
      <c r="CI15" s="198"/>
      <c r="CJ15" s="198"/>
      <c r="CK15" s="198"/>
      <c r="CL15" s="198"/>
      <c r="CM15" s="198"/>
      <c r="CN15" s="198"/>
      <c r="CO15" s="198"/>
      <c r="CP15" s="198"/>
      <c r="CQ15" s="198"/>
      <c r="CR15" s="198"/>
      <c r="CS15" s="198"/>
      <c r="CT15" s="198"/>
      <c r="CU15" s="198"/>
      <c r="CV15" s="198"/>
      <c r="CW15" s="198"/>
      <c r="CX15" s="198"/>
      <c r="CY15" s="198"/>
      <c r="CZ15" s="198"/>
      <c r="DA15" s="198"/>
      <c r="DB15" s="198"/>
      <c r="DC15" s="198"/>
      <c r="DD15" s="198"/>
      <c r="DE15" s="198"/>
      <c r="DF15" s="198"/>
      <c r="DG15" s="198"/>
      <c r="DH15" s="198"/>
      <c r="DI15" s="198"/>
      <c r="DJ15" s="198"/>
      <c r="DK15" s="198"/>
      <c r="DL15" s="198"/>
      <c r="DM15" s="198"/>
      <c r="DN15" s="198"/>
      <c r="DO15" s="198"/>
      <c r="DP15" s="198"/>
      <c r="DQ15" s="198"/>
      <c r="DR15" s="198"/>
      <c r="DS15" s="198"/>
      <c r="DT15" s="198"/>
      <c r="DU15" s="198"/>
      <c r="DV15" s="198"/>
      <c r="DW15" s="198"/>
      <c r="DX15" s="198"/>
      <c r="DY15" s="198"/>
      <c r="DZ15" s="198"/>
      <c r="EA15" s="198"/>
      <c r="EB15" s="198"/>
      <c r="EC15" s="198"/>
      <c r="ED15" s="198"/>
      <c r="EE15" s="198"/>
      <c r="EF15" s="198"/>
      <c r="EG15" s="198"/>
      <c r="EH15" s="198"/>
      <c r="EI15" s="198"/>
      <c r="EJ15" s="198"/>
      <c r="EK15" s="198"/>
      <c r="EL15" s="198"/>
      <c r="EM15" s="198"/>
      <c r="EN15" s="198"/>
      <c r="EO15" s="198"/>
      <c r="EP15" s="198"/>
      <c r="EQ15" s="198"/>
      <c r="ER15" s="198"/>
      <c r="ES15" s="198"/>
      <c r="ET15" s="198"/>
      <c r="EU15" s="198"/>
      <c r="EV15" s="198"/>
      <c r="EW15" s="198"/>
      <c r="EX15" s="198"/>
      <c r="EY15" s="198"/>
      <c r="EZ15" s="198"/>
      <c r="FA15" s="198"/>
      <c r="FB15" s="198"/>
      <c r="FC15" s="198"/>
      <c r="FD15" s="198"/>
      <c r="FE15" s="198"/>
      <c r="FF15" s="198"/>
      <c r="FG15" s="198"/>
      <c r="FH15" s="198"/>
      <c r="FI15" s="198"/>
      <c r="FJ15" s="198"/>
      <c r="FK15" s="198"/>
      <c r="FL15" s="198"/>
      <c r="FM15" s="198"/>
      <c r="FN15" s="198"/>
      <c r="FO15" s="198"/>
      <c r="FP15" s="198"/>
      <c r="FQ15" s="198"/>
      <c r="FR15" s="198"/>
      <c r="FS15" s="198"/>
      <c r="FT15" s="198"/>
      <c r="FU15" s="198"/>
      <c r="FV15" s="198"/>
      <c r="FW15" s="198"/>
      <c r="FX15" s="198"/>
      <c r="FY15" s="198"/>
      <c r="FZ15" s="198"/>
      <c r="GA15" s="198"/>
      <c r="GB15" s="198"/>
      <c r="GC15" s="198"/>
      <c r="GD15" s="198"/>
      <c r="GE15" s="198"/>
      <c r="GF15" s="198"/>
      <c r="GG15" s="198"/>
      <c r="GH15" s="198"/>
      <c r="GI15" s="198"/>
      <c r="GJ15" s="198"/>
      <c r="GK15" s="198"/>
      <c r="GL15" s="198"/>
      <c r="GM15" s="198"/>
      <c r="GN15" s="198"/>
      <c r="GO15" s="198"/>
      <c r="GP15" s="198"/>
      <c r="GQ15" s="198"/>
      <c r="GR15" s="198"/>
      <c r="GS15" s="198"/>
      <c r="GT15" s="198"/>
      <c r="GU15" s="198"/>
      <c r="GV15" s="198"/>
      <c r="GW15" s="198"/>
      <c r="GX15" s="198"/>
      <c r="GY15" s="198"/>
      <c r="GZ15" s="198"/>
      <c r="HA15" s="198"/>
      <c r="HB15" s="198"/>
      <c r="HC15" s="198"/>
      <c r="HD15" s="198"/>
      <c r="HE15" s="198"/>
      <c r="HF15" s="198"/>
      <c r="HG15" s="198"/>
      <c r="HH15" s="198"/>
      <c r="HI15" s="198"/>
      <c r="HJ15" s="198"/>
      <c r="HK15" s="198"/>
      <c r="HL15" s="198"/>
      <c r="HM15" s="198"/>
      <c r="HN15" s="198"/>
      <c r="HO15" s="198"/>
      <c r="HP15" s="198"/>
      <c r="HQ15" s="198"/>
      <c r="HR15" s="198"/>
      <c r="HS15" s="198"/>
      <c r="HT15" s="198"/>
      <c r="HU15" s="198"/>
      <c r="HV15" s="198"/>
      <c r="HW15" s="198"/>
      <c r="HX15" s="198"/>
      <c r="HY15" s="198"/>
      <c r="HZ15" s="198"/>
      <c r="IA15" s="198"/>
      <c r="IB15" s="198"/>
      <c r="IC15" s="198"/>
      <c r="ID15" s="198"/>
      <c r="IE15" s="198"/>
      <c r="IF15" s="198"/>
      <c r="IG15" s="198"/>
      <c r="IH15" s="198"/>
      <c r="II15" s="198"/>
      <c r="IJ15" s="198"/>
      <c r="IK15" s="198"/>
      <c r="IL15" s="198"/>
      <c r="IM15" s="198"/>
      <c r="IN15" s="198"/>
      <c r="IO15" s="198"/>
      <c r="IP15" s="198"/>
      <c r="IQ15" s="198"/>
      <c r="IR15" s="198"/>
      <c r="IS15" s="198"/>
      <c r="IT15" s="198"/>
      <c r="IU15" s="198"/>
      <c r="IV15" s="198"/>
    </row>
    <row r="16" s="199" customFormat="true" ht="12.75" hidden="false" customHeight="true" outlineLevel="0" collapsed="false">
      <c r="A16" s="157" t="str">
        <f aca="false">IF(Eingabe!A110="","",Eingabe!A110)</f>
        <v/>
      </c>
      <c r="B16" s="157"/>
      <c r="C16" s="157"/>
      <c r="D16" s="158" t="str">
        <f aca="false">IF(Eingabe!B110="","",Eingabe!B110)</f>
        <v/>
      </c>
      <c r="E16" s="158"/>
      <c r="F16" s="158"/>
      <c r="G16" s="158"/>
      <c r="H16" s="159" t="str">
        <f aca="false">IF(Eingabe!C110="","",Eingabe!C110)</f>
        <v/>
      </c>
      <c r="I16" s="159"/>
      <c r="J16" s="159"/>
      <c r="K16" s="159"/>
      <c r="L16" s="160" t="str">
        <f aca="false">IF(Eingabe!D110="","",Eingabe!D110)</f>
        <v/>
      </c>
      <c r="M16" s="160"/>
      <c r="N16" s="160"/>
      <c r="O16" s="160"/>
      <c r="P16" s="160"/>
      <c r="Q16" s="160"/>
      <c r="R16" s="160"/>
      <c r="S16" s="160"/>
      <c r="T16" s="160"/>
      <c r="U16" s="160"/>
      <c r="V16" s="160"/>
      <c r="W16" s="160"/>
      <c r="X16" s="160"/>
      <c r="Y16" s="160"/>
      <c r="Z16" s="160"/>
      <c r="AA16" s="160"/>
      <c r="AB16" s="160"/>
      <c r="AC16" s="160"/>
      <c r="AD16" s="160"/>
      <c r="AE16" s="160"/>
      <c r="AF16" s="160"/>
      <c r="AG16" s="160"/>
      <c r="AH16" s="200" t="str">
        <f aca="false">IF(Eingabe!F110&amp;Eingabe!G110="","",Eingabe!F110&amp;"  /  "&amp;Eingabe!G110)</f>
        <v/>
      </c>
      <c r="AI16" s="200"/>
      <c r="AJ16" s="200"/>
      <c r="AK16" s="200"/>
      <c r="AL16" s="200"/>
      <c r="AM16" s="200"/>
      <c r="AN16" s="200"/>
      <c r="AO16" s="200"/>
      <c r="AP16" s="200"/>
      <c r="AQ16" s="200"/>
      <c r="AR16" s="200"/>
      <c r="AS16" s="200"/>
      <c r="AT16" s="200"/>
      <c r="AU16" s="200"/>
      <c r="AV16" s="200"/>
      <c r="AW16" s="200"/>
      <c r="AX16" s="200"/>
      <c r="AY16" s="200"/>
      <c r="AZ16" s="200"/>
      <c r="BA16" s="200"/>
      <c r="BB16" s="200"/>
      <c r="BC16" s="200"/>
      <c r="BD16" s="200"/>
      <c r="BE16" s="201" t="str">
        <f aca="false">IF(Eingabe!I110="","",Eingabe!I110)</f>
        <v/>
      </c>
      <c r="BF16" s="201"/>
      <c r="BG16" s="201"/>
      <c r="BH16" s="201"/>
      <c r="BI16" s="201"/>
      <c r="BJ16" s="202" t="str">
        <f aca="false">IF(Eingabe!I110="","",Eingabe!I110*Eingabe!B110)</f>
        <v/>
      </c>
      <c r="BK16" s="202"/>
      <c r="BL16" s="202"/>
      <c r="BM16" s="202"/>
      <c r="BN16" s="202"/>
      <c r="BO16" s="198"/>
      <c r="BP16" s="198"/>
      <c r="BQ16" s="198"/>
      <c r="BR16" s="198"/>
      <c r="BS16" s="198"/>
      <c r="BT16" s="198"/>
      <c r="BU16" s="198"/>
      <c r="BV16" s="198"/>
      <c r="BW16" s="198"/>
      <c r="BX16" s="198"/>
      <c r="BY16" s="198"/>
      <c r="BZ16" s="198"/>
      <c r="CA16" s="198"/>
      <c r="CB16" s="198"/>
      <c r="CC16" s="198"/>
      <c r="CD16" s="198"/>
      <c r="CE16" s="198"/>
      <c r="CF16" s="198"/>
      <c r="CG16" s="198"/>
      <c r="CH16" s="198"/>
      <c r="CI16" s="198"/>
      <c r="CJ16" s="198"/>
      <c r="CK16" s="198"/>
      <c r="CL16" s="198"/>
      <c r="CM16" s="198"/>
      <c r="CN16" s="198"/>
      <c r="CO16" s="198"/>
      <c r="CP16" s="198"/>
      <c r="CQ16" s="198"/>
      <c r="CR16" s="198"/>
      <c r="CS16" s="198"/>
      <c r="CT16" s="198"/>
      <c r="CU16" s="198"/>
      <c r="CV16" s="198"/>
      <c r="CW16" s="198"/>
      <c r="CX16" s="198"/>
      <c r="CY16" s="198"/>
      <c r="CZ16" s="198"/>
      <c r="DA16" s="198"/>
      <c r="DB16" s="198"/>
      <c r="DC16" s="198"/>
      <c r="DD16" s="198"/>
      <c r="DE16" s="198"/>
      <c r="DF16" s="198"/>
      <c r="DG16" s="198"/>
      <c r="DH16" s="198"/>
      <c r="DI16" s="198"/>
      <c r="DJ16" s="198"/>
      <c r="DK16" s="198"/>
      <c r="DL16" s="198"/>
      <c r="DM16" s="198"/>
      <c r="DN16" s="198"/>
      <c r="DO16" s="198"/>
      <c r="DP16" s="198"/>
      <c r="DQ16" s="198"/>
      <c r="DR16" s="198"/>
      <c r="DS16" s="198"/>
      <c r="DT16" s="198"/>
      <c r="DU16" s="198"/>
      <c r="DV16" s="198"/>
      <c r="DW16" s="198"/>
      <c r="DX16" s="198"/>
      <c r="DY16" s="198"/>
      <c r="DZ16" s="198"/>
      <c r="EA16" s="198"/>
      <c r="EB16" s="198"/>
      <c r="EC16" s="198"/>
      <c r="ED16" s="198"/>
      <c r="EE16" s="198"/>
      <c r="EF16" s="198"/>
      <c r="EG16" s="198"/>
      <c r="EH16" s="198"/>
      <c r="EI16" s="198"/>
      <c r="EJ16" s="198"/>
      <c r="EK16" s="198"/>
      <c r="EL16" s="198"/>
      <c r="EM16" s="198"/>
      <c r="EN16" s="198"/>
      <c r="EO16" s="198"/>
      <c r="EP16" s="198"/>
      <c r="EQ16" s="198"/>
      <c r="ER16" s="198"/>
      <c r="ES16" s="198"/>
      <c r="ET16" s="198"/>
      <c r="EU16" s="198"/>
      <c r="EV16" s="198"/>
      <c r="EW16" s="198"/>
      <c r="EX16" s="198"/>
      <c r="EY16" s="198"/>
      <c r="EZ16" s="198"/>
      <c r="FA16" s="198"/>
      <c r="FB16" s="198"/>
      <c r="FC16" s="198"/>
      <c r="FD16" s="198"/>
      <c r="FE16" s="198"/>
      <c r="FF16" s="198"/>
      <c r="FG16" s="198"/>
      <c r="FH16" s="198"/>
      <c r="FI16" s="198"/>
      <c r="FJ16" s="198"/>
      <c r="FK16" s="198"/>
      <c r="FL16" s="198"/>
      <c r="FM16" s="198"/>
      <c r="FN16" s="198"/>
      <c r="FO16" s="198"/>
      <c r="FP16" s="198"/>
      <c r="FQ16" s="198"/>
      <c r="FR16" s="198"/>
      <c r="FS16" s="198"/>
      <c r="FT16" s="198"/>
      <c r="FU16" s="198"/>
      <c r="FV16" s="198"/>
      <c r="FW16" s="198"/>
      <c r="FX16" s="198"/>
      <c r="FY16" s="198"/>
      <c r="FZ16" s="198"/>
      <c r="GA16" s="198"/>
      <c r="GB16" s="198"/>
      <c r="GC16" s="198"/>
      <c r="GD16" s="198"/>
      <c r="GE16" s="198"/>
      <c r="GF16" s="198"/>
      <c r="GG16" s="198"/>
      <c r="GH16" s="198"/>
      <c r="GI16" s="198"/>
      <c r="GJ16" s="198"/>
      <c r="GK16" s="198"/>
      <c r="GL16" s="198"/>
      <c r="GM16" s="198"/>
      <c r="GN16" s="198"/>
      <c r="GO16" s="198"/>
      <c r="GP16" s="198"/>
      <c r="GQ16" s="198"/>
      <c r="GR16" s="198"/>
      <c r="GS16" s="198"/>
      <c r="GT16" s="198"/>
      <c r="GU16" s="198"/>
      <c r="GV16" s="198"/>
      <c r="GW16" s="198"/>
      <c r="GX16" s="198"/>
      <c r="GY16" s="198"/>
      <c r="GZ16" s="198"/>
      <c r="HA16" s="198"/>
      <c r="HB16" s="198"/>
      <c r="HC16" s="198"/>
      <c r="HD16" s="198"/>
      <c r="HE16" s="198"/>
      <c r="HF16" s="198"/>
      <c r="HG16" s="198"/>
      <c r="HH16" s="198"/>
      <c r="HI16" s="198"/>
      <c r="HJ16" s="198"/>
      <c r="HK16" s="198"/>
      <c r="HL16" s="198"/>
      <c r="HM16" s="198"/>
      <c r="HN16" s="198"/>
      <c r="HO16" s="198"/>
      <c r="HP16" s="198"/>
      <c r="HQ16" s="198"/>
      <c r="HR16" s="198"/>
      <c r="HS16" s="198"/>
      <c r="HT16" s="198"/>
      <c r="HU16" s="198"/>
      <c r="HV16" s="198"/>
      <c r="HW16" s="198"/>
      <c r="HX16" s="198"/>
      <c r="HY16" s="198"/>
      <c r="HZ16" s="198"/>
      <c r="IA16" s="198"/>
      <c r="IB16" s="198"/>
      <c r="IC16" s="198"/>
      <c r="ID16" s="198"/>
      <c r="IE16" s="198"/>
      <c r="IF16" s="198"/>
      <c r="IG16" s="198"/>
      <c r="IH16" s="198"/>
      <c r="II16" s="198"/>
      <c r="IJ16" s="198"/>
      <c r="IK16" s="198"/>
      <c r="IL16" s="198"/>
      <c r="IM16" s="198"/>
      <c r="IN16" s="198"/>
      <c r="IO16" s="198"/>
      <c r="IP16" s="198"/>
      <c r="IQ16" s="198"/>
      <c r="IR16" s="198"/>
      <c r="IS16" s="198"/>
      <c r="IT16" s="198"/>
      <c r="IU16" s="198"/>
      <c r="IV16" s="198"/>
    </row>
    <row r="17" s="199" customFormat="true" ht="12.75" hidden="false" customHeight="true" outlineLevel="0" collapsed="false">
      <c r="A17" s="157" t="str">
        <f aca="false">IF(Eingabe!A111="","",Eingabe!A111)</f>
        <v/>
      </c>
      <c r="B17" s="157"/>
      <c r="C17" s="157"/>
      <c r="D17" s="158" t="str">
        <f aca="false">IF(Eingabe!B111="","",Eingabe!B111)</f>
        <v/>
      </c>
      <c r="E17" s="158"/>
      <c r="F17" s="158"/>
      <c r="G17" s="158"/>
      <c r="H17" s="159" t="str">
        <f aca="false">IF(Eingabe!C111="","",Eingabe!C111)</f>
        <v/>
      </c>
      <c r="I17" s="159"/>
      <c r="J17" s="159"/>
      <c r="K17" s="159"/>
      <c r="L17" s="160" t="str">
        <f aca="false">IF(Eingabe!D111="","",Eingabe!D111)</f>
        <v/>
      </c>
      <c r="M17" s="160"/>
      <c r="N17" s="160"/>
      <c r="O17" s="160"/>
      <c r="P17" s="160"/>
      <c r="Q17" s="160"/>
      <c r="R17" s="160"/>
      <c r="S17" s="160"/>
      <c r="T17" s="160"/>
      <c r="U17" s="160"/>
      <c r="V17" s="160"/>
      <c r="W17" s="160"/>
      <c r="X17" s="160"/>
      <c r="Y17" s="160"/>
      <c r="Z17" s="160"/>
      <c r="AA17" s="160"/>
      <c r="AB17" s="160"/>
      <c r="AC17" s="160"/>
      <c r="AD17" s="160"/>
      <c r="AE17" s="160"/>
      <c r="AF17" s="160"/>
      <c r="AG17" s="160"/>
      <c r="AH17" s="200" t="str">
        <f aca="false">IF(Eingabe!F111&amp;Eingabe!G111="","",Eingabe!F111&amp;"  /  "&amp;Eingabe!G111)</f>
        <v/>
      </c>
      <c r="AI17" s="200"/>
      <c r="AJ17" s="200"/>
      <c r="AK17" s="200"/>
      <c r="AL17" s="200"/>
      <c r="AM17" s="200"/>
      <c r="AN17" s="200"/>
      <c r="AO17" s="200"/>
      <c r="AP17" s="200"/>
      <c r="AQ17" s="200"/>
      <c r="AR17" s="200"/>
      <c r="AS17" s="200"/>
      <c r="AT17" s="200"/>
      <c r="AU17" s="200"/>
      <c r="AV17" s="200"/>
      <c r="AW17" s="200"/>
      <c r="AX17" s="200"/>
      <c r="AY17" s="200"/>
      <c r="AZ17" s="200"/>
      <c r="BA17" s="200"/>
      <c r="BB17" s="200"/>
      <c r="BC17" s="200"/>
      <c r="BD17" s="200"/>
      <c r="BE17" s="201" t="str">
        <f aca="false">IF(Eingabe!I111="","",Eingabe!I111)</f>
        <v/>
      </c>
      <c r="BF17" s="201"/>
      <c r="BG17" s="201"/>
      <c r="BH17" s="201"/>
      <c r="BI17" s="201"/>
      <c r="BJ17" s="202" t="str">
        <f aca="false">IF(Eingabe!I111="","",Eingabe!I111*Eingabe!B111)</f>
        <v/>
      </c>
      <c r="BK17" s="202"/>
      <c r="BL17" s="202"/>
      <c r="BM17" s="202"/>
      <c r="BN17" s="202"/>
      <c r="BO17" s="198"/>
      <c r="BP17" s="198"/>
      <c r="BQ17" s="198"/>
      <c r="BR17" s="198"/>
      <c r="BS17" s="198"/>
      <c r="BT17" s="198"/>
      <c r="BU17" s="198"/>
      <c r="BV17" s="198"/>
      <c r="BW17" s="198"/>
      <c r="BX17" s="198"/>
      <c r="BY17" s="198"/>
      <c r="BZ17" s="198"/>
      <c r="CA17" s="198"/>
      <c r="CB17" s="198"/>
      <c r="CC17" s="198"/>
      <c r="CD17" s="198"/>
      <c r="CE17" s="198"/>
      <c r="CF17" s="198"/>
      <c r="CG17" s="198"/>
      <c r="CH17" s="198"/>
      <c r="CI17" s="198"/>
      <c r="CJ17" s="198"/>
      <c r="CK17" s="198"/>
      <c r="CL17" s="198"/>
      <c r="CM17" s="198"/>
      <c r="CN17" s="198"/>
      <c r="CO17" s="198"/>
      <c r="CP17" s="198"/>
      <c r="CQ17" s="198"/>
      <c r="CR17" s="198"/>
      <c r="CS17" s="198"/>
      <c r="CT17" s="198"/>
      <c r="CU17" s="198"/>
      <c r="CV17" s="198"/>
      <c r="CW17" s="198"/>
      <c r="CX17" s="198"/>
      <c r="CY17" s="198"/>
      <c r="CZ17" s="198"/>
      <c r="DA17" s="198"/>
      <c r="DB17" s="198"/>
      <c r="DC17" s="198"/>
      <c r="DD17" s="198"/>
      <c r="DE17" s="198"/>
      <c r="DF17" s="198"/>
      <c r="DG17" s="198"/>
      <c r="DH17" s="198"/>
      <c r="DI17" s="198"/>
      <c r="DJ17" s="198"/>
      <c r="DK17" s="198"/>
      <c r="DL17" s="198"/>
      <c r="DM17" s="198"/>
      <c r="DN17" s="198"/>
      <c r="DO17" s="198"/>
      <c r="DP17" s="198"/>
      <c r="DQ17" s="198"/>
      <c r="DR17" s="198"/>
      <c r="DS17" s="198"/>
      <c r="DT17" s="198"/>
      <c r="DU17" s="198"/>
      <c r="DV17" s="198"/>
      <c r="DW17" s="198"/>
      <c r="DX17" s="198"/>
      <c r="DY17" s="198"/>
      <c r="DZ17" s="198"/>
      <c r="EA17" s="198"/>
      <c r="EB17" s="198"/>
      <c r="EC17" s="198"/>
      <c r="ED17" s="198"/>
      <c r="EE17" s="198"/>
      <c r="EF17" s="198"/>
      <c r="EG17" s="198"/>
      <c r="EH17" s="198"/>
      <c r="EI17" s="198"/>
      <c r="EJ17" s="198"/>
      <c r="EK17" s="198"/>
      <c r="EL17" s="198"/>
      <c r="EM17" s="198"/>
      <c r="EN17" s="198"/>
      <c r="EO17" s="198"/>
      <c r="EP17" s="198"/>
      <c r="EQ17" s="198"/>
      <c r="ER17" s="198"/>
      <c r="ES17" s="198"/>
      <c r="ET17" s="198"/>
      <c r="EU17" s="198"/>
      <c r="EV17" s="198"/>
      <c r="EW17" s="198"/>
      <c r="EX17" s="198"/>
      <c r="EY17" s="198"/>
      <c r="EZ17" s="198"/>
      <c r="FA17" s="198"/>
      <c r="FB17" s="198"/>
      <c r="FC17" s="198"/>
      <c r="FD17" s="198"/>
      <c r="FE17" s="198"/>
      <c r="FF17" s="198"/>
      <c r="FG17" s="198"/>
      <c r="FH17" s="198"/>
      <c r="FI17" s="198"/>
      <c r="FJ17" s="198"/>
      <c r="FK17" s="198"/>
      <c r="FL17" s="198"/>
      <c r="FM17" s="198"/>
      <c r="FN17" s="198"/>
      <c r="FO17" s="198"/>
      <c r="FP17" s="198"/>
      <c r="FQ17" s="198"/>
      <c r="FR17" s="198"/>
      <c r="FS17" s="198"/>
      <c r="FT17" s="198"/>
      <c r="FU17" s="198"/>
      <c r="FV17" s="198"/>
      <c r="FW17" s="198"/>
      <c r="FX17" s="198"/>
      <c r="FY17" s="198"/>
      <c r="FZ17" s="198"/>
      <c r="GA17" s="198"/>
      <c r="GB17" s="198"/>
      <c r="GC17" s="198"/>
      <c r="GD17" s="198"/>
      <c r="GE17" s="198"/>
      <c r="GF17" s="198"/>
      <c r="GG17" s="198"/>
      <c r="GH17" s="198"/>
      <c r="GI17" s="198"/>
      <c r="GJ17" s="198"/>
      <c r="GK17" s="198"/>
      <c r="GL17" s="198"/>
      <c r="GM17" s="198"/>
      <c r="GN17" s="198"/>
      <c r="GO17" s="198"/>
      <c r="GP17" s="198"/>
      <c r="GQ17" s="198"/>
      <c r="GR17" s="198"/>
      <c r="GS17" s="198"/>
      <c r="GT17" s="198"/>
      <c r="GU17" s="198"/>
      <c r="GV17" s="198"/>
      <c r="GW17" s="198"/>
      <c r="GX17" s="198"/>
      <c r="GY17" s="198"/>
      <c r="GZ17" s="198"/>
      <c r="HA17" s="198"/>
      <c r="HB17" s="198"/>
      <c r="HC17" s="198"/>
      <c r="HD17" s="198"/>
      <c r="HE17" s="198"/>
      <c r="HF17" s="198"/>
      <c r="HG17" s="198"/>
      <c r="HH17" s="198"/>
      <c r="HI17" s="198"/>
      <c r="HJ17" s="198"/>
      <c r="HK17" s="198"/>
      <c r="HL17" s="198"/>
      <c r="HM17" s="198"/>
      <c r="HN17" s="198"/>
      <c r="HO17" s="198"/>
      <c r="HP17" s="198"/>
      <c r="HQ17" s="198"/>
      <c r="HR17" s="198"/>
      <c r="HS17" s="198"/>
      <c r="HT17" s="198"/>
      <c r="HU17" s="198"/>
      <c r="HV17" s="198"/>
      <c r="HW17" s="198"/>
      <c r="HX17" s="198"/>
      <c r="HY17" s="198"/>
      <c r="HZ17" s="198"/>
      <c r="IA17" s="198"/>
      <c r="IB17" s="198"/>
      <c r="IC17" s="198"/>
      <c r="ID17" s="198"/>
      <c r="IE17" s="198"/>
      <c r="IF17" s="198"/>
      <c r="IG17" s="198"/>
      <c r="IH17" s="198"/>
      <c r="II17" s="198"/>
      <c r="IJ17" s="198"/>
      <c r="IK17" s="198"/>
      <c r="IL17" s="198"/>
      <c r="IM17" s="198"/>
      <c r="IN17" s="198"/>
      <c r="IO17" s="198"/>
      <c r="IP17" s="198"/>
      <c r="IQ17" s="198"/>
      <c r="IR17" s="198"/>
      <c r="IS17" s="198"/>
      <c r="IT17" s="198"/>
      <c r="IU17" s="198"/>
      <c r="IV17" s="198"/>
    </row>
    <row r="18" s="199" customFormat="true" ht="12.75" hidden="false" customHeight="true" outlineLevel="0" collapsed="false">
      <c r="A18" s="157" t="str">
        <f aca="false">IF(Eingabe!A112="","",Eingabe!A112)</f>
        <v/>
      </c>
      <c r="B18" s="157"/>
      <c r="C18" s="157"/>
      <c r="D18" s="158" t="str">
        <f aca="false">IF(Eingabe!B112="","",Eingabe!B112)</f>
        <v/>
      </c>
      <c r="E18" s="158"/>
      <c r="F18" s="158"/>
      <c r="G18" s="158"/>
      <c r="H18" s="159" t="str">
        <f aca="false">IF(Eingabe!C112="","",Eingabe!C112)</f>
        <v/>
      </c>
      <c r="I18" s="159"/>
      <c r="J18" s="159"/>
      <c r="K18" s="159"/>
      <c r="L18" s="160" t="str">
        <f aca="false">IF(Eingabe!D112="","",Eingabe!D112)</f>
        <v/>
      </c>
      <c r="M18" s="160"/>
      <c r="N18" s="160"/>
      <c r="O18" s="160"/>
      <c r="P18" s="160"/>
      <c r="Q18" s="160"/>
      <c r="R18" s="160"/>
      <c r="S18" s="160"/>
      <c r="T18" s="160"/>
      <c r="U18" s="160"/>
      <c r="V18" s="160"/>
      <c r="W18" s="160"/>
      <c r="X18" s="160"/>
      <c r="Y18" s="160"/>
      <c r="Z18" s="160"/>
      <c r="AA18" s="160"/>
      <c r="AB18" s="160"/>
      <c r="AC18" s="160"/>
      <c r="AD18" s="160"/>
      <c r="AE18" s="160"/>
      <c r="AF18" s="160"/>
      <c r="AG18" s="160"/>
      <c r="AH18" s="200" t="str">
        <f aca="false">IF(Eingabe!F112&amp;Eingabe!G112="","",Eingabe!F112&amp;"  /  "&amp;Eingabe!G112)</f>
        <v/>
      </c>
      <c r="AI18" s="200"/>
      <c r="AJ18" s="200"/>
      <c r="AK18" s="200"/>
      <c r="AL18" s="200"/>
      <c r="AM18" s="200"/>
      <c r="AN18" s="200"/>
      <c r="AO18" s="200"/>
      <c r="AP18" s="200"/>
      <c r="AQ18" s="200"/>
      <c r="AR18" s="200"/>
      <c r="AS18" s="200"/>
      <c r="AT18" s="200"/>
      <c r="AU18" s="200"/>
      <c r="AV18" s="200"/>
      <c r="AW18" s="200"/>
      <c r="AX18" s="200"/>
      <c r="AY18" s="200"/>
      <c r="AZ18" s="200"/>
      <c r="BA18" s="200"/>
      <c r="BB18" s="200"/>
      <c r="BC18" s="200"/>
      <c r="BD18" s="200"/>
      <c r="BE18" s="201" t="str">
        <f aca="false">IF(Eingabe!I112="","",Eingabe!I112)</f>
        <v/>
      </c>
      <c r="BF18" s="201"/>
      <c r="BG18" s="201"/>
      <c r="BH18" s="201"/>
      <c r="BI18" s="201"/>
      <c r="BJ18" s="202" t="str">
        <f aca="false">IF(Eingabe!I112="","",Eingabe!I112*Eingabe!B112)</f>
        <v/>
      </c>
      <c r="BK18" s="202"/>
      <c r="BL18" s="202"/>
      <c r="BM18" s="202"/>
      <c r="BN18" s="202"/>
      <c r="BO18" s="198"/>
      <c r="BP18" s="198"/>
      <c r="BQ18" s="198"/>
      <c r="BR18" s="198"/>
      <c r="BS18" s="198"/>
      <c r="BT18" s="198"/>
      <c r="BU18" s="198"/>
      <c r="BV18" s="198"/>
      <c r="BW18" s="198"/>
      <c r="BX18" s="198"/>
      <c r="BY18" s="198"/>
      <c r="BZ18" s="198"/>
      <c r="CA18" s="198"/>
      <c r="CB18" s="198"/>
      <c r="CC18" s="198"/>
      <c r="CD18" s="198"/>
      <c r="CE18" s="198"/>
      <c r="CF18" s="198"/>
      <c r="CG18" s="198"/>
      <c r="CH18" s="198"/>
      <c r="CI18" s="198"/>
      <c r="CJ18" s="198"/>
      <c r="CK18" s="198"/>
      <c r="CL18" s="198"/>
      <c r="CM18" s="198"/>
      <c r="CN18" s="198"/>
      <c r="CO18" s="198"/>
      <c r="CP18" s="198"/>
      <c r="CQ18" s="198"/>
      <c r="CR18" s="198"/>
      <c r="CS18" s="198"/>
      <c r="CT18" s="198"/>
      <c r="CU18" s="198"/>
      <c r="CV18" s="198"/>
      <c r="CW18" s="198"/>
      <c r="CX18" s="198"/>
      <c r="CY18" s="198"/>
      <c r="CZ18" s="198"/>
      <c r="DA18" s="198"/>
      <c r="DB18" s="198"/>
      <c r="DC18" s="198"/>
      <c r="DD18" s="198"/>
      <c r="DE18" s="198"/>
      <c r="DF18" s="198"/>
      <c r="DG18" s="198"/>
      <c r="DH18" s="198"/>
      <c r="DI18" s="198"/>
      <c r="DJ18" s="198"/>
      <c r="DK18" s="198"/>
      <c r="DL18" s="198"/>
      <c r="DM18" s="198"/>
      <c r="DN18" s="198"/>
      <c r="DO18" s="198"/>
      <c r="DP18" s="198"/>
      <c r="DQ18" s="198"/>
      <c r="DR18" s="198"/>
      <c r="DS18" s="198"/>
      <c r="DT18" s="198"/>
      <c r="DU18" s="198"/>
      <c r="DV18" s="198"/>
      <c r="DW18" s="198"/>
      <c r="DX18" s="198"/>
      <c r="DY18" s="198"/>
      <c r="DZ18" s="198"/>
      <c r="EA18" s="198"/>
      <c r="EB18" s="198"/>
      <c r="EC18" s="198"/>
      <c r="ED18" s="198"/>
      <c r="EE18" s="198"/>
      <c r="EF18" s="198"/>
      <c r="EG18" s="198"/>
      <c r="EH18" s="198"/>
      <c r="EI18" s="198"/>
      <c r="EJ18" s="198"/>
      <c r="EK18" s="198"/>
      <c r="EL18" s="198"/>
      <c r="EM18" s="198"/>
      <c r="EN18" s="198"/>
      <c r="EO18" s="198"/>
      <c r="EP18" s="198"/>
      <c r="EQ18" s="198"/>
      <c r="ER18" s="198"/>
      <c r="ES18" s="198"/>
      <c r="ET18" s="198"/>
      <c r="EU18" s="198"/>
      <c r="EV18" s="198"/>
      <c r="EW18" s="198"/>
      <c r="EX18" s="198"/>
      <c r="EY18" s="198"/>
      <c r="EZ18" s="198"/>
      <c r="FA18" s="198"/>
      <c r="FB18" s="198"/>
      <c r="FC18" s="198"/>
      <c r="FD18" s="198"/>
      <c r="FE18" s="198"/>
      <c r="FF18" s="198"/>
      <c r="FG18" s="198"/>
      <c r="FH18" s="198"/>
      <c r="FI18" s="198"/>
      <c r="FJ18" s="198"/>
      <c r="FK18" s="198"/>
      <c r="FL18" s="198"/>
      <c r="FM18" s="198"/>
      <c r="FN18" s="198"/>
      <c r="FO18" s="198"/>
      <c r="FP18" s="198"/>
      <c r="FQ18" s="198"/>
      <c r="FR18" s="198"/>
      <c r="FS18" s="198"/>
      <c r="FT18" s="198"/>
      <c r="FU18" s="198"/>
      <c r="FV18" s="198"/>
      <c r="FW18" s="198"/>
      <c r="FX18" s="198"/>
      <c r="FY18" s="198"/>
      <c r="FZ18" s="198"/>
      <c r="GA18" s="198"/>
      <c r="GB18" s="198"/>
      <c r="GC18" s="198"/>
      <c r="GD18" s="198"/>
      <c r="GE18" s="198"/>
      <c r="GF18" s="198"/>
      <c r="GG18" s="198"/>
      <c r="GH18" s="198"/>
      <c r="GI18" s="198"/>
      <c r="GJ18" s="198"/>
      <c r="GK18" s="198"/>
      <c r="GL18" s="198"/>
      <c r="GM18" s="198"/>
      <c r="GN18" s="198"/>
      <c r="GO18" s="198"/>
      <c r="GP18" s="198"/>
      <c r="GQ18" s="198"/>
      <c r="GR18" s="198"/>
      <c r="GS18" s="198"/>
      <c r="GT18" s="198"/>
      <c r="GU18" s="198"/>
      <c r="GV18" s="198"/>
      <c r="GW18" s="198"/>
      <c r="GX18" s="198"/>
      <c r="GY18" s="198"/>
      <c r="GZ18" s="198"/>
      <c r="HA18" s="198"/>
      <c r="HB18" s="198"/>
      <c r="HC18" s="198"/>
      <c r="HD18" s="198"/>
      <c r="HE18" s="198"/>
      <c r="HF18" s="198"/>
      <c r="HG18" s="198"/>
      <c r="HH18" s="198"/>
      <c r="HI18" s="198"/>
      <c r="HJ18" s="198"/>
      <c r="HK18" s="198"/>
      <c r="HL18" s="198"/>
      <c r="HM18" s="198"/>
      <c r="HN18" s="198"/>
      <c r="HO18" s="198"/>
      <c r="HP18" s="198"/>
      <c r="HQ18" s="198"/>
      <c r="HR18" s="198"/>
      <c r="HS18" s="198"/>
      <c r="HT18" s="198"/>
      <c r="HU18" s="198"/>
      <c r="HV18" s="198"/>
      <c r="HW18" s="198"/>
      <c r="HX18" s="198"/>
      <c r="HY18" s="198"/>
      <c r="HZ18" s="198"/>
      <c r="IA18" s="198"/>
      <c r="IB18" s="198"/>
      <c r="IC18" s="198"/>
      <c r="ID18" s="198"/>
      <c r="IE18" s="198"/>
      <c r="IF18" s="198"/>
      <c r="IG18" s="198"/>
      <c r="IH18" s="198"/>
      <c r="II18" s="198"/>
      <c r="IJ18" s="198"/>
      <c r="IK18" s="198"/>
      <c r="IL18" s="198"/>
      <c r="IM18" s="198"/>
      <c r="IN18" s="198"/>
      <c r="IO18" s="198"/>
      <c r="IP18" s="198"/>
      <c r="IQ18" s="198"/>
      <c r="IR18" s="198"/>
      <c r="IS18" s="198"/>
      <c r="IT18" s="198"/>
      <c r="IU18" s="198"/>
      <c r="IV18" s="198"/>
    </row>
    <row r="19" s="199" customFormat="true" ht="12.75" hidden="false" customHeight="true" outlineLevel="0" collapsed="false">
      <c r="A19" s="157" t="str">
        <f aca="false">IF(Eingabe!A113="","",Eingabe!A113)</f>
        <v/>
      </c>
      <c r="B19" s="157"/>
      <c r="C19" s="157"/>
      <c r="D19" s="158" t="str">
        <f aca="false">IF(Eingabe!B113="","",Eingabe!B113)</f>
        <v/>
      </c>
      <c r="E19" s="158"/>
      <c r="F19" s="158"/>
      <c r="G19" s="158"/>
      <c r="H19" s="159" t="str">
        <f aca="false">IF(Eingabe!C113="","",Eingabe!C113)</f>
        <v/>
      </c>
      <c r="I19" s="159"/>
      <c r="J19" s="159"/>
      <c r="K19" s="159"/>
      <c r="L19" s="160" t="str">
        <f aca="false">IF(Eingabe!D113="","",Eingabe!D113)</f>
        <v/>
      </c>
      <c r="M19" s="160"/>
      <c r="N19" s="160"/>
      <c r="O19" s="160"/>
      <c r="P19" s="160"/>
      <c r="Q19" s="160"/>
      <c r="R19" s="160"/>
      <c r="S19" s="160"/>
      <c r="T19" s="160"/>
      <c r="U19" s="160"/>
      <c r="V19" s="160"/>
      <c r="W19" s="160"/>
      <c r="X19" s="160"/>
      <c r="Y19" s="160"/>
      <c r="Z19" s="160"/>
      <c r="AA19" s="160"/>
      <c r="AB19" s="160"/>
      <c r="AC19" s="160"/>
      <c r="AD19" s="160"/>
      <c r="AE19" s="160"/>
      <c r="AF19" s="160"/>
      <c r="AG19" s="160"/>
      <c r="AH19" s="200" t="str">
        <f aca="false">IF(Eingabe!F113&amp;Eingabe!G113="","",Eingabe!F113&amp;"  /  "&amp;Eingabe!G113)</f>
        <v/>
      </c>
      <c r="AI19" s="200"/>
      <c r="AJ19" s="200"/>
      <c r="AK19" s="200"/>
      <c r="AL19" s="200"/>
      <c r="AM19" s="200"/>
      <c r="AN19" s="200"/>
      <c r="AO19" s="200"/>
      <c r="AP19" s="200"/>
      <c r="AQ19" s="200"/>
      <c r="AR19" s="200"/>
      <c r="AS19" s="200"/>
      <c r="AT19" s="200"/>
      <c r="AU19" s="200"/>
      <c r="AV19" s="200"/>
      <c r="AW19" s="200"/>
      <c r="AX19" s="200"/>
      <c r="AY19" s="200"/>
      <c r="AZ19" s="200"/>
      <c r="BA19" s="200"/>
      <c r="BB19" s="200"/>
      <c r="BC19" s="200"/>
      <c r="BD19" s="200"/>
      <c r="BE19" s="201" t="str">
        <f aca="false">IF(Eingabe!I113="","",Eingabe!I113)</f>
        <v/>
      </c>
      <c r="BF19" s="201"/>
      <c r="BG19" s="201"/>
      <c r="BH19" s="201"/>
      <c r="BI19" s="201"/>
      <c r="BJ19" s="202" t="str">
        <f aca="false">IF(Eingabe!I113="","",Eingabe!I113*Eingabe!B113)</f>
        <v/>
      </c>
      <c r="BK19" s="202"/>
      <c r="BL19" s="202"/>
      <c r="BM19" s="202"/>
      <c r="BN19" s="202"/>
      <c r="BO19" s="198"/>
      <c r="BP19" s="198"/>
      <c r="BQ19" s="198"/>
      <c r="BR19" s="198"/>
      <c r="BS19" s="198"/>
      <c r="BT19" s="198"/>
      <c r="BU19" s="198"/>
      <c r="BV19" s="198"/>
      <c r="BW19" s="198"/>
      <c r="BX19" s="198"/>
      <c r="BY19" s="198"/>
      <c r="BZ19" s="198"/>
      <c r="CA19" s="198"/>
      <c r="CB19" s="198"/>
      <c r="CC19" s="198"/>
      <c r="CD19" s="198"/>
      <c r="CE19" s="198"/>
      <c r="CF19" s="198"/>
      <c r="CG19" s="198"/>
      <c r="CH19" s="198"/>
      <c r="CI19" s="198"/>
      <c r="CJ19" s="198"/>
      <c r="CK19" s="198"/>
      <c r="CL19" s="198"/>
      <c r="CM19" s="198"/>
      <c r="CN19" s="198"/>
      <c r="CO19" s="198"/>
      <c r="CP19" s="198"/>
      <c r="CQ19" s="198"/>
      <c r="CR19" s="198"/>
      <c r="CS19" s="198"/>
      <c r="CT19" s="198"/>
      <c r="CU19" s="198"/>
      <c r="CV19" s="198"/>
      <c r="CW19" s="198"/>
      <c r="CX19" s="198"/>
      <c r="CY19" s="198"/>
      <c r="CZ19" s="198"/>
      <c r="DA19" s="198"/>
      <c r="DB19" s="198"/>
      <c r="DC19" s="198"/>
      <c r="DD19" s="198"/>
      <c r="DE19" s="198"/>
      <c r="DF19" s="198"/>
      <c r="DG19" s="198"/>
      <c r="DH19" s="198"/>
      <c r="DI19" s="198"/>
      <c r="DJ19" s="198"/>
      <c r="DK19" s="198"/>
      <c r="DL19" s="198"/>
      <c r="DM19" s="198"/>
      <c r="DN19" s="198"/>
      <c r="DO19" s="198"/>
      <c r="DP19" s="198"/>
      <c r="DQ19" s="198"/>
      <c r="DR19" s="198"/>
      <c r="DS19" s="198"/>
      <c r="DT19" s="198"/>
      <c r="DU19" s="198"/>
      <c r="DV19" s="198"/>
      <c r="DW19" s="198"/>
      <c r="DX19" s="198"/>
      <c r="DY19" s="198"/>
      <c r="DZ19" s="198"/>
      <c r="EA19" s="198"/>
      <c r="EB19" s="198"/>
      <c r="EC19" s="198"/>
      <c r="ED19" s="198"/>
      <c r="EE19" s="198"/>
      <c r="EF19" s="198"/>
      <c r="EG19" s="198"/>
      <c r="EH19" s="198"/>
      <c r="EI19" s="198"/>
      <c r="EJ19" s="198"/>
      <c r="EK19" s="198"/>
      <c r="EL19" s="198"/>
      <c r="EM19" s="198"/>
      <c r="EN19" s="198"/>
      <c r="EO19" s="198"/>
      <c r="EP19" s="198"/>
      <c r="EQ19" s="198"/>
      <c r="ER19" s="198"/>
      <c r="ES19" s="198"/>
      <c r="ET19" s="198"/>
      <c r="EU19" s="198"/>
      <c r="EV19" s="198"/>
      <c r="EW19" s="198"/>
      <c r="EX19" s="198"/>
      <c r="EY19" s="198"/>
      <c r="EZ19" s="198"/>
      <c r="FA19" s="198"/>
      <c r="FB19" s="198"/>
      <c r="FC19" s="198"/>
      <c r="FD19" s="198"/>
      <c r="FE19" s="198"/>
      <c r="FF19" s="198"/>
      <c r="FG19" s="198"/>
      <c r="FH19" s="198"/>
      <c r="FI19" s="198"/>
      <c r="FJ19" s="198"/>
      <c r="FK19" s="198"/>
      <c r="FL19" s="198"/>
      <c r="FM19" s="198"/>
      <c r="FN19" s="198"/>
      <c r="FO19" s="198"/>
      <c r="FP19" s="198"/>
      <c r="FQ19" s="198"/>
      <c r="FR19" s="198"/>
      <c r="FS19" s="198"/>
      <c r="FT19" s="198"/>
      <c r="FU19" s="198"/>
      <c r="FV19" s="198"/>
      <c r="FW19" s="198"/>
      <c r="FX19" s="198"/>
      <c r="FY19" s="198"/>
      <c r="FZ19" s="198"/>
      <c r="GA19" s="198"/>
      <c r="GB19" s="198"/>
      <c r="GC19" s="198"/>
      <c r="GD19" s="198"/>
      <c r="GE19" s="198"/>
      <c r="GF19" s="198"/>
      <c r="GG19" s="198"/>
      <c r="GH19" s="198"/>
      <c r="GI19" s="198"/>
      <c r="GJ19" s="198"/>
      <c r="GK19" s="198"/>
      <c r="GL19" s="198"/>
      <c r="GM19" s="198"/>
      <c r="GN19" s="198"/>
      <c r="GO19" s="198"/>
      <c r="GP19" s="198"/>
      <c r="GQ19" s="198"/>
      <c r="GR19" s="198"/>
      <c r="GS19" s="198"/>
      <c r="GT19" s="198"/>
      <c r="GU19" s="198"/>
      <c r="GV19" s="198"/>
      <c r="GW19" s="198"/>
      <c r="GX19" s="198"/>
      <c r="GY19" s="198"/>
      <c r="GZ19" s="198"/>
      <c r="HA19" s="198"/>
      <c r="HB19" s="198"/>
      <c r="HC19" s="198"/>
      <c r="HD19" s="198"/>
      <c r="HE19" s="198"/>
      <c r="HF19" s="198"/>
      <c r="HG19" s="198"/>
      <c r="HH19" s="198"/>
      <c r="HI19" s="198"/>
      <c r="HJ19" s="198"/>
      <c r="HK19" s="198"/>
      <c r="HL19" s="198"/>
      <c r="HM19" s="198"/>
      <c r="HN19" s="198"/>
      <c r="HO19" s="198"/>
      <c r="HP19" s="198"/>
      <c r="HQ19" s="198"/>
      <c r="HR19" s="198"/>
      <c r="HS19" s="198"/>
      <c r="HT19" s="198"/>
      <c r="HU19" s="198"/>
      <c r="HV19" s="198"/>
      <c r="HW19" s="198"/>
      <c r="HX19" s="198"/>
      <c r="HY19" s="198"/>
      <c r="HZ19" s="198"/>
      <c r="IA19" s="198"/>
      <c r="IB19" s="198"/>
      <c r="IC19" s="198"/>
      <c r="ID19" s="198"/>
      <c r="IE19" s="198"/>
      <c r="IF19" s="198"/>
      <c r="IG19" s="198"/>
      <c r="IH19" s="198"/>
      <c r="II19" s="198"/>
      <c r="IJ19" s="198"/>
      <c r="IK19" s="198"/>
      <c r="IL19" s="198"/>
      <c r="IM19" s="198"/>
      <c r="IN19" s="198"/>
      <c r="IO19" s="198"/>
      <c r="IP19" s="198"/>
      <c r="IQ19" s="198"/>
      <c r="IR19" s="198"/>
      <c r="IS19" s="198"/>
      <c r="IT19" s="198"/>
      <c r="IU19" s="198"/>
      <c r="IV19" s="198"/>
    </row>
    <row r="20" s="199" customFormat="true" ht="12.75" hidden="false" customHeight="true" outlineLevel="0" collapsed="false">
      <c r="A20" s="157" t="str">
        <f aca="false">IF(Eingabe!A114="","",Eingabe!A114)</f>
        <v/>
      </c>
      <c r="B20" s="157"/>
      <c r="C20" s="157"/>
      <c r="D20" s="158" t="str">
        <f aca="false">IF(Eingabe!B114="","",Eingabe!B114)</f>
        <v/>
      </c>
      <c r="E20" s="158"/>
      <c r="F20" s="158"/>
      <c r="G20" s="158"/>
      <c r="H20" s="159" t="str">
        <f aca="false">IF(Eingabe!C114="","",Eingabe!C114)</f>
        <v/>
      </c>
      <c r="I20" s="159"/>
      <c r="J20" s="159"/>
      <c r="K20" s="159"/>
      <c r="L20" s="160" t="str">
        <f aca="false">IF(Eingabe!D114="","",Eingabe!D114)</f>
        <v/>
      </c>
      <c r="M20" s="160"/>
      <c r="N20" s="160"/>
      <c r="O20" s="160"/>
      <c r="P20" s="160"/>
      <c r="Q20" s="160"/>
      <c r="R20" s="160"/>
      <c r="S20" s="160"/>
      <c r="T20" s="160"/>
      <c r="U20" s="160"/>
      <c r="V20" s="160"/>
      <c r="W20" s="160"/>
      <c r="X20" s="160"/>
      <c r="Y20" s="160"/>
      <c r="Z20" s="160"/>
      <c r="AA20" s="160"/>
      <c r="AB20" s="160"/>
      <c r="AC20" s="160"/>
      <c r="AD20" s="160"/>
      <c r="AE20" s="160"/>
      <c r="AF20" s="160"/>
      <c r="AG20" s="160"/>
      <c r="AH20" s="200" t="str">
        <f aca="false">IF(Eingabe!F114&amp;Eingabe!G114="","",Eingabe!F114&amp;"  /  "&amp;Eingabe!G114)</f>
        <v/>
      </c>
      <c r="AI20" s="200"/>
      <c r="AJ20" s="200"/>
      <c r="AK20" s="200"/>
      <c r="AL20" s="200"/>
      <c r="AM20" s="200"/>
      <c r="AN20" s="200"/>
      <c r="AO20" s="200"/>
      <c r="AP20" s="200"/>
      <c r="AQ20" s="200"/>
      <c r="AR20" s="200"/>
      <c r="AS20" s="200"/>
      <c r="AT20" s="200"/>
      <c r="AU20" s="200"/>
      <c r="AV20" s="200"/>
      <c r="AW20" s="200"/>
      <c r="AX20" s="200"/>
      <c r="AY20" s="200"/>
      <c r="AZ20" s="200"/>
      <c r="BA20" s="200"/>
      <c r="BB20" s="200"/>
      <c r="BC20" s="200"/>
      <c r="BD20" s="200"/>
      <c r="BE20" s="201" t="str">
        <f aca="false">IF(Eingabe!I114="","",Eingabe!I114)</f>
        <v/>
      </c>
      <c r="BF20" s="201"/>
      <c r="BG20" s="201"/>
      <c r="BH20" s="201"/>
      <c r="BI20" s="201"/>
      <c r="BJ20" s="202" t="str">
        <f aca="false">IF(Eingabe!I114="","",Eingabe!I114*Eingabe!B114)</f>
        <v/>
      </c>
      <c r="BK20" s="202"/>
      <c r="BL20" s="202"/>
      <c r="BM20" s="202"/>
      <c r="BN20" s="202"/>
      <c r="BO20" s="198"/>
      <c r="BP20" s="198"/>
      <c r="BQ20" s="198"/>
      <c r="BR20" s="198"/>
      <c r="BS20" s="198"/>
      <c r="BT20" s="198"/>
      <c r="BU20" s="198"/>
      <c r="BV20" s="198"/>
      <c r="BW20" s="198"/>
      <c r="BX20" s="198"/>
      <c r="BY20" s="198"/>
      <c r="BZ20" s="198"/>
      <c r="CA20" s="198"/>
      <c r="CB20" s="198"/>
      <c r="CC20" s="198"/>
      <c r="CD20" s="198"/>
      <c r="CE20" s="198"/>
      <c r="CF20" s="198"/>
      <c r="CG20" s="198"/>
      <c r="CH20" s="198"/>
      <c r="CI20" s="198"/>
      <c r="CJ20" s="198"/>
      <c r="CK20" s="198"/>
      <c r="CL20" s="198"/>
      <c r="CM20" s="198"/>
      <c r="CN20" s="198"/>
      <c r="CO20" s="198"/>
      <c r="CP20" s="198"/>
      <c r="CQ20" s="198"/>
      <c r="CR20" s="198"/>
      <c r="CS20" s="198"/>
      <c r="CT20" s="198"/>
      <c r="CU20" s="198"/>
      <c r="CV20" s="198"/>
      <c r="CW20" s="198"/>
      <c r="CX20" s="198"/>
      <c r="CY20" s="198"/>
      <c r="CZ20" s="198"/>
      <c r="DA20" s="198"/>
      <c r="DB20" s="198"/>
      <c r="DC20" s="198"/>
      <c r="DD20" s="198"/>
      <c r="DE20" s="198"/>
      <c r="DF20" s="198"/>
      <c r="DG20" s="198"/>
      <c r="DH20" s="198"/>
      <c r="DI20" s="198"/>
      <c r="DJ20" s="198"/>
      <c r="DK20" s="198"/>
      <c r="DL20" s="198"/>
      <c r="DM20" s="198"/>
      <c r="DN20" s="198"/>
      <c r="DO20" s="198"/>
      <c r="DP20" s="198"/>
      <c r="DQ20" s="198"/>
      <c r="DR20" s="198"/>
      <c r="DS20" s="198"/>
      <c r="DT20" s="198"/>
      <c r="DU20" s="198"/>
      <c r="DV20" s="198"/>
      <c r="DW20" s="198"/>
      <c r="DX20" s="198"/>
      <c r="DY20" s="198"/>
      <c r="DZ20" s="198"/>
      <c r="EA20" s="198"/>
      <c r="EB20" s="198"/>
      <c r="EC20" s="198"/>
      <c r="ED20" s="198"/>
      <c r="EE20" s="198"/>
      <c r="EF20" s="198"/>
      <c r="EG20" s="198"/>
      <c r="EH20" s="198"/>
      <c r="EI20" s="198"/>
      <c r="EJ20" s="198"/>
      <c r="EK20" s="198"/>
      <c r="EL20" s="198"/>
      <c r="EM20" s="198"/>
      <c r="EN20" s="198"/>
      <c r="EO20" s="198"/>
      <c r="EP20" s="198"/>
      <c r="EQ20" s="198"/>
      <c r="ER20" s="198"/>
      <c r="ES20" s="198"/>
      <c r="ET20" s="198"/>
      <c r="EU20" s="198"/>
      <c r="EV20" s="198"/>
      <c r="EW20" s="198"/>
      <c r="EX20" s="198"/>
      <c r="EY20" s="198"/>
      <c r="EZ20" s="198"/>
      <c r="FA20" s="198"/>
      <c r="FB20" s="198"/>
      <c r="FC20" s="198"/>
      <c r="FD20" s="198"/>
      <c r="FE20" s="198"/>
      <c r="FF20" s="198"/>
      <c r="FG20" s="198"/>
      <c r="FH20" s="198"/>
      <c r="FI20" s="198"/>
      <c r="FJ20" s="198"/>
      <c r="FK20" s="198"/>
      <c r="FL20" s="198"/>
      <c r="FM20" s="198"/>
      <c r="FN20" s="198"/>
      <c r="FO20" s="198"/>
      <c r="FP20" s="198"/>
      <c r="FQ20" s="198"/>
      <c r="FR20" s="198"/>
      <c r="FS20" s="198"/>
      <c r="FT20" s="198"/>
      <c r="FU20" s="198"/>
      <c r="FV20" s="198"/>
      <c r="FW20" s="198"/>
      <c r="FX20" s="198"/>
      <c r="FY20" s="198"/>
      <c r="FZ20" s="198"/>
      <c r="GA20" s="198"/>
      <c r="GB20" s="198"/>
      <c r="GC20" s="198"/>
      <c r="GD20" s="198"/>
      <c r="GE20" s="198"/>
      <c r="GF20" s="198"/>
      <c r="GG20" s="198"/>
      <c r="GH20" s="198"/>
      <c r="GI20" s="198"/>
      <c r="GJ20" s="198"/>
      <c r="GK20" s="198"/>
      <c r="GL20" s="198"/>
      <c r="GM20" s="198"/>
      <c r="GN20" s="198"/>
      <c r="GO20" s="198"/>
      <c r="GP20" s="198"/>
      <c r="GQ20" s="198"/>
      <c r="GR20" s="198"/>
      <c r="GS20" s="198"/>
      <c r="GT20" s="198"/>
      <c r="GU20" s="198"/>
      <c r="GV20" s="198"/>
      <c r="GW20" s="198"/>
      <c r="GX20" s="198"/>
      <c r="GY20" s="198"/>
      <c r="GZ20" s="198"/>
      <c r="HA20" s="198"/>
      <c r="HB20" s="198"/>
      <c r="HC20" s="198"/>
      <c r="HD20" s="198"/>
      <c r="HE20" s="198"/>
      <c r="HF20" s="198"/>
      <c r="HG20" s="198"/>
      <c r="HH20" s="198"/>
      <c r="HI20" s="198"/>
      <c r="HJ20" s="198"/>
      <c r="HK20" s="198"/>
      <c r="HL20" s="198"/>
      <c r="HM20" s="198"/>
      <c r="HN20" s="198"/>
      <c r="HO20" s="198"/>
      <c r="HP20" s="198"/>
      <c r="HQ20" s="198"/>
      <c r="HR20" s="198"/>
      <c r="HS20" s="198"/>
      <c r="HT20" s="198"/>
      <c r="HU20" s="198"/>
      <c r="HV20" s="198"/>
      <c r="HW20" s="198"/>
      <c r="HX20" s="198"/>
      <c r="HY20" s="198"/>
      <c r="HZ20" s="198"/>
      <c r="IA20" s="198"/>
      <c r="IB20" s="198"/>
      <c r="IC20" s="198"/>
      <c r="ID20" s="198"/>
      <c r="IE20" s="198"/>
      <c r="IF20" s="198"/>
      <c r="IG20" s="198"/>
      <c r="IH20" s="198"/>
      <c r="II20" s="198"/>
      <c r="IJ20" s="198"/>
      <c r="IK20" s="198"/>
      <c r="IL20" s="198"/>
      <c r="IM20" s="198"/>
      <c r="IN20" s="198"/>
      <c r="IO20" s="198"/>
      <c r="IP20" s="198"/>
      <c r="IQ20" s="198"/>
      <c r="IR20" s="198"/>
      <c r="IS20" s="198"/>
      <c r="IT20" s="198"/>
      <c r="IU20" s="198"/>
      <c r="IV20" s="198"/>
    </row>
    <row r="21" s="199" customFormat="true" ht="12.75" hidden="false" customHeight="true" outlineLevel="0" collapsed="false">
      <c r="A21" s="157" t="str">
        <f aca="false">IF(Eingabe!A115="","",Eingabe!A115)</f>
        <v/>
      </c>
      <c r="B21" s="157"/>
      <c r="C21" s="157"/>
      <c r="D21" s="158" t="str">
        <f aca="false">IF(Eingabe!B115="","",Eingabe!B115)</f>
        <v/>
      </c>
      <c r="E21" s="158"/>
      <c r="F21" s="158"/>
      <c r="G21" s="158"/>
      <c r="H21" s="159" t="str">
        <f aca="false">IF(Eingabe!C115="","",Eingabe!C115)</f>
        <v/>
      </c>
      <c r="I21" s="159"/>
      <c r="J21" s="159"/>
      <c r="K21" s="159"/>
      <c r="L21" s="160" t="str">
        <f aca="false">IF(Eingabe!D115="","",Eingabe!D115)</f>
        <v/>
      </c>
      <c r="M21" s="160"/>
      <c r="N21" s="160"/>
      <c r="O21" s="160"/>
      <c r="P21" s="160"/>
      <c r="Q21" s="160"/>
      <c r="R21" s="160"/>
      <c r="S21" s="160"/>
      <c r="T21" s="160"/>
      <c r="U21" s="160"/>
      <c r="V21" s="160"/>
      <c r="W21" s="160"/>
      <c r="X21" s="160"/>
      <c r="Y21" s="160"/>
      <c r="Z21" s="160"/>
      <c r="AA21" s="160"/>
      <c r="AB21" s="160"/>
      <c r="AC21" s="160"/>
      <c r="AD21" s="160"/>
      <c r="AE21" s="160"/>
      <c r="AF21" s="160"/>
      <c r="AG21" s="160"/>
      <c r="AH21" s="200" t="str">
        <f aca="false">IF(Eingabe!F115&amp;Eingabe!G115="","",Eingabe!F115&amp;"  /  "&amp;Eingabe!G115)</f>
        <v/>
      </c>
      <c r="AI21" s="200"/>
      <c r="AJ21" s="200"/>
      <c r="AK21" s="200"/>
      <c r="AL21" s="200"/>
      <c r="AM21" s="200"/>
      <c r="AN21" s="200"/>
      <c r="AO21" s="200"/>
      <c r="AP21" s="200"/>
      <c r="AQ21" s="200"/>
      <c r="AR21" s="200"/>
      <c r="AS21" s="200"/>
      <c r="AT21" s="200"/>
      <c r="AU21" s="200"/>
      <c r="AV21" s="200"/>
      <c r="AW21" s="200"/>
      <c r="AX21" s="200"/>
      <c r="AY21" s="200"/>
      <c r="AZ21" s="200"/>
      <c r="BA21" s="200"/>
      <c r="BB21" s="200"/>
      <c r="BC21" s="200"/>
      <c r="BD21" s="200"/>
      <c r="BE21" s="201" t="str">
        <f aca="false">IF(Eingabe!I115="","",Eingabe!I115)</f>
        <v/>
      </c>
      <c r="BF21" s="201"/>
      <c r="BG21" s="201"/>
      <c r="BH21" s="201"/>
      <c r="BI21" s="201"/>
      <c r="BJ21" s="202" t="str">
        <f aca="false">IF(Eingabe!I115="","",Eingabe!I115*Eingabe!B115)</f>
        <v/>
      </c>
      <c r="BK21" s="202"/>
      <c r="BL21" s="202"/>
      <c r="BM21" s="202"/>
      <c r="BN21" s="202"/>
      <c r="BO21" s="198"/>
      <c r="BP21" s="198"/>
      <c r="BQ21" s="198"/>
      <c r="BR21" s="198"/>
      <c r="BS21" s="198"/>
      <c r="BT21" s="198"/>
      <c r="BU21" s="198"/>
      <c r="BV21" s="198"/>
      <c r="BW21" s="198"/>
      <c r="BX21" s="198"/>
      <c r="BY21" s="198"/>
      <c r="BZ21" s="198"/>
      <c r="CA21" s="198"/>
      <c r="CB21" s="198"/>
      <c r="CC21" s="198"/>
      <c r="CD21" s="198"/>
      <c r="CE21" s="198"/>
      <c r="CF21" s="198"/>
      <c r="CG21" s="198"/>
      <c r="CH21" s="198"/>
      <c r="CI21" s="198"/>
      <c r="CJ21" s="198"/>
      <c r="CK21" s="198"/>
      <c r="CL21" s="198"/>
      <c r="CM21" s="198"/>
      <c r="CN21" s="198"/>
      <c r="CO21" s="198"/>
      <c r="CP21" s="198"/>
      <c r="CQ21" s="198"/>
      <c r="CR21" s="198"/>
      <c r="CS21" s="198"/>
      <c r="CT21" s="198"/>
      <c r="CU21" s="198"/>
      <c r="CV21" s="198"/>
      <c r="CW21" s="198"/>
      <c r="CX21" s="198"/>
      <c r="CY21" s="198"/>
      <c r="CZ21" s="198"/>
      <c r="DA21" s="198"/>
      <c r="DB21" s="198"/>
      <c r="DC21" s="198"/>
      <c r="DD21" s="198"/>
      <c r="DE21" s="198"/>
      <c r="DF21" s="198"/>
      <c r="DG21" s="198"/>
      <c r="DH21" s="198"/>
      <c r="DI21" s="198"/>
      <c r="DJ21" s="198"/>
      <c r="DK21" s="198"/>
      <c r="DL21" s="198"/>
      <c r="DM21" s="198"/>
      <c r="DN21" s="198"/>
      <c r="DO21" s="198"/>
      <c r="DP21" s="198"/>
      <c r="DQ21" s="198"/>
      <c r="DR21" s="198"/>
      <c r="DS21" s="198"/>
      <c r="DT21" s="198"/>
      <c r="DU21" s="198"/>
      <c r="DV21" s="198"/>
      <c r="DW21" s="198"/>
      <c r="DX21" s="198"/>
      <c r="DY21" s="198"/>
      <c r="DZ21" s="198"/>
      <c r="EA21" s="198"/>
      <c r="EB21" s="198"/>
      <c r="EC21" s="198"/>
      <c r="ED21" s="198"/>
      <c r="EE21" s="198"/>
      <c r="EF21" s="198"/>
      <c r="EG21" s="198"/>
      <c r="EH21" s="198"/>
      <c r="EI21" s="198"/>
      <c r="EJ21" s="198"/>
      <c r="EK21" s="198"/>
      <c r="EL21" s="198"/>
      <c r="EM21" s="198"/>
      <c r="EN21" s="198"/>
      <c r="EO21" s="198"/>
      <c r="EP21" s="198"/>
      <c r="EQ21" s="198"/>
      <c r="ER21" s="198"/>
      <c r="ES21" s="198"/>
      <c r="ET21" s="198"/>
      <c r="EU21" s="198"/>
      <c r="EV21" s="198"/>
      <c r="EW21" s="198"/>
      <c r="EX21" s="198"/>
      <c r="EY21" s="198"/>
      <c r="EZ21" s="198"/>
      <c r="FA21" s="198"/>
      <c r="FB21" s="198"/>
      <c r="FC21" s="198"/>
      <c r="FD21" s="198"/>
      <c r="FE21" s="198"/>
      <c r="FF21" s="198"/>
      <c r="FG21" s="198"/>
      <c r="FH21" s="198"/>
      <c r="FI21" s="198"/>
      <c r="FJ21" s="198"/>
      <c r="FK21" s="198"/>
      <c r="FL21" s="198"/>
      <c r="FM21" s="198"/>
      <c r="FN21" s="198"/>
      <c r="FO21" s="198"/>
      <c r="FP21" s="198"/>
      <c r="FQ21" s="198"/>
      <c r="FR21" s="198"/>
      <c r="FS21" s="198"/>
      <c r="FT21" s="198"/>
      <c r="FU21" s="198"/>
      <c r="FV21" s="198"/>
      <c r="FW21" s="198"/>
      <c r="FX21" s="198"/>
      <c r="FY21" s="198"/>
      <c r="FZ21" s="198"/>
      <c r="GA21" s="198"/>
      <c r="GB21" s="198"/>
      <c r="GC21" s="198"/>
      <c r="GD21" s="198"/>
      <c r="GE21" s="198"/>
      <c r="GF21" s="198"/>
      <c r="GG21" s="198"/>
      <c r="GH21" s="198"/>
      <c r="GI21" s="198"/>
      <c r="GJ21" s="198"/>
      <c r="GK21" s="198"/>
      <c r="GL21" s="198"/>
      <c r="GM21" s="198"/>
      <c r="GN21" s="198"/>
      <c r="GO21" s="198"/>
      <c r="GP21" s="198"/>
      <c r="GQ21" s="198"/>
      <c r="GR21" s="198"/>
      <c r="GS21" s="198"/>
      <c r="GT21" s="198"/>
      <c r="GU21" s="198"/>
      <c r="GV21" s="198"/>
      <c r="GW21" s="198"/>
      <c r="GX21" s="198"/>
      <c r="GY21" s="198"/>
      <c r="GZ21" s="198"/>
      <c r="HA21" s="198"/>
      <c r="HB21" s="198"/>
      <c r="HC21" s="198"/>
      <c r="HD21" s="198"/>
      <c r="HE21" s="198"/>
      <c r="HF21" s="198"/>
      <c r="HG21" s="198"/>
      <c r="HH21" s="198"/>
      <c r="HI21" s="198"/>
      <c r="HJ21" s="198"/>
      <c r="HK21" s="198"/>
      <c r="HL21" s="198"/>
      <c r="HM21" s="198"/>
      <c r="HN21" s="198"/>
      <c r="HO21" s="198"/>
      <c r="HP21" s="198"/>
      <c r="HQ21" s="198"/>
      <c r="HR21" s="198"/>
      <c r="HS21" s="198"/>
      <c r="HT21" s="198"/>
      <c r="HU21" s="198"/>
      <c r="HV21" s="198"/>
      <c r="HW21" s="198"/>
      <c r="HX21" s="198"/>
      <c r="HY21" s="198"/>
      <c r="HZ21" s="198"/>
      <c r="IA21" s="198"/>
      <c r="IB21" s="198"/>
      <c r="IC21" s="198"/>
      <c r="ID21" s="198"/>
      <c r="IE21" s="198"/>
      <c r="IF21" s="198"/>
      <c r="IG21" s="198"/>
      <c r="IH21" s="198"/>
      <c r="II21" s="198"/>
      <c r="IJ21" s="198"/>
      <c r="IK21" s="198"/>
      <c r="IL21" s="198"/>
      <c r="IM21" s="198"/>
      <c r="IN21" s="198"/>
      <c r="IO21" s="198"/>
      <c r="IP21" s="198"/>
      <c r="IQ21" s="198"/>
      <c r="IR21" s="198"/>
      <c r="IS21" s="198"/>
      <c r="IT21" s="198"/>
      <c r="IU21" s="198"/>
      <c r="IV21" s="198"/>
    </row>
    <row r="22" s="199" customFormat="true" ht="12.75" hidden="false" customHeight="true" outlineLevel="0" collapsed="false">
      <c r="A22" s="157" t="str">
        <f aca="false">IF(Eingabe!A116="","",Eingabe!A116)</f>
        <v/>
      </c>
      <c r="B22" s="157"/>
      <c r="C22" s="157"/>
      <c r="D22" s="158" t="str">
        <f aca="false">IF(Eingabe!B116="","",Eingabe!B116)</f>
        <v/>
      </c>
      <c r="E22" s="158"/>
      <c r="F22" s="158"/>
      <c r="G22" s="158"/>
      <c r="H22" s="159" t="str">
        <f aca="false">IF(Eingabe!C116="","",Eingabe!C116)</f>
        <v/>
      </c>
      <c r="I22" s="159"/>
      <c r="J22" s="159"/>
      <c r="K22" s="159"/>
      <c r="L22" s="160" t="str">
        <f aca="false">IF(Eingabe!D116="","",Eingabe!D116)</f>
        <v/>
      </c>
      <c r="M22" s="160"/>
      <c r="N22" s="160"/>
      <c r="O22" s="160"/>
      <c r="P22" s="160"/>
      <c r="Q22" s="160"/>
      <c r="R22" s="160"/>
      <c r="S22" s="160"/>
      <c r="T22" s="160"/>
      <c r="U22" s="160"/>
      <c r="V22" s="160"/>
      <c r="W22" s="160"/>
      <c r="X22" s="160"/>
      <c r="Y22" s="160"/>
      <c r="Z22" s="160"/>
      <c r="AA22" s="160"/>
      <c r="AB22" s="160"/>
      <c r="AC22" s="160"/>
      <c r="AD22" s="160"/>
      <c r="AE22" s="160"/>
      <c r="AF22" s="160"/>
      <c r="AG22" s="160"/>
      <c r="AH22" s="200" t="str">
        <f aca="false">IF(Eingabe!F116&amp;Eingabe!G116="","",Eingabe!F116&amp;"  /  "&amp;Eingabe!G116)</f>
        <v/>
      </c>
      <c r="AI22" s="200"/>
      <c r="AJ22" s="200"/>
      <c r="AK22" s="200"/>
      <c r="AL22" s="200"/>
      <c r="AM22" s="200"/>
      <c r="AN22" s="200"/>
      <c r="AO22" s="200"/>
      <c r="AP22" s="200"/>
      <c r="AQ22" s="200"/>
      <c r="AR22" s="200"/>
      <c r="AS22" s="200"/>
      <c r="AT22" s="200"/>
      <c r="AU22" s="200"/>
      <c r="AV22" s="200"/>
      <c r="AW22" s="200"/>
      <c r="AX22" s="200"/>
      <c r="AY22" s="200"/>
      <c r="AZ22" s="200"/>
      <c r="BA22" s="200"/>
      <c r="BB22" s="200"/>
      <c r="BC22" s="200"/>
      <c r="BD22" s="200"/>
      <c r="BE22" s="201" t="str">
        <f aca="false">IF(Eingabe!I116="","",Eingabe!I116)</f>
        <v/>
      </c>
      <c r="BF22" s="201"/>
      <c r="BG22" s="201"/>
      <c r="BH22" s="201"/>
      <c r="BI22" s="201"/>
      <c r="BJ22" s="202" t="str">
        <f aca="false">IF(Eingabe!I116="","",Eingabe!I116*Eingabe!B116)</f>
        <v/>
      </c>
      <c r="BK22" s="202"/>
      <c r="BL22" s="202"/>
      <c r="BM22" s="202"/>
      <c r="BN22" s="202"/>
      <c r="BO22" s="198"/>
      <c r="BP22" s="198"/>
      <c r="BQ22" s="198"/>
      <c r="BR22" s="198"/>
      <c r="BS22" s="198"/>
      <c r="BT22" s="198"/>
      <c r="BU22" s="198"/>
      <c r="BV22" s="198"/>
      <c r="BW22" s="198"/>
      <c r="BX22" s="198"/>
      <c r="BY22" s="198"/>
      <c r="BZ22" s="198"/>
      <c r="CA22" s="198"/>
      <c r="CB22" s="198"/>
      <c r="CC22" s="198"/>
      <c r="CD22" s="198"/>
      <c r="CE22" s="198"/>
      <c r="CF22" s="198"/>
      <c r="CG22" s="198"/>
      <c r="CH22" s="198"/>
      <c r="CI22" s="198"/>
      <c r="CJ22" s="198"/>
      <c r="CK22" s="198"/>
      <c r="CL22" s="198"/>
      <c r="CM22" s="198"/>
      <c r="CN22" s="198"/>
      <c r="CO22" s="198"/>
      <c r="CP22" s="198"/>
      <c r="CQ22" s="198"/>
      <c r="CR22" s="198"/>
      <c r="CS22" s="198"/>
      <c r="CT22" s="198"/>
      <c r="CU22" s="198"/>
      <c r="CV22" s="198"/>
      <c r="CW22" s="198"/>
      <c r="CX22" s="198"/>
      <c r="CY22" s="198"/>
      <c r="CZ22" s="198"/>
      <c r="DA22" s="198"/>
      <c r="DB22" s="198"/>
      <c r="DC22" s="198"/>
      <c r="DD22" s="198"/>
      <c r="DE22" s="198"/>
      <c r="DF22" s="198"/>
      <c r="DG22" s="198"/>
      <c r="DH22" s="198"/>
      <c r="DI22" s="198"/>
      <c r="DJ22" s="198"/>
      <c r="DK22" s="198"/>
      <c r="DL22" s="198"/>
      <c r="DM22" s="198"/>
      <c r="DN22" s="198"/>
      <c r="DO22" s="198"/>
      <c r="DP22" s="198"/>
      <c r="DQ22" s="198"/>
      <c r="DR22" s="198"/>
      <c r="DS22" s="198"/>
      <c r="DT22" s="198"/>
      <c r="DU22" s="198"/>
      <c r="DV22" s="198"/>
      <c r="DW22" s="198"/>
      <c r="DX22" s="198"/>
      <c r="DY22" s="198"/>
      <c r="DZ22" s="198"/>
      <c r="EA22" s="198"/>
      <c r="EB22" s="198"/>
      <c r="EC22" s="198"/>
      <c r="ED22" s="198"/>
      <c r="EE22" s="198"/>
      <c r="EF22" s="198"/>
      <c r="EG22" s="198"/>
      <c r="EH22" s="198"/>
      <c r="EI22" s="198"/>
      <c r="EJ22" s="198"/>
      <c r="EK22" s="198"/>
      <c r="EL22" s="198"/>
      <c r="EM22" s="198"/>
      <c r="EN22" s="198"/>
      <c r="EO22" s="198"/>
      <c r="EP22" s="198"/>
      <c r="EQ22" s="198"/>
      <c r="ER22" s="198"/>
      <c r="ES22" s="198"/>
      <c r="ET22" s="198"/>
      <c r="EU22" s="198"/>
      <c r="EV22" s="198"/>
      <c r="EW22" s="198"/>
      <c r="EX22" s="198"/>
      <c r="EY22" s="198"/>
      <c r="EZ22" s="198"/>
      <c r="FA22" s="198"/>
      <c r="FB22" s="198"/>
      <c r="FC22" s="198"/>
      <c r="FD22" s="198"/>
      <c r="FE22" s="198"/>
      <c r="FF22" s="198"/>
      <c r="FG22" s="198"/>
      <c r="FH22" s="198"/>
      <c r="FI22" s="198"/>
      <c r="FJ22" s="198"/>
      <c r="FK22" s="198"/>
      <c r="FL22" s="198"/>
      <c r="FM22" s="198"/>
      <c r="FN22" s="198"/>
      <c r="FO22" s="198"/>
      <c r="FP22" s="198"/>
      <c r="FQ22" s="198"/>
      <c r="FR22" s="198"/>
      <c r="FS22" s="198"/>
      <c r="FT22" s="198"/>
      <c r="FU22" s="198"/>
      <c r="FV22" s="198"/>
      <c r="FW22" s="198"/>
      <c r="FX22" s="198"/>
      <c r="FY22" s="198"/>
      <c r="FZ22" s="198"/>
      <c r="GA22" s="198"/>
      <c r="GB22" s="198"/>
      <c r="GC22" s="198"/>
      <c r="GD22" s="198"/>
      <c r="GE22" s="198"/>
      <c r="GF22" s="198"/>
      <c r="GG22" s="198"/>
      <c r="GH22" s="198"/>
      <c r="GI22" s="198"/>
      <c r="GJ22" s="198"/>
      <c r="GK22" s="198"/>
      <c r="GL22" s="198"/>
      <c r="GM22" s="198"/>
      <c r="GN22" s="198"/>
      <c r="GO22" s="198"/>
      <c r="GP22" s="198"/>
      <c r="GQ22" s="198"/>
      <c r="GR22" s="198"/>
      <c r="GS22" s="198"/>
      <c r="GT22" s="198"/>
      <c r="GU22" s="198"/>
      <c r="GV22" s="198"/>
      <c r="GW22" s="198"/>
      <c r="GX22" s="198"/>
      <c r="GY22" s="198"/>
      <c r="GZ22" s="198"/>
      <c r="HA22" s="198"/>
      <c r="HB22" s="198"/>
      <c r="HC22" s="198"/>
      <c r="HD22" s="198"/>
      <c r="HE22" s="198"/>
      <c r="HF22" s="198"/>
      <c r="HG22" s="198"/>
      <c r="HH22" s="198"/>
      <c r="HI22" s="198"/>
      <c r="HJ22" s="198"/>
      <c r="HK22" s="198"/>
      <c r="HL22" s="198"/>
      <c r="HM22" s="198"/>
      <c r="HN22" s="198"/>
      <c r="HO22" s="198"/>
      <c r="HP22" s="198"/>
      <c r="HQ22" s="198"/>
      <c r="HR22" s="198"/>
      <c r="HS22" s="198"/>
      <c r="HT22" s="198"/>
      <c r="HU22" s="198"/>
      <c r="HV22" s="198"/>
      <c r="HW22" s="198"/>
      <c r="HX22" s="198"/>
      <c r="HY22" s="198"/>
      <c r="HZ22" s="198"/>
      <c r="IA22" s="198"/>
      <c r="IB22" s="198"/>
      <c r="IC22" s="198"/>
      <c r="ID22" s="198"/>
      <c r="IE22" s="198"/>
      <c r="IF22" s="198"/>
      <c r="IG22" s="198"/>
      <c r="IH22" s="198"/>
      <c r="II22" s="198"/>
      <c r="IJ22" s="198"/>
      <c r="IK22" s="198"/>
      <c r="IL22" s="198"/>
      <c r="IM22" s="198"/>
      <c r="IN22" s="198"/>
      <c r="IO22" s="198"/>
      <c r="IP22" s="198"/>
      <c r="IQ22" s="198"/>
      <c r="IR22" s="198"/>
      <c r="IS22" s="198"/>
      <c r="IT22" s="198"/>
      <c r="IU22" s="198"/>
      <c r="IV22" s="198"/>
    </row>
    <row r="23" s="199" customFormat="true" ht="12.75" hidden="false" customHeight="true" outlineLevel="0" collapsed="false">
      <c r="A23" s="157" t="str">
        <f aca="false">IF(Eingabe!A117="","",Eingabe!A117)</f>
        <v/>
      </c>
      <c r="B23" s="157"/>
      <c r="C23" s="157"/>
      <c r="D23" s="158" t="str">
        <f aca="false">IF(Eingabe!B117="","",Eingabe!B117)</f>
        <v/>
      </c>
      <c r="E23" s="158"/>
      <c r="F23" s="158"/>
      <c r="G23" s="158"/>
      <c r="H23" s="159" t="str">
        <f aca="false">IF(Eingabe!C117="","",Eingabe!C117)</f>
        <v/>
      </c>
      <c r="I23" s="159"/>
      <c r="J23" s="159"/>
      <c r="K23" s="159"/>
      <c r="L23" s="160" t="str">
        <f aca="false">IF(Eingabe!D117="","",Eingabe!D117)</f>
        <v/>
      </c>
      <c r="M23" s="160"/>
      <c r="N23" s="160"/>
      <c r="O23" s="160"/>
      <c r="P23" s="160"/>
      <c r="Q23" s="160"/>
      <c r="R23" s="160"/>
      <c r="S23" s="160"/>
      <c r="T23" s="160"/>
      <c r="U23" s="160"/>
      <c r="V23" s="160"/>
      <c r="W23" s="160"/>
      <c r="X23" s="160"/>
      <c r="Y23" s="160"/>
      <c r="Z23" s="160"/>
      <c r="AA23" s="160"/>
      <c r="AB23" s="160"/>
      <c r="AC23" s="160"/>
      <c r="AD23" s="160"/>
      <c r="AE23" s="160"/>
      <c r="AF23" s="160"/>
      <c r="AG23" s="160"/>
      <c r="AH23" s="200" t="str">
        <f aca="false">IF(Eingabe!F117&amp;Eingabe!G117="","",Eingabe!F117&amp;"  /  "&amp;Eingabe!G117)</f>
        <v/>
      </c>
      <c r="AI23" s="200"/>
      <c r="AJ23" s="200"/>
      <c r="AK23" s="200"/>
      <c r="AL23" s="200"/>
      <c r="AM23" s="200"/>
      <c r="AN23" s="200"/>
      <c r="AO23" s="200"/>
      <c r="AP23" s="200"/>
      <c r="AQ23" s="200"/>
      <c r="AR23" s="200"/>
      <c r="AS23" s="200"/>
      <c r="AT23" s="200"/>
      <c r="AU23" s="200"/>
      <c r="AV23" s="200"/>
      <c r="AW23" s="200"/>
      <c r="AX23" s="200"/>
      <c r="AY23" s="200"/>
      <c r="AZ23" s="200"/>
      <c r="BA23" s="200"/>
      <c r="BB23" s="200"/>
      <c r="BC23" s="200"/>
      <c r="BD23" s="200"/>
      <c r="BE23" s="201" t="str">
        <f aca="false">IF(Eingabe!I117="","",Eingabe!I117)</f>
        <v/>
      </c>
      <c r="BF23" s="201"/>
      <c r="BG23" s="201"/>
      <c r="BH23" s="201"/>
      <c r="BI23" s="201"/>
      <c r="BJ23" s="202" t="str">
        <f aca="false">IF(Eingabe!I117="","",Eingabe!I117*Eingabe!B117)</f>
        <v/>
      </c>
      <c r="BK23" s="202"/>
      <c r="BL23" s="202"/>
      <c r="BM23" s="202"/>
      <c r="BN23" s="202"/>
      <c r="BO23" s="198"/>
      <c r="BP23" s="198"/>
      <c r="BQ23" s="198"/>
      <c r="BR23" s="198"/>
      <c r="BS23" s="198"/>
      <c r="BT23" s="198"/>
      <c r="BU23" s="198"/>
      <c r="BV23" s="198"/>
      <c r="BW23" s="198"/>
      <c r="BX23" s="198"/>
      <c r="BY23" s="198"/>
      <c r="BZ23" s="198"/>
      <c r="CA23" s="198"/>
      <c r="CB23" s="198"/>
      <c r="CC23" s="198"/>
      <c r="CD23" s="198"/>
      <c r="CE23" s="198"/>
      <c r="CF23" s="198"/>
      <c r="CG23" s="198"/>
      <c r="CH23" s="198"/>
      <c r="CI23" s="198"/>
      <c r="CJ23" s="198"/>
      <c r="CK23" s="198"/>
      <c r="CL23" s="198"/>
      <c r="CM23" s="198"/>
      <c r="CN23" s="198"/>
      <c r="CO23" s="198"/>
      <c r="CP23" s="198"/>
      <c r="CQ23" s="198"/>
      <c r="CR23" s="198"/>
      <c r="CS23" s="198"/>
      <c r="CT23" s="198"/>
      <c r="CU23" s="198"/>
      <c r="CV23" s="198"/>
      <c r="CW23" s="198"/>
      <c r="CX23" s="198"/>
      <c r="CY23" s="198"/>
      <c r="CZ23" s="198"/>
      <c r="DA23" s="198"/>
      <c r="DB23" s="198"/>
      <c r="DC23" s="198"/>
      <c r="DD23" s="198"/>
      <c r="DE23" s="198"/>
      <c r="DF23" s="198"/>
      <c r="DG23" s="198"/>
      <c r="DH23" s="198"/>
      <c r="DI23" s="198"/>
      <c r="DJ23" s="198"/>
      <c r="DK23" s="198"/>
      <c r="DL23" s="198"/>
      <c r="DM23" s="198"/>
      <c r="DN23" s="198"/>
      <c r="DO23" s="198"/>
      <c r="DP23" s="198"/>
      <c r="DQ23" s="198"/>
      <c r="DR23" s="198"/>
      <c r="DS23" s="198"/>
      <c r="DT23" s="198"/>
      <c r="DU23" s="198"/>
      <c r="DV23" s="198"/>
      <c r="DW23" s="198"/>
      <c r="DX23" s="198"/>
      <c r="DY23" s="198"/>
      <c r="DZ23" s="198"/>
      <c r="EA23" s="198"/>
      <c r="EB23" s="198"/>
      <c r="EC23" s="198"/>
      <c r="ED23" s="198"/>
      <c r="EE23" s="198"/>
      <c r="EF23" s="198"/>
      <c r="EG23" s="198"/>
      <c r="EH23" s="198"/>
      <c r="EI23" s="198"/>
      <c r="EJ23" s="198"/>
      <c r="EK23" s="198"/>
      <c r="EL23" s="198"/>
      <c r="EM23" s="198"/>
      <c r="EN23" s="198"/>
      <c r="EO23" s="198"/>
      <c r="EP23" s="198"/>
      <c r="EQ23" s="198"/>
      <c r="ER23" s="198"/>
      <c r="ES23" s="198"/>
      <c r="ET23" s="198"/>
      <c r="EU23" s="198"/>
      <c r="EV23" s="198"/>
      <c r="EW23" s="198"/>
      <c r="EX23" s="198"/>
      <c r="EY23" s="198"/>
      <c r="EZ23" s="198"/>
      <c r="FA23" s="198"/>
      <c r="FB23" s="198"/>
      <c r="FC23" s="198"/>
      <c r="FD23" s="198"/>
      <c r="FE23" s="198"/>
      <c r="FF23" s="198"/>
      <c r="FG23" s="198"/>
      <c r="FH23" s="198"/>
      <c r="FI23" s="198"/>
      <c r="FJ23" s="198"/>
      <c r="FK23" s="198"/>
      <c r="FL23" s="198"/>
      <c r="FM23" s="198"/>
      <c r="FN23" s="198"/>
      <c r="FO23" s="198"/>
      <c r="FP23" s="198"/>
      <c r="FQ23" s="198"/>
      <c r="FR23" s="198"/>
      <c r="FS23" s="198"/>
      <c r="FT23" s="198"/>
      <c r="FU23" s="198"/>
      <c r="FV23" s="198"/>
      <c r="FW23" s="198"/>
      <c r="FX23" s="198"/>
      <c r="FY23" s="198"/>
      <c r="FZ23" s="198"/>
      <c r="GA23" s="198"/>
      <c r="GB23" s="198"/>
      <c r="GC23" s="198"/>
      <c r="GD23" s="198"/>
      <c r="GE23" s="198"/>
      <c r="GF23" s="198"/>
      <c r="GG23" s="198"/>
      <c r="GH23" s="198"/>
      <c r="GI23" s="198"/>
      <c r="GJ23" s="198"/>
      <c r="GK23" s="198"/>
      <c r="GL23" s="198"/>
      <c r="GM23" s="198"/>
      <c r="GN23" s="198"/>
      <c r="GO23" s="198"/>
      <c r="GP23" s="198"/>
      <c r="GQ23" s="198"/>
      <c r="GR23" s="198"/>
      <c r="GS23" s="198"/>
      <c r="GT23" s="198"/>
      <c r="GU23" s="198"/>
      <c r="GV23" s="198"/>
      <c r="GW23" s="198"/>
      <c r="GX23" s="198"/>
      <c r="GY23" s="198"/>
      <c r="GZ23" s="198"/>
      <c r="HA23" s="198"/>
      <c r="HB23" s="198"/>
      <c r="HC23" s="198"/>
      <c r="HD23" s="198"/>
      <c r="HE23" s="198"/>
      <c r="HF23" s="198"/>
      <c r="HG23" s="198"/>
      <c r="HH23" s="198"/>
      <c r="HI23" s="198"/>
      <c r="HJ23" s="198"/>
      <c r="HK23" s="198"/>
      <c r="HL23" s="198"/>
      <c r="HM23" s="198"/>
      <c r="HN23" s="198"/>
      <c r="HO23" s="198"/>
      <c r="HP23" s="198"/>
      <c r="HQ23" s="198"/>
      <c r="HR23" s="198"/>
      <c r="HS23" s="198"/>
      <c r="HT23" s="198"/>
      <c r="HU23" s="198"/>
      <c r="HV23" s="198"/>
      <c r="HW23" s="198"/>
      <c r="HX23" s="198"/>
      <c r="HY23" s="198"/>
      <c r="HZ23" s="198"/>
      <c r="IA23" s="198"/>
      <c r="IB23" s="198"/>
      <c r="IC23" s="198"/>
      <c r="ID23" s="198"/>
      <c r="IE23" s="198"/>
      <c r="IF23" s="198"/>
      <c r="IG23" s="198"/>
      <c r="IH23" s="198"/>
      <c r="II23" s="198"/>
      <c r="IJ23" s="198"/>
      <c r="IK23" s="198"/>
      <c r="IL23" s="198"/>
      <c r="IM23" s="198"/>
      <c r="IN23" s="198"/>
      <c r="IO23" s="198"/>
      <c r="IP23" s="198"/>
      <c r="IQ23" s="198"/>
      <c r="IR23" s="198"/>
      <c r="IS23" s="198"/>
      <c r="IT23" s="198"/>
      <c r="IU23" s="198"/>
      <c r="IV23" s="198"/>
    </row>
    <row r="24" s="199" customFormat="true" ht="12.75" hidden="false" customHeight="true" outlineLevel="0" collapsed="false">
      <c r="A24" s="157" t="str">
        <f aca="false">IF(Eingabe!A118="","",Eingabe!A118)</f>
        <v/>
      </c>
      <c r="B24" s="157"/>
      <c r="C24" s="157"/>
      <c r="D24" s="158" t="str">
        <f aca="false">IF(Eingabe!B118="","",Eingabe!B118)</f>
        <v/>
      </c>
      <c r="E24" s="158"/>
      <c r="F24" s="158"/>
      <c r="G24" s="158"/>
      <c r="H24" s="159" t="str">
        <f aca="false">IF(Eingabe!C118="","",Eingabe!C118)</f>
        <v/>
      </c>
      <c r="I24" s="159"/>
      <c r="J24" s="159"/>
      <c r="K24" s="159"/>
      <c r="L24" s="160" t="str">
        <f aca="false">IF(Eingabe!D118="","",Eingabe!D118)</f>
        <v/>
      </c>
      <c r="M24" s="160"/>
      <c r="N24" s="160"/>
      <c r="O24" s="160"/>
      <c r="P24" s="160"/>
      <c r="Q24" s="160"/>
      <c r="R24" s="160"/>
      <c r="S24" s="160"/>
      <c r="T24" s="160"/>
      <c r="U24" s="160"/>
      <c r="V24" s="160"/>
      <c r="W24" s="160"/>
      <c r="X24" s="160"/>
      <c r="Y24" s="160"/>
      <c r="Z24" s="160"/>
      <c r="AA24" s="160"/>
      <c r="AB24" s="160"/>
      <c r="AC24" s="160"/>
      <c r="AD24" s="160"/>
      <c r="AE24" s="160"/>
      <c r="AF24" s="160"/>
      <c r="AG24" s="160"/>
      <c r="AH24" s="200" t="str">
        <f aca="false">IF(Eingabe!F118&amp;Eingabe!G118="","",Eingabe!F118&amp;"  /  "&amp;Eingabe!G118)</f>
        <v/>
      </c>
      <c r="AI24" s="200"/>
      <c r="AJ24" s="200"/>
      <c r="AK24" s="200"/>
      <c r="AL24" s="200"/>
      <c r="AM24" s="200"/>
      <c r="AN24" s="200"/>
      <c r="AO24" s="200"/>
      <c r="AP24" s="200"/>
      <c r="AQ24" s="200"/>
      <c r="AR24" s="200"/>
      <c r="AS24" s="200"/>
      <c r="AT24" s="200"/>
      <c r="AU24" s="200"/>
      <c r="AV24" s="200"/>
      <c r="AW24" s="200"/>
      <c r="AX24" s="200"/>
      <c r="AY24" s="200"/>
      <c r="AZ24" s="200"/>
      <c r="BA24" s="200"/>
      <c r="BB24" s="200"/>
      <c r="BC24" s="200"/>
      <c r="BD24" s="200"/>
      <c r="BE24" s="201" t="str">
        <f aca="false">IF(Eingabe!I118="","",Eingabe!I118)</f>
        <v/>
      </c>
      <c r="BF24" s="201"/>
      <c r="BG24" s="201"/>
      <c r="BH24" s="201"/>
      <c r="BI24" s="201"/>
      <c r="BJ24" s="202" t="str">
        <f aca="false">IF(Eingabe!I118="","",Eingabe!I118*Eingabe!B118)</f>
        <v/>
      </c>
      <c r="BK24" s="202"/>
      <c r="BL24" s="202"/>
      <c r="BM24" s="202"/>
      <c r="BN24" s="202"/>
      <c r="BO24" s="198"/>
      <c r="BP24" s="198"/>
      <c r="BQ24" s="198"/>
      <c r="BR24" s="198"/>
      <c r="BS24" s="198"/>
      <c r="BT24" s="198"/>
      <c r="BU24" s="198"/>
      <c r="BV24" s="198"/>
      <c r="BW24" s="198"/>
      <c r="BX24" s="198"/>
      <c r="BY24" s="198"/>
      <c r="BZ24" s="198"/>
      <c r="CA24" s="198"/>
      <c r="CB24" s="198"/>
      <c r="CC24" s="198"/>
      <c r="CD24" s="198"/>
      <c r="CE24" s="198"/>
      <c r="CF24" s="198"/>
      <c r="CG24" s="198"/>
      <c r="CH24" s="198"/>
      <c r="CI24" s="198"/>
      <c r="CJ24" s="198"/>
      <c r="CK24" s="198"/>
      <c r="CL24" s="198"/>
      <c r="CM24" s="198"/>
      <c r="CN24" s="198"/>
      <c r="CO24" s="198"/>
      <c r="CP24" s="198"/>
      <c r="CQ24" s="198"/>
      <c r="CR24" s="198"/>
      <c r="CS24" s="198"/>
      <c r="CT24" s="198"/>
      <c r="CU24" s="198"/>
      <c r="CV24" s="198"/>
      <c r="CW24" s="198"/>
      <c r="CX24" s="198"/>
      <c r="CY24" s="198"/>
      <c r="CZ24" s="198"/>
      <c r="DA24" s="198"/>
      <c r="DB24" s="198"/>
      <c r="DC24" s="198"/>
      <c r="DD24" s="198"/>
      <c r="DE24" s="198"/>
      <c r="DF24" s="198"/>
      <c r="DG24" s="198"/>
      <c r="DH24" s="198"/>
      <c r="DI24" s="198"/>
      <c r="DJ24" s="198"/>
      <c r="DK24" s="198"/>
      <c r="DL24" s="198"/>
      <c r="DM24" s="198"/>
      <c r="DN24" s="198"/>
      <c r="DO24" s="198"/>
      <c r="DP24" s="198"/>
      <c r="DQ24" s="198"/>
      <c r="DR24" s="198"/>
      <c r="DS24" s="198"/>
      <c r="DT24" s="198"/>
      <c r="DU24" s="198"/>
      <c r="DV24" s="198"/>
      <c r="DW24" s="198"/>
      <c r="DX24" s="198"/>
      <c r="DY24" s="198"/>
      <c r="DZ24" s="198"/>
      <c r="EA24" s="198"/>
      <c r="EB24" s="198"/>
      <c r="EC24" s="198"/>
      <c r="ED24" s="198"/>
      <c r="EE24" s="198"/>
      <c r="EF24" s="198"/>
      <c r="EG24" s="198"/>
      <c r="EH24" s="198"/>
      <c r="EI24" s="198"/>
      <c r="EJ24" s="198"/>
      <c r="EK24" s="198"/>
      <c r="EL24" s="198"/>
      <c r="EM24" s="198"/>
      <c r="EN24" s="198"/>
      <c r="EO24" s="198"/>
      <c r="EP24" s="198"/>
      <c r="EQ24" s="198"/>
      <c r="ER24" s="198"/>
      <c r="ES24" s="198"/>
      <c r="ET24" s="198"/>
      <c r="EU24" s="198"/>
      <c r="EV24" s="198"/>
      <c r="EW24" s="198"/>
      <c r="EX24" s="198"/>
      <c r="EY24" s="198"/>
      <c r="EZ24" s="198"/>
      <c r="FA24" s="198"/>
      <c r="FB24" s="198"/>
      <c r="FC24" s="198"/>
      <c r="FD24" s="198"/>
      <c r="FE24" s="198"/>
      <c r="FF24" s="198"/>
      <c r="FG24" s="198"/>
      <c r="FH24" s="198"/>
      <c r="FI24" s="198"/>
      <c r="FJ24" s="198"/>
      <c r="FK24" s="198"/>
      <c r="FL24" s="198"/>
      <c r="FM24" s="198"/>
      <c r="FN24" s="198"/>
      <c r="FO24" s="198"/>
      <c r="FP24" s="198"/>
      <c r="FQ24" s="198"/>
      <c r="FR24" s="198"/>
      <c r="FS24" s="198"/>
      <c r="FT24" s="198"/>
      <c r="FU24" s="198"/>
      <c r="FV24" s="198"/>
      <c r="FW24" s="198"/>
      <c r="FX24" s="198"/>
      <c r="FY24" s="198"/>
      <c r="FZ24" s="198"/>
      <c r="GA24" s="198"/>
      <c r="GB24" s="198"/>
      <c r="GC24" s="198"/>
      <c r="GD24" s="198"/>
      <c r="GE24" s="198"/>
      <c r="GF24" s="198"/>
      <c r="GG24" s="198"/>
      <c r="GH24" s="198"/>
      <c r="GI24" s="198"/>
      <c r="GJ24" s="198"/>
      <c r="GK24" s="198"/>
      <c r="GL24" s="198"/>
      <c r="GM24" s="198"/>
      <c r="GN24" s="198"/>
      <c r="GO24" s="198"/>
      <c r="GP24" s="198"/>
      <c r="GQ24" s="198"/>
      <c r="GR24" s="198"/>
      <c r="GS24" s="198"/>
      <c r="GT24" s="198"/>
      <c r="GU24" s="198"/>
      <c r="GV24" s="198"/>
      <c r="GW24" s="198"/>
      <c r="GX24" s="198"/>
      <c r="GY24" s="198"/>
      <c r="GZ24" s="198"/>
      <c r="HA24" s="198"/>
      <c r="HB24" s="198"/>
      <c r="HC24" s="198"/>
      <c r="HD24" s="198"/>
      <c r="HE24" s="198"/>
      <c r="HF24" s="198"/>
      <c r="HG24" s="198"/>
      <c r="HH24" s="198"/>
      <c r="HI24" s="198"/>
      <c r="HJ24" s="198"/>
      <c r="HK24" s="198"/>
      <c r="HL24" s="198"/>
      <c r="HM24" s="198"/>
      <c r="HN24" s="198"/>
      <c r="HO24" s="198"/>
      <c r="HP24" s="198"/>
      <c r="HQ24" s="198"/>
      <c r="HR24" s="198"/>
      <c r="HS24" s="198"/>
      <c r="HT24" s="198"/>
      <c r="HU24" s="198"/>
      <c r="HV24" s="198"/>
      <c r="HW24" s="198"/>
      <c r="HX24" s="198"/>
      <c r="HY24" s="198"/>
      <c r="HZ24" s="198"/>
      <c r="IA24" s="198"/>
      <c r="IB24" s="198"/>
      <c r="IC24" s="198"/>
      <c r="ID24" s="198"/>
      <c r="IE24" s="198"/>
      <c r="IF24" s="198"/>
      <c r="IG24" s="198"/>
      <c r="IH24" s="198"/>
      <c r="II24" s="198"/>
      <c r="IJ24" s="198"/>
      <c r="IK24" s="198"/>
      <c r="IL24" s="198"/>
      <c r="IM24" s="198"/>
      <c r="IN24" s="198"/>
      <c r="IO24" s="198"/>
      <c r="IP24" s="198"/>
      <c r="IQ24" s="198"/>
      <c r="IR24" s="198"/>
      <c r="IS24" s="198"/>
      <c r="IT24" s="198"/>
      <c r="IU24" s="198"/>
      <c r="IV24" s="198"/>
    </row>
    <row r="25" s="199" customFormat="true" ht="12.75" hidden="false" customHeight="true" outlineLevel="0" collapsed="false">
      <c r="A25" s="157" t="str">
        <f aca="false">IF(Eingabe!A119="","",Eingabe!A119)</f>
        <v/>
      </c>
      <c r="B25" s="157"/>
      <c r="C25" s="157"/>
      <c r="D25" s="158" t="str">
        <f aca="false">IF(Eingabe!B119="","",Eingabe!B119)</f>
        <v/>
      </c>
      <c r="E25" s="158"/>
      <c r="F25" s="158"/>
      <c r="G25" s="158"/>
      <c r="H25" s="159" t="str">
        <f aca="false">IF(Eingabe!C119="","",Eingabe!C119)</f>
        <v/>
      </c>
      <c r="I25" s="159"/>
      <c r="J25" s="159"/>
      <c r="K25" s="159"/>
      <c r="L25" s="160" t="str">
        <f aca="false">IF(Eingabe!D119="","",Eingabe!D119)</f>
        <v/>
      </c>
      <c r="M25" s="160"/>
      <c r="N25" s="160"/>
      <c r="O25" s="160"/>
      <c r="P25" s="160"/>
      <c r="Q25" s="160"/>
      <c r="R25" s="160"/>
      <c r="S25" s="160"/>
      <c r="T25" s="160"/>
      <c r="U25" s="160"/>
      <c r="V25" s="160"/>
      <c r="W25" s="160"/>
      <c r="X25" s="160"/>
      <c r="Y25" s="160"/>
      <c r="Z25" s="160"/>
      <c r="AA25" s="160"/>
      <c r="AB25" s="160"/>
      <c r="AC25" s="160"/>
      <c r="AD25" s="160"/>
      <c r="AE25" s="160"/>
      <c r="AF25" s="160"/>
      <c r="AG25" s="160"/>
      <c r="AH25" s="200" t="str">
        <f aca="false">IF(Eingabe!F119&amp;Eingabe!G119="","",Eingabe!F119&amp;"  /  "&amp;Eingabe!G119)</f>
        <v/>
      </c>
      <c r="AI25" s="200"/>
      <c r="AJ25" s="200"/>
      <c r="AK25" s="200"/>
      <c r="AL25" s="200"/>
      <c r="AM25" s="200"/>
      <c r="AN25" s="200"/>
      <c r="AO25" s="200"/>
      <c r="AP25" s="200"/>
      <c r="AQ25" s="200"/>
      <c r="AR25" s="200"/>
      <c r="AS25" s="200"/>
      <c r="AT25" s="200"/>
      <c r="AU25" s="200"/>
      <c r="AV25" s="200"/>
      <c r="AW25" s="200"/>
      <c r="AX25" s="200"/>
      <c r="AY25" s="200"/>
      <c r="AZ25" s="200"/>
      <c r="BA25" s="200"/>
      <c r="BB25" s="200"/>
      <c r="BC25" s="200"/>
      <c r="BD25" s="200"/>
      <c r="BE25" s="201" t="str">
        <f aca="false">IF(Eingabe!I119="","",Eingabe!I119)</f>
        <v/>
      </c>
      <c r="BF25" s="201"/>
      <c r="BG25" s="201"/>
      <c r="BH25" s="201"/>
      <c r="BI25" s="201"/>
      <c r="BJ25" s="202" t="str">
        <f aca="false">IF(Eingabe!I119="","",Eingabe!I119*Eingabe!B119)</f>
        <v/>
      </c>
      <c r="BK25" s="202"/>
      <c r="BL25" s="202"/>
      <c r="BM25" s="202"/>
      <c r="BN25" s="202"/>
      <c r="BO25" s="198"/>
      <c r="BP25" s="198"/>
      <c r="BQ25" s="198"/>
      <c r="BR25" s="198"/>
      <c r="BS25" s="198"/>
      <c r="BT25" s="198"/>
      <c r="BU25" s="198"/>
      <c r="BV25" s="198"/>
      <c r="BW25" s="198"/>
      <c r="BX25" s="198"/>
      <c r="BY25" s="198"/>
      <c r="BZ25" s="198"/>
      <c r="CA25" s="198"/>
      <c r="CB25" s="198"/>
      <c r="CC25" s="198"/>
      <c r="CD25" s="198"/>
      <c r="CE25" s="198"/>
      <c r="CF25" s="198"/>
      <c r="CG25" s="198"/>
      <c r="CH25" s="198"/>
      <c r="CI25" s="198"/>
      <c r="CJ25" s="198"/>
      <c r="CK25" s="198"/>
      <c r="CL25" s="198"/>
      <c r="CM25" s="198"/>
      <c r="CN25" s="198"/>
      <c r="CO25" s="198"/>
      <c r="CP25" s="198"/>
      <c r="CQ25" s="198"/>
      <c r="CR25" s="198"/>
      <c r="CS25" s="198"/>
      <c r="CT25" s="198"/>
      <c r="CU25" s="198"/>
      <c r="CV25" s="198"/>
      <c r="CW25" s="198"/>
      <c r="CX25" s="198"/>
      <c r="CY25" s="198"/>
      <c r="CZ25" s="198"/>
      <c r="DA25" s="198"/>
      <c r="DB25" s="198"/>
      <c r="DC25" s="198"/>
      <c r="DD25" s="198"/>
      <c r="DE25" s="198"/>
      <c r="DF25" s="198"/>
      <c r="DG25" s="198"/>
      <c r="DH25" s="198"/>
      <c r="DI25" s="198"/>
      <c r="DJ25" s="198"/>
      <c r="DK25" s="198"/>
      <c r="DL25" s="198"/>
      <c r="DM25" s="198"/>
      <c r="DN25" s="198"/>
      <c r="DO25" s="198"/>
      <c r="DP25" s="198"/>
      <c r="DQ25" s="198"/>
      <c r="DR25" s="198"/>
      <c r="DS25" s="198"/>
      <c r="DT25" s="198"/>
      <c r="DU25" s="198"/>
      <c r="DV25" s="198"/>
      <c r="DW25" s="198"/>
      <c r="DX25" s="198"/>
      <c r="DY25" s="198"/>
      <c r="DZ25" s="198"/>
      <c r="EA25" s="198"/>
      <c r="EB25" s="198"/>
      <c r="EC25" s="198"/>
      <c r="ED25" s="198"/>
      <c r="EE25" s="198"/>
      <c r="EF25" s="198"/>
      <c r="EG25" s="198"/>
      <c r="EH25" s="198"/>
      <c r="EI25" s="198"/>
      <c r="EJ25" s="198"/>
      <c r="EK25" s="198"/>
      <c r="EL25" s="198"/>
      <c r="EM25" s="198"/>
      <c r="EN25" s="198"/>
      <c r="EO25" s="198"/>
      <c r="EP25" s="198"/>
      <c r="EQ25" s="198"/>
      <c r="ER25" s="198"/>
      <c r="ES25" s="198"/>
      <c r="ET25" s="198"/>
      <c r="EU25" s="198"/>
      <c r="EV25" s="198"/>
      <c r="EW25" s="198"/>
      <c r="EX25" s="198"/>
      <c r="EY25" s="198"/>
      <c r="EZ25" s="198"/>
      <c r="FA25" s="198"/>
      <c r="FB25" s="198"/>
      <c r="FC25" s="198"/>
      <c r="FD25" s="198"/>
      <c r="FE25" s="198"/>
      <c r="FF25" s="198"/>
      <c r="FG25" s="198"/>
      <c r="FH25" s="198"/>
      <c r="FI25" s="198"/>
      <c r="FJ25" s="198"/>
      <c r="FK25" s="198"/>
      <c r="FL25" s="198"/>
      <c r="FM25" s="198"/>
      <c r="FN25" s="198"/>
      <c r="FO25" s="198"/>
      <c r="FP25" s="198"/>
      <c r="FQ25" s="198"/>
      <c r="FR25" s="198"/>
      <c r="FS25" s="198"/>
      <c r="FT25" s="198"/>
      <c r="FU25" s="198"/>
      <c r="FV25" s="198"/>
      <c r="FW25" s="198"/>
      <c r="FX25" s="198"/>
      <c r="FY25" s="198"/>
      <c r="FZ25" s="198"/>
      <c r="GA25" s="198"/>
      <c r="GB25" s="198"/>
      <c r="GC25" s="198"/>
      <c r="GD25" s="198"/>
      <c r="GE25" s="198"/>
      <c r="GF25" s="198"/>
      <c r="GG25" s="198"/>
      <c r="GH25" s="198"/>
      <c r="GI25" s="198"/>
      <c r="GJ25" s="198"/>
      <c r="GK25" s="198"/>
      <c r="GL25" s="198"/>
      <c r="GM25" s="198"/>
      <c r="GN25" s="198"/>
      <c r="GO25" s="198"/>
      <c r="GP25" s="198"/>
      <c r="GQ25" s="198"/>
      <c r="GR25" s="198"/>
      <c r="GS25" s="198"/>
      <c r="GT25" s="198"/>
      <c r="GU25" s="198"/>
      <c r="GV25" s="198"/>
      <c r="GW25" s="198"/>
      <c r="GX25" s="198"/>
      <c r="GY25" s="198"/>
      <c r="GZ25" s="198"/>
      <c r="HA25" s="198"/>
      <c r="HB25" s="198"/>
      <c r="HC25" s="198"/>
      <c r="HD25" s="198"/>
      <c r="HE25" s="198"/>
      <c r="HF25" s="198"/>
      <c r="HG25" s="198"/>
      <c r="HH25" s="198"/>
      <c r="HI25" s="198"/>
      <c r="HJ25" s="198"/>
      <c r="HK25" s="198"/>
      <c r="HL25" s="198"/>
      <c r="HM25" s="198"/>
      <c r="HN25" s="198"/>
      <c r="HO25" s="198"/>
      <c r="HP25" s="198"/>
      <c r="HQ25" s="198"/>
      <c r="HR25" s="198"/>
      <c r="HS25" s="198"/>
      <c r="HT25" s="198"/>
      <c r="HU25" s="198"/>
      <c r="HV25" s="198"/>
      <c r="HW25" s="198"/>
      <c r="HX25" s="198"/>
      <c r="HY25" s="198"/>
      <c r="HZ25" s="198"/>
      <c r="IA25" s="198"/>
      <c r="IB25" s="198"/>
      <c r="IC25" s="198"/>
      <c r="ID25" s="198"/>
      <c r="IE25" s="198"/>
      <c r="IF25" s="198"/>
      <c r="IG25" s="198"/>
      <c r="IH25" s="198"/>
      <c r="II25" s="198"/>
      <c r="IJ25" s="198"/>
      <c r="IK25" s="198"/>
      <c r="IL25" s="198"/>
      <c r="IM25" s="198"/>
      <c r="IN25" s="198"/>
      <c r="IO25" s="198"/>
      <c r="IP25" s="198"/>
      <c r="IQ25" s="198"/>
      <c r="IR25" s="198"/>
      <c r="IS25" s="198"/>
      <c r="IT25" s="198"/>
      <c r="IU25" s="198"/>
      <c r="IV25" s="198"/>
    </row>
    <row r="26" s="199" customFormat="true" ht="12.75" hidden="false" customHeight="true" outlineLevel="0" collapsed="false">
      <c r="A26" s="157" t="str">
        <f aca="false">IF(Eingabe!A120="","",Eingabe!A120)</f>
        <v/>
      </c>
      <c r="B26" s="157"/>
      <c r="C26" s="157"/>
      <c r="D26" s="158" t="str">
        <f aca="false">IF(Eingabe!B120="","",Eingabe!B120)</f>
        <v/>
      </c>
      <c r="E26" s="158"/>
      <c r="F26" s="158"/>
      <c r="G26" s="158"/>
      <c r="H26" s="159" t="str">
        <f aca="false">IF(Eingabe!C120="","",Eingabe!C120)</f>
        <v/>
      </c>
      <c r="I26" s="159"/>
      <c r="J26" s="159"/>
      <c r="K26" s="159"/>
      <c r="L26" s="160" t="str">
        <f aca="false">IF(Eingabe!D120="","",Eingabe!D120)</f>
        <v/>
      </c>
      <c r="M26" s="160"/>
      <c r="N26" s="160"/>
      <c r="O26" s="160"/>
      <c r="P26" s="160"/>
      <c r="Q26" s="160"/>
      <c r="R26" s="160"/>
      <c r="S26" s="160"/>
      <c r="T26" s="160"/>
      <c r="U26" s="160"/>
      <c r="V26" s="160"/>
      <c r="W26" s="160"/>
      <c r="X26" s="160"/>
      <c r="Y26" s="160"/>
      <c r="Z26" s="160"/>
      <c r="AA26" s="160"/>
      <c r="AB26" s="160"/>
      <c r="AC26" s="160"/>
      <c r="AD26" s="160"/>
      <c r="AE26" s="160"/>
      <c r="AF26" s="160"/>
      <c r="AG26" s="160"/>
      <c r="AH26" s="200" t="str">
        <f aca="false">IF(Eingabe!F120&amp;Eingabe!G120="","",Eingabe!F120&amp;"  /  "&amp;Eingabe!G120)</f>
        <v/>
      </c>
      <c r="AI26" s="200"/>
      <c r="AJ26" s="200"/>
      <c r="AK26" s="200"/>
      <c r="AL26" s="200"/>
      <c r="AM26" s="200"/>
      <c r="AN26" s="200"/>
      <c r="AO26" s="200"/>
      <c r="AP26" s="200"/>
      <c r="AQ26" s="200"/>
      <c r="AR26" s="200"/>
      <c r="AS26" s="200"/>
      <c r="AT26" s="200"/>
      <c r="AU26" s="200"/>
      <c r="AV26" s="200"/>
      <c r="AW26" s="200"/>
      <c r="AX26" s="200"/>
      <c r="AY26" s="200"/>
      <c r="AZ26" s="200"/>
      <c r="BA26" s="200"/>
      <c r="BB26" s="200"/>
      <c r="BC26" s="200"/>
      <c r="BD26" s="200"/>
      <c r="BE26" s="201" t="str">
        <f aca="false">IF(Eingabe!I120="","",Eingabe!I120)</f>
        <v/>
      </c>
      <c r="BF26" s="201"/>
      <c r="BG26" s="201"/>
      <c r="BH26" s="201"/>
      <c r="BI26" s="201"/>
      <c r="BJ26" s="202" t="str">
        <f aca="false">IF(Eingabe!I120="","",Eingabe!I120*Eingabe!B120)</f>
        <v/>
      </c>
      <c r="BK26" s="202"/>
      <c r="BL26" s="202"/>
      <c r="BM26" s="202"/>
      <c r="BN26" s="202"/>
      <c r="BO26" s="198"/>
      <c r="BP26" s="198"/>
      <c r="BQ26" s="198"/>
      <c r="BR26" s="198"/>
      <c r="BS26" s="198"/>
      <c r="BT26" s="198"/>
      <c r="BU26" s="198"/>
      <c r="BV26" s="198"/>
      <c r="BW26" s="198"/>
      <c r="BX26" s="198"/>
      <c r="BY26" s="198"/>
      <c r="BZ26" s="198"/>
      <c r="CA26" s="198"/>
      <c r="CB26" s="198"/>
      <c r="CC26" s="198"/>
      <c r="CD26" s="198"/>
      <c r="CE26" s="198"/>
      <c r="CF26" s="198"/>
      <c r="CG26" s="198"/>
      <c r="CH26" s="198"/>
      <c r="CI26" s="198"/>
      <c r="CJ26" s="198"/>
      <c r="CK26" s="198"/>
      <c r="CL26" s="198"/>
      <c r="CM26" s="198"/>
      <c r="CN26" s="198"/>
      <c r="CO26" s="198"/>
      <c r="CP26" s="198"/>
      <c r="CQ26" s="198"/>
      <c r="CR26" s="198"/>
      <c r="CS26" s="198"/>
      <c r="CT26" s="198"/>
      <c r="CU26" s="198"/>
      <c r="CV26" s="198"/>
      <c r="CW26" s="198"/>
      <c r="CX26" s="198"/>
      <c r="CY26" s="198"/>
      <c r="CZ26" s="198"/>
      <c r="DA26" s="198"/>
      <c r="DB26" s="198"/>
      <c r="DC26" s="198"/>
      <c r="DD26" s="198"/>
      <c r="DE26" s="198"/>
      <c r="DF26" s="198"/>
      <c r="DG26" s="198"/>
      <c r="DH26" s="198"/>
      <c r="DI26" s="198"/>
      <c r="DJ26" s="198"/>
      <c r="DK26" s="198"/>
      <c r="DL26" s="198"/>
      <c r="DM26" s="198"/>
      <c r="DN26" s="198"/>
      <c r="DO26" s="198"/>
      <c r="DP26" s="198"/>
      <c r="DQ26" s="198"/>
      <c r="DR26" s="198"/>
      <c r="DS26" s="198"/>
      <c r="DT26" s="198"/>
      <c r="DU26" s="198"/>
      <c r="DV26" s="198"/>
      <c r="DW26" s="198"/>
      <c r="DX26" s="198"/>
      <c r="DY26" s="198"/>
      <c r="DZ26" s="198"/>
      <c r="EA26" s="198"/>
      <c r="EB26" s="198"/>
      <c r="EC26" s="198"/>
      <c r="ED26" s="198"/>
      <c r="EE26" s="198"/>
      <c r="EF26" s="198"/>
      <c r="EG26" s="198"/>
      <c r="EH26" s="198"/>
      <c r="EI26" s="198"/>
      <c r="EJ26" s="198"/>
      <c r="EK26" s="198"/>
      <c r="EL26" s="198"/>
      <c r="EM26" s="198"/>
      <c r="EN26" s="198"/>
      <c r="EO26" s="198"/>
      <c r="EP26" s="198"/>
      <c r="EQ26" s="198"/>
      <c r="ER26" s="198"/>
      <c r="ES26" s="198"/>
      <c r="ET26" s="198"/>
      <c r="EU26" s="198"/>
      <c r="EV26" s="198"/>
      <c r="EW26" s="198"/>
      <c r="EX26" s="198"/>
      <c r="EY26" s="198"/>
      <c r="EZ26" s="198"/>
      <c r="FA26" s="198"/>
      <c r="FB26" s="198"/>
      <c r="FC26" s="198"/>
      <c r="FD26" s="198"/>
      <c r="FE26" s="198"/>
      <c r="FF26" s="198"/>
      <c r="FG26" s="198"/>
      <c r="FH26" s="198"/>
      <c r="FI26" s="198"/>
      <c r="FJ26" s="198"/>
      <c r="FK26" s="198"/>
      <c r="FL26" s="198"/>
      <c r="FM26" s="198"/>
      <c r="FN26" s="198"/>
      <c r="FO26" s="198"/>
      <c r="FP26" s="198"/>
      <c r="FQ26" s="198"/>
      <c r="FR26" s="198"/>
      <c r="FS26" s="198"/>
      <c r="FT26" s="198"/>
      <c r="FU26" s="198"/>
      <c r="FV26" s="198"/>
      <c r="FW26" s="198"/>
      <c r="FX26" s="198"/>
      <c r="FY26" s="198"/>
      <c r="FZ26" s="198"/>
      <c r="GA26" s="198"/>
      <c r="GB26" s="198"/>
      <c r="GC26" s="198"/>
      <c r="GD26" s="198"/>
      <c r="GE26" s="198"/>
      <c r="GF26" s="198"/>
      <c r="GG26" s="198"/>
      <c r="GH26" s="198"/>
      <c r="GI26" s="198"/>
      <c r="GJ26" s="198"/>
      <c r="GK26" s="198"/>
      <c r="GL26" s="198"/>
      <c r="GM26" s="198"/>
      <c r="GN26" s="198"/>
      <c r="GO26" s="198"/>
      <c r="GP26" s="198"/>
      <c r="GQ26" s="198"/>
      <c r="GR26" s="198"/>
      <c r="GS26" s="198"/>
      <c r="GT26" s="198"/>
      <c r="GU26" s="198"/>
      <c r="GV26" s="198"/>
      <c r="GW26" s="198"/>
      <c r="GX26" s="198"/>
      <c r="GY26" s="198"/>
      <c r="GZ26" s="198"/>
      <c r="HA26" s="198"/>
      <c r="HB26" s="198"/>
      <c r="HC26" s="198"/>
      <c r="HD26" s="198"/>
      <c r="HE26" s="198"/>
      <c r="HF26" s="198"/>
      <c r="HG26" s="198"/>
      <c r="HH26" s="198"/>
      <c r="HI26" s="198"/>
      <c r="HJ26" s="198"/>
      <c r="HK26" s="198"/>
      <c r="HL26" s="198"/>
      <c r="HM26" s="198"/>
      <c r="HN26" s="198"/>
      <c r="HO26" s="198"/>
      <c r="HP26" s="198"/>
      <c r="HQ26" s="198"/>
      <c r="HR26" s="198"/>
      <c r="HS26" s="198"/>
      <c r="HT26" s="198"/>
      <c r="HU26" s="198"/>
      <c r="HV26" s="198"/>
      <c r="HW26" s="198"/>
      <c r="HX26" s="198"/>
      <c r="HY26" s="198"/>
      <c r="HZ26" s="198"/>
      <c r="IA26" s="198"/>
      <c r="IB26" s="198"/>
      <c r="IC26" s="198"/>
      <c r="ID26" s="198"/>
      <c r="IE26" s="198"/>
      <c r="IF26" s="198"/>
      <c r="IG26" s="198"/>
      <c r="IH26" s="198"/>
      <c r="II26" s="198"/>
      <c r="IJ26" s="198"/>
      <c r="IK26" s="198"/>
      <c r="IL26" s="198"/>
      <c r="IM26" s="198"/>
      <c r="IN26" s="198"/>
      <c r="IO26" s="198"/>
      <c r="IP26" s="198"/>
      <c r="IQ26" s="198"/>
      <c r="IR26" s="198"/>
      <c r="IS26" s="198"/>
      <c r="IT26" s="198"/>
      <c r="IU26" s="198"/>
      <c r="IV26" s="198"/>
    </row>
    <row r="27" s="199" customFormat="true" ht="12.75" hidden="false" customHeight="true" outlineLevel="0" collapsed="false">
      <c r="A27" s="157" t="str">
        <f aca="false">IF(Eingabe!A121="","",Eingabe!A121)</f>
        <v/>
      </c>
      <c r="B27" s="157"/>
      <c r="C27" s="157"/>
      <c r="D27" s="158" t="str">
        <f aca="false">IF(Eingabe!B121="","",Eingabe!B121)</f>
        <v/>
      </c>
      <c r="E27" s="158"/>
      <c r="F27" s="158"/>
      <c r="G27" s="158"/>
      <c r="H27" s="159" t="str">
        <f aca="false">IF(Eingabe!C121="","",Eingabe!C121)</f>
        <v/>
      </c>
      <c r="I27" s="159"/>
      <c r="J27" s="159"/>
      <c r="K27" s="159"/>
      <c r="L27" s="160" t="str">
        <f aca="false">IF(Eingabe!D121="","",Eingabe!D121)</f>
        <v/>
      </c>
      <c r="M27" s="160"/>
      <c r="N27" s="160"/>
      <c r="O27" s="160"/>
      <c r="P27" s="160"/>
      <c r="Q27" s="160"/>
      <c r="R27" s="160"/>
      <c r="S27" s="160"/>
      <c r="T27" s="160"/>
      <c r="U27" s="160"/>
      <c r="V27" s="160"/>
      <c r="W27" s="160"/>
      <c r="X27" s="160"/>
      <c r="Y27" s="160"/>
      <c r="Z27" s="160"/>
      <c r="AA27" s="160"/>
      <c r="AB27" s="160"/>
      <c r="AC27" s="160"/>
      <c r="AD27" s="160"/>
      <c r="AE27" s="160"/>
      <c r="AF27" s="160"/>
      <c r="AG27" s="160"/>
      <c r="AH27" s="200" t="str">
        <f aca="false">IF(Eingabe!F121&amp;Eingabe!G121="","",Eingabe!F121&amp;"  /  "&amp;Eingabe!G121)</f>
        <v/>
      </c>
      <c r="AI27" s="200"/>
      <c r="AJ27" s="200"/>
      <c r="AK27" s="200"/>
      <c r="AL27" s="200"/>
      <c r="AM27" s="200"/>
      <c r="AN27" s="200"/>
      <c r="AO27" s="200"/>
      <c r="AP27" s="200"/>
      <c r="AQ27" s="200"/>
      <c r="AR27" s="200"/>
      <c r="AS27" s="200"/>
      <c r="AT27" s="200"/>
      <c r="AU27" s="200"/>
      <c r="AV27" s="200"/>
      <c r="AW27" s="200"/>
      <c r="AX27" s="200"/>
      <c r="AY27" s="200"/>
      <c r="AZ27" s="200"/>
      <c r="BA27" s="200"/>
      <c r="BB27" s="200"/>
      <c r="BC27" s="200"/>
      <c r="BD27" s="200"/>
      <c r="BE27" s="201" t="str">
        <f aca="false">IF(Eingabe!I121="","",Eingabe!I121)</f>
        <v/>
      </c>
      <c r="BF27" s="201"/>
      <c r="BG27" s="201"/>
      <c r="BH27" s="201"/>
      <c r="BI27" s="201"/>
      <c r="BJ27" s="202" t="str">
        <f aca="false">IF(Eingabe!I121="","",Eingabe!I121*Eingabe!B121)</f>
        <v/>
      </c>
      <c r="BK27" s="202"/>
      <c r="BL27" s="202"/>
      <c r="BM27" s="202"/>
      <c r="BN27" s="202"/>
      <c r="BO27" s="198"/>
      <c r="BP27" s="198"/>
      <c r="BQ27" s="198"/>
      <c r="BR27" s="198"/>
      <c r="BS27" s="198"/>
      <c r="BT27" s="198"/>
      <c r="BU27" s="198"/>
      <c r="BV27" s="198"/>
      <c r="BW27" s="198"/>
      <c r="BX27" s="198"/>
      <c r="BY27" s="198"/>
      <c r="BZ27" s="198"/>
      <c r="CA27" s="198"/>
      <c r="CB27" s="198"/>
      <c r="CC27" s="198"/>
      <c r="CD27" s="198"/>
      <c r="CE27" s="198"/>
      <c r="CF27" s="198"/>
      <c r="CG27" s="198"/>
      <c r="CH27" s="198"/>
      <c r="CI27" s="198"/>
      <c r="CJ27" s="198"/>
      <c r="CK27" s="198"/>
      <c r="CL27" s="198"/>
      <c r="CM27" s="198"/>
      <c r="CN27" s="198"/>
      <c r="CO27" s="198"/>
      <c r="CP27" s="198"/>
      <c r="CQ27" s="198"/>
      <c r="CR27" s="198"/>
      <c r="CS27" s="198"/>
      <c r="CT27" s="198"/>
      <c r="CU27" s="198"/>
      <c r="CV27" s="198"/>
      <c r="CW27" s="198"/>
      <c r="CX27" s="198"/>
      <c r="CY27" s="198"/>
      <c r="CZ27" s="198"/>
      <c r="DA27" s="198"/>
      <c r="DB27" s="198"/>
      <c r="DC27" s="198"/>
      <c r="DD27" s="198"/>
      <c r="DE27" s="198"/>
      <c r="DF27" s="198"/>
      <c r="DG27" s="198"/>
      <c r="DH27" s="198"/>
      <c r="DI27" s="198"/>
      <c r="DJ27" s="198"/>
      <c r="DK27" s="198"/>
      <c r="DL27" s="198"/>
      <c r="DM27" s="198"/>
      <c r="DN27" s="198"/>
      <c r="DO27" s="198"/>
      <c r="DP27" s="198"/>
      <c r="DQ27" s="198"/>
      <c r="DR27" s="198"/>
      <c r="DS27" s="198"/>
      <c r="DT27" s="198"/>
      <c r="DU27" s="198"/>
      <c r="DV27" s="198"/>
      <c r="DW27" s="198"/>
      <c r="DX27" s="198"/>
      <c r="DY27" s="198"/>
      <c r="DZ27" s="198"/>
      <c r="EA27" s="198"/>
      <c r="EB27" s="198"/>
      <c r="EC27" s="198"/>
      <c r="ED27" s="198"/>
      <c r="EE27" s="198"/>
      <c r="EF27" s="198"/>
      <c r="EG27" s="198"/>
      <c r="EH27" s="198"/>
      <c r="EI27" s="198"/>
      <c r="EJ27" s="198"/>
      <c r="EK27" s="198"/>
      <c r="EL27" s="198"/>
      <c r="EM27" s="198"/>
      <c r="EN27" s="198"/>
      <c r="EO27" s="198"/>
      <c r="EP27" s="198"/>
      <c r="EQ27" s="198"/>
      <c r="ER27" s="198"/>
      <c r="ES27" s="198"/>
      <c r="ET27" s="198"/>
      <c r="EU27" s="198"/>
      <c r="EV27" s="198"/>
      <c r="EW27" s="198"/>
      <c r="EX27" s="198"/>
      <c r="EY27" s="198"/>
      <c r="EZ27" s="198"/>
      <c r="FA27" s="198"/>
      <c r="FB27" s="198"/>
      <c r="FC27" s="198"/>
      <c r="FD27" s="198"/>
      <c r="FE27" s="198"/>
      <c r="FF27" s="198"/>
      <c r="FG27" s="198"/>
      <c r="FH27" s="198"/>
      <c r="FI27" s="198"/>
      <c r="FJ27" s="198"/>
      <c r="FK27" s="198"/>
      <c r="FL27" s="198"/>
      <c r="FM27" s="198"/>
      <c r="FN27" s="198"/>
      <c r="FO27" s="198"/>
      <c r="FP27" s="198"/>
      <c r="FQ27" s="198"/>
      <c r="FR27" s="198"/>
      <c r="FS27" s="198"/>
      <c r="FT27" s="198"/>
      <c r="FU27" s="198"/>
      <c r="FV27" s="198"/>
      <c r="FW27" s="198"/>
      <c r="FX27" s="198"/>
      <c r="FY27" s="198"/>
      <c r="FZ27" s="198"/>
      <c r="GA27" s="198"/>
      <c r="GB27" s="198"/>
      <c r="GC27" s="198"/>
      <c r="GD27" s="198"/>
      <c r="GE27" s="198"/>
      <c r="GF27" s="198"/>
      <c r="GG27" s="198"/>
      <c r="GH27" s="198"/>
      <c r="GI27" s="198"/>
      <c r="GJ27" s="198"/>
      <c r="GK27" s="198"/>
      <c r="GL27" s="198"/>
      <c r="GM27" s="198"/>
      <c r="GN27" s="198"/>
      <c r="GO27" s="198"/>
      <c r="GP27" s="198"/>
      <c r="GQ27" s="198"/>
      <c r="GR27" s="198"/>
      <c r="GS27" s="198"/>
      <c r="GT27" s="198"/>
      <c r="GU27" s="198"/>
      <c r="GV27" s="198"/>
      <c r="GW27" s="198"/>
      <c r="GX27" s="198"/>
      <c r="GY27" s="198"/>
      <c r="GZ27" s="198"/>
      <c r="HA27" s="198"/>
      <c r="HB27" s="198"/>
      <c r="HC27" s="198"/>
      <c r="HD27" s="198"/>
      <c r="HE27" s="198"/>
      <c r="HF27" s="198"/>
      <c r="HG27" s="198"/>
      <c r="HH27" s="198"/>
      <c r="HI27" s="198"/>
      <c r="HJ27" s="198"/>
      <c r="HK27" s="198"/>
      <c r="HL27" s="198"/>
      <c r="HM27" s="198"/>
      <c r="HN27" s="198"/>
      <c r="HO27" s="198"/>
      <c r="HP27" s="198"/>
      <c r="HQ27" s="198"/>
      <c r="HR27" s="198"/>
      <c r="HS27" s="198"/>
      <c r="HT27" s="198"/>
      <c r="HU27" s="198"/>
      <c r="HV27" s="198"/>
      <c r="HW27" s="198"/>
      <c r="HX27" s="198"/>
      <c r="HY27" s="198"/>
      <c r="HZ27" s="198"/>
      <c r="IA27" s="198"/>
      <c r="IB27" s="198"/>
      <c r="IC27" s="198"/>
      <c r="ID27" s="198"/>
      <c r="IE27" s="198"/>
      <c r="IF27" s="198"/>
      <c r="IG27" s="198"/>
      <c r="IH27" s="198"/>
      <c r="II27" s="198"/>
      <c r="IJ27" s="198"/>
      <c r="IK27" s="198"/>
      <c r="IL27" s="198"/>
      <c r="IM27" s="198"/>
      <c r="IN27" s="198"/>
      <c r="IO27" s="198"/>
      <c r="IP27" s="198"/>
      <c r="IQ27" s="198"/>
      <c r="IR27" s="198"/>
      <c r="IS27" s="198"/>
      <c r="IT27" s="198"/>
      <c r="IU27" s="198"/>
      <c r="IV27" s="198"/>
    </row>
    <row r="28" s="199" customFormat="true" ht="12.75" hidden="false" customHeight="true" outlineLevel="0" collapsed="false">
      <c r="A28" s="157" t="str">
        <f aca="false">IF(Eingabe!A122="","",Eingabe!A122)</f>
        <v/>
      </c>
      <c r="B28" s="157"/>
      <c r="C28" s="157"/>
      <c r="D28" s="158" t="str">
        <f aca="false">IF(Eingabe!B122="","",Eingabe!B122)</f>
        <v/>
      </c>
      <c r="E28" s="158"/>
      <c r="F28" s="158"/>
      <c r="G28" s="158"/>
      <c r="H28" s="159" t="str">
        <f aca="false">IF(Eingabe!C122="","",Eingabe!C122)</f>
        <v/>
      </c>
      <c r="I28" s="159"/>
      <c r="J28" s="159"/>
      <c r="K28" s="159"/>
      <c r="L28" s="160" t="str">
        <f aca="false">IF(Eingabe!D122="","",Eingabe!D122)</f>
        <v/>
      </c>
      <c r="M28" s="160"/>
      <c r="N28" s="160"/>
      <c r="O28" s="160"/>
      <c r="P28" s="160"/>
      <c r="Q28" s="160"/>
      <c r="R28" s="160"/>
      <c r="S28" s="160"/>
      <c r="T28" s="160"/>
      <c r="U28" s="160"/>
      <c r="V28" s="160"/>
      <c r="W28" s="160"/>
      <c r="X28" s="160"/>
      <c r="Y28" s="160"/>
      <c r="Z28" s="160"/>
      <c r="AA28" s="160"/>
      <c r="AB28" s="160"/>
      <c r="AC28" s="160"/>
      <c r="AD28" s="160"/>
      <c r="AE28" s="160"/>
      <c r="AF28" s="160"/>
      <c r="AG28" s="160"/>
      <c r="AH28" s="200" t="str">
        <f aca="false">IF(Eingabe!F122&amp;Eingabe!G122="","",Eingabe!F122&amp;"  /  "&amp;Eingabe!G122)</f>
        <v/>
      </c>
      <c r="AI28" s="200"/>
      <c r="AJ28" s="200"/>
      <c r="AK28" s="200"/>
      <c r="AL28" s="200"/>
      <c r="AM28" s="200"/>
      <c r="AN28" s="200"/>
      <c r="AO28" s="200"/>
      <c r="AP28" s="200"/>
      <c r="AQ28" s="200"/>
      <c r="AR28" s="200"/>
      <c r="AS28" s="200"/>
      <c r="AT28" s="200"/>
      <c r="AU28" s="200"/>
      <c r="AV28" s="200"/>
      <c r="AW28" s="200"/>
      <c r="AX28" s="200"/>
      <c r="AY28" s="200"/>
      <c r="AZ28" s="200"/>
      <c r="BA28" s="200"/>
      <c r="BB28" s="200"/>
      <c r="BC28" s="200"/>
      <c r="BD28" s="200"/>
      <c r="BE28" s="201" t="str">
        <f aca="false">IF(Eingabe!I122="","",Eingabe!I122)</f>
        <v/>
      </c>
      <c r="BF28" s="201"/>
      <c r="BG28" s="201"/>
      <c r="BH28" s="201"/>
      <c r="BI28" s="201"/>
      <c r="BJ28" s="202" t="str">
        <f aca="false">IF(Eingabe!I122="","",Eingabe!I122*Eingabe!B122)</f>
        <v/>
      </c>
      <c r="BK28" s="202"/>
      <c r="BL28" s="202"/>
      <c r="BM28" s="202"/>
      <c r="BN28" s="202"/>
      <c r="BO28" s="198"/>
      <c r="BP28" s="198"/>
      <c r="BQ28" s="198"/>
      <c r="BR28" s="198"/>
      <c r="BS28" s="198"/>
      <c r="BT28" s="198"/>
      <c r="BU28" s="198"/>
      <c r="BV28" s="198"/>
      <c r="BW28" s="198"/>
      <c r="BX28" s="198"/>
      <c r="BY28" s="198"/>
      <c r="BZ28" s="198"/>
      <c r="CA28" s="198"/>
      <c r="CB28" s="198"/>
      <c r="CC28" s="198"/>
      <c r="CD28" s="198"/>
      <c r="CE28" s="198"/>
      <c r="CF28" s="198"/>
      <c r="CG28" s="198"/>
      <c r="CH28" s="198"/>
      <c r="CI28" s="198"/>
      <c r="CJ28" s="198"/>
      <c r="CK28" s="198"/>
      <c r="CL28" s="198"/>
      <c r="CM28" s="198"/>
      <c r="CN28" s="198"/>
      <c r="CO28" s="198"/>
      <c r="CP28" s="198"/>
      <c r="CQ28" s="198"/>
      <c r="CR28" s="198"/>
      <c r="CS28" s="198"/>
      <c r="CT28" s="198"/>
      <c r="CU28" s="198"/>
      <c r="CV28" s="198"/>
      <c r="CW28" s="198"/>
      <c r="CX28" s="198"/>
      <c r="CY28" s="198"/>
      <c r="CZ28" s="198"/>
      <c r="DA28" s="198"/>
      <c r="DB28" s="198"/>
      <c r="DC28" s="198"/>
      <c r="DD28" s="198"/>
      <c r="DE28" s="198"/>
      <c r="DF28" s="198"/>
      <c r="DG28" s="198"/>
      <c r="DH28" s="198"/>
      <c r="DI28" s="198"/>
      <c r="DJ28" s="198"/>
      <c r="DK28" s="198"/>
      <c r="DL28" s="198"/>
      <c r="DM28" s="198"/>
      <c r="DN28" s="198"/>
      <c r="DO28" s="198"/>
      <c r="DP28" s="198"/>
      <c r="DQ28" s="198"/>
      <c r="DR28" s="198"/>
      <c r="DS28" s="198"/>
      <c r="DT28" s="198"/>
      <c r="DU28" s="198"/>
      <c r="DV28" s="198"/>
      <c r="DW28" s="198"/>
      <c r="DX28" s="198"/>
      <c r="DY28" s="198"/>
      <c r="DZ28" s="198"/>
      <c r="EA28" s="198"/>
      <c r="EB28" s="198"/>
      <c r="EC28" s="198"/>
      <c r="ED28" s="198"/>
      <c r="EE28" s="198"/>
      <c r="EF28" s="198"/>
      <c r="EG28" s="198"/>
      <c r="EH28" s="198"/>
      <c r="EI28" s="198"/>
      <c r="EJ28" s="198"/>
      <c r="EK28" s="198"/>
      <c r="EL28" s="198"/>
      <c r="EM28" s="198"/>
      <c r="EN28" s="198"/>
      <c r="EO28" s="198"/>
      <c r="EP28" s="198"/>
      <c r="EQ28" s="198"/>
      <c r="ER28" s="198"/>
      <c r="ES28" s="198"/>
      <c r="ET28" s="198"/>
      <c r="EU28" s="198"/>
      <c r="EV28" s="198"/>
      <c r="EW28" s="198"/>
      <c r="EX28" s="198"/>
      <c r="EY28" s="198"/>
      <c r="EZ28" s="198"/>
      <c r="FA28" s="198"/>
      <c r="FB28" s="198"/>
      <c r="FC28" s="198"/>
      <c r="FD28" s="198"/>
      <c r="FE28" s="198"/>
      <c r="FF28" s="198"/>
      <c r="FG28" s="198"/>
      <c r="FH28" s="198"/>
      <c r="FI28" s="198"/>
      <c r="FJ28" s="198"/>
      <c r="FK28" s="198"/>
      <c r="FL28" s="198"/>
      <c r="FM28" s="198"/>
      <c r="FN28" s="198"/>
      <c r="FO28" s="198"/>
      <c r="FP28" s="198"/>
      <c r="FQ28" s="198"/>
      <c r="FR28" s="198"/>
      <c r="FS28" s="198"/>
      <c r="FT28" s="198"/>
      <c r="FU28" s="198"/>
      <c r="FV28" s="198"/>
      <c r="FW28" s="198"/>
      <c r="FX28" s="198"/>
      <c r="FY28" s="198"/>
      <c r="FZ28" s="198"/>
      <c r="GA28" s="198"/>
      <c r="GB28" s="198"/>
      <c r="GC28" s="198"/>
      <c r="GD28" s="198"/>
      <c r="GE28" s="198"/>
      <c r="GF28" s="198"/>
      <c r="GG28" s="198"/>
      <c r="GH28" s="198"/>
      <c r="GI28" s="198"/>
      <c r="GJ28" s="198"/>
      <c r="GK28" s="198"/>
      <c r="GL28" s="198"/>
      <c r="GM28" s="198"/>
      <c r="GN28" s="198"/>
      <c r="GO28" s="198"/>
      <c r="GP28" s="198"/>
      <c r="GQ28" s="198"/>
      <c r="GR28" s="198"/>
      <c r="GS28" s="198"/>
      <c r="GT28" s="198"/>
      <c r="GU28" s="198"/>
      <c r="GV28" s="198"/>
      <c r="GW28" s="198"/>
      <c r="GX28" s="198"/>
      <c r="GY28" s="198"/>
      <c r="GZ28" s="198"/>
      <c r="HA28" s="198"/>
      <c r="HB28" s="198"/>
      <c r="HC28" s="198"/>
      <c r="HD28" s="198"/>
      <c r="HE28" s="198"/>
      <c r="HF28" s="198"/>
      <c r="HG28" s="198"/>
      <c r="HH28" s="198"/>
      <c r="HI28" s="198"/>
      <c r="HJ28" s="198"/>
      <c r="HK28" s="198"/>
      <c r="HL28" s="198"/>
      <c r="HM28" s="198"/>
      <c r="HN28" s="198"/>
      <c r="HO28" s="198"/>
      <c r="HP28" s="198"/>
      <c r="HQ28" s="198"/>
      <c r="HR28" s="198"/>
      <c r="HS28" s="198"/>
      <c r="HT28" s="198"/>
      <c r="HU28" s="198"/>
      <c r="HV28" s="198"/>
      <c r="HW28" s="198"/>
      <c r="HX28" s="198"/>
      <c r="HY28" s="198"/>
      <c r="HZ28" s="198"/>
      <c r="IA28" s="198"/>
      <c r="IB28" s="198"/>
      <c r="IC28" s="198"/>
      <c r="ID28" s="198"/>
      <c r="IE28" s="198"/>
      <c r="IF28" s="198"/>
      <c r="IG28" s="198"/>
      <c r="IH28" s="198"/>
      <c r="II28" s="198"/>
      <c r="IJ28" s="198"/>
      <c r="IK28" s="198"/>
      <c r="IL28" s="198"/>
      <c r="IM28" s="198"/>
      <c r="IN28" s="198"/>
      <c r="IO28" s="198"/>
      <c r="IP28" s="198"/>
      <c r="IQ28" s="198"/>
      <c r="IR28" s="198"/>
      <c r="IS28" s="198"/>
      <c r="IT28" s="198"/>
      <c r="IU28" s="198"/>
      <c r="IV28" s="198"/>
    </row>
    <row r="29" s="199" customFormat="true" ht="12.75" hidden="false" customHeight="true" outlineLevel="0" collapsed="false">
      <c r="A29" s="157" t="str">
        <f aca="false">IF(Eingabe!A123="","",Eingabe!A123)</f>
        <v/>
      </c>
      <c r="B29" s="157"/>
      <c r="C29" s="157"/>
      <c r="D29" s="158" t="str">
        <f aca="false">IF(Eingabe!B123="","",Eingabe!B123)</f>
        <v/>
      </c>
      <c r="E29" s="158"/>
      <c r="F29" s="158"/>
      <c r="G29" s="158"/>
      <c r="H29" s="159" t="str">
        <f aca="false">IF(Eingabe!C123="","",Eingabe!C123)</f>
        <v/>
      </c>
      <c r="I29" s="159"/>
      <c r="J29" s="159"/>
      <c r="K29" s="159"/>
      <c r="L29" s="160" t="str">
        <f aca="false">IF(Eingabe!D123="","",Eingabe!D123)</f>
        <v/>
      </c>
      <c r="M29" s="160"/>
      <c r="N29" s="160"/>
      <c r="O29" s="160"/>
      <c r="P29" s="160"/>
      <c r="Q29" s="160"/>
      <c r="R29" s="160"/>
      <c r="S29" s="160"/>
      <c r="T29" s="160"/>
      <c r="U29" s="160"/>
      <c r="V29" s="160"/>
      <c r="W29" s="160"/>
      <c r="X29" s="160"/>
      <c r="Y29" s="160"/>
      <c r="Z29" s="160"/>
      <c r="AA29" s="160"/>
      <c r="AB29" s="160"/>
      <c r="AC29" s="160"/>
      <c r="AD29" s="160"/>
      <c r="AE29" s="160"/>
      <c r="AF29" s="160"/>
      <c r="AG29" s="160"/>
      <c r="AH29" s="200" t="str">
        <f aca="false">IF(Eingabe!F123&amp;Eingabe!G123="","",Eingabe!F123&amp;"  /  "&amp;Eingabe!G123)</f>
        <v/>
      </c>
      <c r="AI29" s="200"/>
      <c r="AJ29" s="200"/>
      <c r="AK29" s="200"/>
      <c r="AL29" s="200"/>
      <c r="AM29" s="200"/>
      <c r="AN29" s="200"/>
      <c r="AO29" s="200"/>
      <c r="AP29" s="200"/>
      <c r="AQ29" s="200"/>
      <c r="AR29" s="200"/>
      <c r="AS29" s="200"/>
      <c r="AT29" s="200"/>
      <c r="AU29" s="200"/>
      <c r="AV29" s="200"/>
      <c r="AW29" s="200"/>
      <c r="AX29" s="200"/>
      <c r="AY29" s="200"/>
      <c r="AZ29" s="200"/>
      <c r="BA29" s="200"/>
      <c r="BB29" s="200"/>
      <c r="BC29" s="200"/>
      <c r="BD29" s="200"/>
      <c r="BE29" s="201" t="str">
        <f aca="false">IF(Eingabe!I123="","",Eingabe!I123)</f>
        <v/>
      </c>
      <c r="BF29" s="201"/>
      <c r="BG29" s="201"/>
      <c r="BH29" s="201"/>
      <c r="BI29" s="201"/>
      <c r="BJ29" s="202" t="str">
        <f aca="false">IF(Eingabe!I123="","",Eingabe!I123*Eingabe!B123)</f>
        <v/>
      </c>
      <c r="BK29" s="202"/>
      <c r="BL29" s="202"/>
      <c r="BM29" s="202"/>
      <c r="BN29" s="202"/>
      <c r="BO29" s="198"/>
      <c r="BP29" s="198"/>
      <c r="BQ29" s="198"/>
      <c r="BR29" s="198"/>
      <c r="BS29" s="198"/>
      <c r="BT29" s="198"/>
      <c r="BU29" s="198"/>
      <c r="BV29" s="198"/>
      <c r="BW29" s="198"/>
      <c r="BX29" s="198"/>
      <c r="BY29" s="198"/>
      <c r="BZ29" s="198"/>
      <c r="CA29" s="198"/>
      <c r="CB29" s="198"/>
      <c r="CC29" s="198"/>
      <c r="CD29" s="198"/>
      <c r="CE29" s="198"/>
      <c r="CF29" s="198"/>
      <c r="CG29" s="198"/>
      <c r="CH29" s="198"/>
      <c r="CI29" s="198"/>
      <c r="CJ29" s="198"/>
      <c r="CK29" s="198"/>
      <c r="CL29" s="198"/>
      <c r="CM29" s="198"/>
      <c r="CN29" s="198"/>
      <c r="CO29" s="198"/>
      <c r="CP29" s="198"/>
      <c r="CQ29" s="198"/>
      <c r="CR29" s="198"/>
      <c r="CS29" s="198"/>
      <c r="CT29" s="198"/>
      <c r="CU29" s="198"/>
      <c r="CV29" s="198"/>
      <c r="CW29" s="198"/>
      <c r="CX29" s="198"/>
      <c r="CY29" s="198"/>
      <c r="CZ29" s="198"/>
      <c r="DA29" s="198"/>
      <c r="DB29" s="198"/>
      <c r="DC29" s="198"/>
      <c r="DD29" s="198"/>
      <c r="DE29" s="198"/>
      <c r="DF29" s="198"/>
      <c r="DG29" s="198"/>
      <c r="DH29" s="198"/>
      <c r="DI29" s="198"/>
      <c r="DJ29" s="198"/>
      <c r="DK29" s="198"/>
      <c r="DL29" s="198"/>
      <c r="DM29" s="198"/>
      <c r="DN29" s="198"/>
      <c r="DO29" s="198"/>
      <c r="DP29" s="198"/>
      <c r="DQ29" s="198"/>
      <c r="DR29" s="198"/>
      <c r="DS29" s="198"/>
      <c r="DT29" s="198"/>
      <c r="DU29" s="198"/>
      <c r="DV29" s="198"/>
      <c r="DW29" s="198"/>
      <c r="DX29" s="198"/>
      <c r="DY29" s="198"/>
      <c r="DZ29" s="198"/>
      <c r="EA29" s="198"/>
      <c r="EB29" s="198"/>
      <c r="EC29" s="198"/>
      <c r="ED29" s="198"/>
      <c r="EE29" s="198"/>
      <c r="EF29" s="198"/>
      <c r="EG29" s="198"/>
      <c r="EH29" s="198"/>
      <c r="EI29" s="198"/>
      <c r="EJ29" s="198"/>
      <c r="EK29" s="198"/>
      <c r="EL29" s="198"/>
      <c r="EM29" s="198"/>
      <c r="EN29" s="198"/>
      <c r="EO29" s="198"/>
      <c r="EP29" s="198"/>
      <c r="EQ29" s="198"/>
      <c r="ER29" s="198"/>
      <c r="ES29" s="198"/>
      <c r="ET29" s="198"/>
      <c r="EU29" s="198"/>
      <c r="EV29" s="198"/>
      <c r="EW29" s="198"/>
      <c r="EX29" s="198"/>
      <c r="EY29" s="198"/>
      <c r="EZ29" s="198"/>
      <c r="FA29" s="198"/>
      <c r="FB29" s="198"/>
      <c r="FC29" s="198"/>
      <c r="FD29" s="198"/>
      <c r="FE29" s="198"/>
      <c r="FF29" s="198"/>
      <c r="FG29" s="198"/>
      <c r="FH29" s="198"/>
      <c r="FI29" s="198"/>
      <c r="FJ29" s="198"/>
      <c r="FK29" s="198"/>
      <c r="FL29" s="198"/>
      <c r="FM29" s="198"/>
      <c r="FN29" s="198"/>
      <c r="FO29" s="198"/>
      <c r="FP29" s="198"/>
      <c r="FQ29" s="198"/>
      <c r="FR29" s="198"/>
      <c r="FS29" s="198"/>
      <c r="FT29" s="198"/>
      <c r="FU29" s="198"/>
      <c r="FV29" s="198"/>
      <c r="FW29" s="198"/>
      <c r="FX29" s="198"/>
      <c r="FY29" s="198"/>
      <c r="FZ29" s="198"/>
      <c r="GA29" s="198"/>
      <c r="GB29" s="198"/>
      <c r="GC29" s="198"/>
      <c r="GD29" s="198"/>
      <c r="GE29" s="198"/>
      <c r="GF29" s="198"/>
      <c r="GG29" s="198"/>
      <c r="GH29" s="198"/>
      <c r="GI29" s="198"/>
      <c r="GJ29" s="198"/>
      <c r="GK29" s="198"/>
      <c r="GL29" s="198"/>
      <c r="GM29" s="198"/>
      <c r="GN29" s="198"/>
      <c r="GO29" s="198"/>
      <c r="GP29" s="198"/>
      <c r="GQ29" s="198"/>
      <c r="GR29" s="198"/>
      <c r="GS29" s="198"/>
      <c r="GT29" s="198"/>
      <c r="GU29" s="198"/>
      <c r="GV29" s="198"/>
      <c r="GW29" s="198"/>
      <c r="GX29" s="198"/>
      <c r="GY29" s="198"/>
      <c r="GZ29" s="198"/>
      <c r="HA29" s="198"/>
      <c r="HB29" s="198"/>
      <c r="HC29" s="198"/>
      <c r="HD29" s="198"/>
      <c r="HE29" s="198"/>
      <c r="HF29" s="198"/>
      <c r="HG29" s="198"/>
      <c r="HH29" s="198"/>
      <c r="HI29" s="198"/>
      <c r="HJ29" s="198"/>
      <c r="HK29" s="198"/>
      <c r="HL29" s="198"/>
      <c r="HM29" s="198"/>
      <c r="HN29" s="198"/>
      <c r="HO29" s="198"/>
      <c r="HP29" s="198"/>
      <c r="HQ29" s="198"/>
      <c r="HR29" s="198"/>
      <c r="HS29" s="198"/>
      <c r="HT29" s="198"/>
      <c r="HU29" s="198"/>
      <c r="HV29" s="198"/>
      <c r="HW29" s="198"/>
      <c r="HX29" s="198"/>
      <c r="HY29" s="198"/>
      <c r="HZ29" s="198"/>
      <c r="IA29" s="198"/>
      <c r="IB29" s="198"/>
      <c r="IC29" s="198"/>
      <c r="ID29" s="198"/>
      <c r="IE29" s="198"/>
      <c r="IF29" s="198"/>
      <c r="IG29" s="198"/>
      <c r="IH29" s="198"/>
      <c r="II29" s="198"/>
      <c r="IJ29" s="198"/>
      <c r="IK29" s="198"/>
      <c r="IL29" s="198"/>
      <c r="IM29" s="198"/>
      <c r="IN29" s="198"/>
      <c r="IO29" s="198"/>
      <c r="IP29" s="198"/>
      <c r="IQ29" s="198"/>
      <c r="IR29" s="198"/>
      <c r="IS29" s="198"/>
      <c r="IT29" s="198"/>
      <c r="IU29" s="198"/>
      <c r="IV29" s="198"/>
    </row>
    <row r="30" s="199" customFormat="true" ht="12.75" hidden="false" customHeight="true" outlineLevel="0" collapsed="false">
      <c r="A30" s="157" t="str">
        <f aca="false">IF(Eingabe!A124="","",Eingabe!A124)</f>
        <v/>
      </c>
      <c r="B30" s="157"/>
      <c r="C30" s="157"/>
      <c r="D30" s="158" t="str">
        <f aca="false">IF(Eingabe!B124="","",Eingabe!B124)</f>
        <v/>
      </c>
      <c r="E30" s="158"/>
      <c r="F30" s="158"/>
      <c r="G30" s="158"/>
      <c r="H30" s="159" t="str">
        <f aca="false">IF(Eingabe!C124="","",Eingabe!C124)</f>
        <v/>
      </c>
      <c r="I30" s="159"/>
      <c r="J30" s="159"/>
      <c r="K30" s="159"/>
      <c r="L30" s="160" t="str">
        <f aca="false">IF(Eingabe!D124="","",Eingabe!D124)</f>
        <v/>
      </c>
      <c r="M30" s="160"/>
      <c r="N30" s="160"/>
      <c r="O30" s="160"/>
      <c r="P30" s="160"/>
      <c r="Q30" s="160"/>
      <c r="R30" s="160"/>
      <c r="S30" s="160"/>
      <c r="T30" s="160"/>
      <c r="U30" s="160"/>
      <c r="V30" s="160"/>
      <c r="W30" s="160"/>
      <c r="X30" s="160"/>
      <c r="Y30" s="160"/>
      <c r="Z30" s="160"/>
      <c r="AA30" s="160"/>
      <c r="AB30" s="160"/>
      <c r="AC30" s="160"/>
      <c r="AD30" s="160"/>
      <c r="AE30" s="160"/>
      <c r="AF30" s="160"/>
      <c r="AG30" s="160"/>
      <c r="AH30" s="200" t="str">
        <f aca="false">IF(Eingabe!F124&amp;Eingabe!G124="","",Eingabe!F124&amp;"  /  "&amp;Eingabe!G124)</f>
        <v/>
      </c>
      <c r="AI30" s="200"/>
      <c r="AJ30" s="200"/>
      <c r="AK30" s="200"/>
      <c r="AL30" s="200"/>
      <c r="AM30" s="200"/>
      <c r="AN30" s="200"/>
      <c r="AO30" s="200"/>
      <c r="AP30" s="200"/>
      <c r="AQ30" s="200"/>
      <c r="AR30" s="200"/>
      <c r="AS30" s="200"/>
      <c r="AT30" s="200"/>
      <c r="AU30" s="200"/>
      <c r="AV30" s="200"/>
      <c r="AW30" s="200"/>
      <c r="AX30" s="200"/>
      <c r="AY30" s="200"/>
      <c r="AZ30" s="200"/>
      <c r="BA30" s="200"/>
      <c r="BB30" s="200"/>
      <c r="BC30" s="200"/>
      <c r="BD30" s="200"/>
      <c r="BE30" s="201" t="str">
        <f aca="false">IF(Eingabe!I124="","",Eingabe!I124)</f>
        <v/>
      </c>
      <c r="BF30" s="201"/>
      <c r="BG30" s="201"/>
      <c r="BH30" s="201"/>
      <c r="BI30" s="201"/>
      <c r="BJ30" s="202" t="str">
        <f aca="false">IF(Eingabe!I124="","",Eingabe!I124*Eingabe!B124)</f>
        <v/>
      </c>
      <c r="BK30" s="202"/>
      <c r="BL30" s="202"/>
      <c r="BM30" s="202"/>
      <c r="BN30" s="202"/>
      <c r="BO30" s="198"/>
      <c r="BP30" s="198"/>
      <c r="BQ30" s="198"/>
      <c r="BR30" s="198"/>
      <c r="BS30" s="198"/>
      <c r="BT30" s="198"/>
      <c r="BU30" s="198"/>
      <c r="BV30" s="198"/>
      <c r="BW30" s="198"/>
      <c r="BX30" s="198"/>
      <c r="BY30" s="198"/>
      <c r="BZ30" s="198"/>
      <c r="CA30" s="198"/>
      <c r="CB30" s="198"/>
      <c r="CC30" s="198"/>
      <c r="CD30" s="198"/>
      <c r="CE30" s="198"/>
      <c r="CF30" s="198"/>
      <c r="CG30" s="198"/>
      <c r="CH30" s="198"/>
      <c r="CI30" s="198"/>
      <c r="CJ30" s="198"/>
      <c r="CK30" s="198"/>
      <c r="CL30" s="198"/>
      <c r="CM30" s="198"/>
      <c r="CN30" s="198"/>
      <c r="CO30" s="198"/>
      <c r="CP30" s="198"/>
      <c r="CQ30" s="198"/>
      <c r="CR30" s="198"/>
      <c r="CS30" s="198"/>
      <c r="CT30" s="198"/>
      <c r="CU30" s="198"/>
      <c r="CV30" s="198"/>
      <c r="CW30" s="198"/>
      <c r="CX30" s="198"/>
      <c r="CY30" s="198"/>
      <c r="CZ30" s="198"/>
      <c r="DA30" s="198"/>
      <c r="DB30" s="198"/>
      <c r="DC30" s="198"/>
      <c r="DD30" s="198"/>
      <c r="DE30" s="198"/>
      <c r="DF30" s="198"/>
      <c r="DG30" s="198"/>
      <c r="DH30" s="198"/>
      <c r="DI30" s="198"/>
      <c r="DJ30" s="198"/>
      <c r="DK30" s="198"/>
      <c r="DL30" s="198"/>
      <c r="DM30" s="198"/>
      <c r="DN30" s="198"/>
      <c r="DO30" s="198"/>
      <c r="DP30" s="198"/>
      <c r="DQ30" s="198"/>
      <c r="DR30" s="198"/>
      <c r="DS30" s="198"/>
      <c r="DT30" s="198"/>
      <c r="DU30" s="198"/>
      <c r="DV30" s="198"/>
      <c r="DW30" s="198"/>
      <c r="DX30" s="198"/>
      <c r="DY30" s="198"/>
      <c r="DZ30" s="198"/>
      <c r="EA30" s="198"/>
      <c r="EB30" s="198"/>
      <c r="EC30" s="198"/>
      <c r="ED30" s="198"/>
      <c r="EE30" s="198"/>
      <c r="EF30" s="198"/>
      <c r="EG30" s="198"/>
      <c r="EH30" s="198"/>
      <c r="EI30" s="198"/>
      <c r="EJ30" s="198"/>
      <c r="EK30" s="198"/>
      <c r="EL30" s="198"/>
      <c r="EM30" s="198"/>
      <c r="EN30" s="198"/>
      <c r="EO30" s="198"/>
      <c r="EP30" s="198"/>
      <c r="EQ30" s="198"/>
      <c r="ER30" s="198"/>
      <c r="ES30" s="198"/>
      <c r="ET30" s="198"/>
      <c r="EU30" s="198"/>
      <c r="EV30" s="198"/>
      <c r="EW30" s="198"/>
      <c r="EX30" s="198"/>
      <c r="EY30" s="198"/>
      <c r="EZ30" s="198"/>
      <c r="FA30" s="198"/>
      <c r="FB30" s="198"/>
      <c r="FC30" s="198"/>
      <c r="FD30" s="198"/>
      <c r="FE30" s="198"/>
      <c r="FF30" s="198"/>
      <c r="FG30" s="198"/>
      <c r="FH30" s="198"/>
      <c r="FI30" s="198"/>
      <c r="FJ30" s="198"/>
      <c r="FK30" s="198"/>
      <c r="FL30" s="198"/>
      <c r="FM30" s="198"/>
      <c r="FN30" s="198"/>
      <c r="FO30" s="198"/>
      <c r="FP30" s="198"/>
      <c r="FQ30" s="198"/>
      <c r="FR30" s="198"/>
      <c r="FS30" s="198"/>
      <c r="FT30" s="198"/>
      <c r="FU30" s="198"/>
      <c r="FV30" s="198"/>
      <c r="FW30" s="198"/>
      <c r="FX30" s="198"/>
      <c r="FY30" s="198"/>
      <c r="FZ30" s="198"/>
      <c r="GA30" s="198"/>
      <c r="GB30" s="198"/>
      <c r="GC30" s="198"/>
      <c r="GD30" s="198"/>
      <c r="GE30" s="198"/>
      <c r="GF30" s="198"/>
      <c r="GG30" s="198"/>
      <c r="GH30" s="198"/>
      <c r="GI30" s="198"/>
      <c r="GJ30" s="198"/>
      <c r="GK30" s="198"/>
      <c r="GL30" s="198"/>
      <c r="GM30" s="198"/>
      <c r="GN30" s="198"/>
      <c r="GO30" s="198"/>
      <c r="GP30" s="198"/>
      <c r="GQ30" s="198"/>
      <c r="GR30" s="198"/>
      <c r="GS30" s="198"/>
      <c r="GT30" s="198"/>
      <c r="GU30" s="198"/>
      <c r="GV30" s="198"/>
      <c r="GW30" s="198"/>
      <c r="GX30" s="198"/>
      <c r="GY30" s="198"/>
      <c r="GZ30" s="198"/>
      <c r="HA30" s="198"/>
      <c r="HB30" s="198"/>
      <c r="HC30" s="198"/>
      <c r="HD30" s="198"/>
      <c r="HE30" s="198"/>
      <c r="HF30" s="198"/>
      <c r="HG30" s="198"/>
      <c r="HH30" s="198"/>
      <c r="HI30" s="198"/>
      <c r="HJ30" s="198"/>
      <c r="HK30" s="198"/>
      <c r="HL30" s="198"/>
      <c r="HM30" s="198"/>
      <c r="HN30" s="198"/>
      <c r="HO30" s="198"/>
      <c r="HP30" s="198"/>
      <c r="HQ30" s="198"/>
      <c r="HR30" s="198"/>
      <c r="HS30" s="198"/>
      <c r="HT30" s="198"/>
      <c r="HU30" s="198"/>
      <c r="HV30" s="198"/>
      <c r="HW30" s="198"/>
      <c r="HX30" s="198"/>
      <c r="HY30" s="198"/>
      <c r="HZ30" s="198"/>
      <c r="IA30" s="198"/>
      <c r="IB30" s="198"/>
      <c r="IC30" s="198"/>
      <c r="ID30" s="198"/>
      <c r="IE30" s="198"/>
      <c r="IF30" s="198"/>
      <c r="IG30" s="198"/>
      <c r="IH30" s="198"/>
      <c r="II30" s="198"/>
      <c r="IJ30" s="198"/>
      <c r="IK30" s="198"/>
      <c r="IL30" s="198"/>
      <c r="IM30" s="198"/>
      <c r="IN30" s="198"/>
      <c r="IO30" s="198"/>
      <c r="IP30" s="198"/>
      <c r="IQ30" s="198"/>
      <c r="IR30" s="198"/>
      <c r="IS30" s="198"/>
      <c r="IT30" s="198"/>
      <c r="IU30" s="198"/>
      <c r="IV30" s="198"/>
    </row>
    <row r="31" s="199" customFormat="true" ht="12.75" hidden="false" customHeight="true" outlineLevel="0" collapsed="false">
      <c r="A31" s="157" t="str">
        <f aca="false">IF(Eingabe!A125="","",Eingabe!A125)</f>
        <v/>
      </c>
      <c r="B31" s="157"/>
      <c r="C31" s="157"/>
      <c r="D31" s="158" t="str">
        <f aca="false">IF(Eingabe!B125="","",Eingabe!B125)</f>
        <v/>
      </c>
      <c r="E31" s="158"/>
      <c r="F31" s="158"/>
      <c r="G31" s="158"/>
      <c r="H31" s="159" t="str">
        <f aca="false">IF(Eingabe!C125="","",Eingabe!C125)</f>
        <v/>
      </c>
      <c r="I31" s="159"/>
      <c r="J31" s="159"/>
      <c r="K31" s="159"/>
      <c r="L31" s="160" t="str">
        <f aca="false">IF(Eingabe!D125="","",Eingabe!D125)</f>
        <v/>
      </c>
      <c r="M31" s="160"/>
      <c r="N31" s="160"/>
      <c r="O31" s="160"/>
      <c r="P31" s="160"/>
      <c r="Q31" s="160"/>
      <c r="R31" s="160"/>
      <c r="S31" s="160"/>
      <c r="T31" s="160"/>
      <c r="U31" s="160"/>
      <c r="V31" s="160"/>
      <c r="W31" s="160"/>
      <c r="X31" s="160"/>
      <c r="Y31" s="160"/>
      <c r="Z31" s="160"/>
      <c r="AA31" s="160"/>
      <c r="AB31" s="160"/>
      <c r="AC31" s="160"/>
      <c r="AD31" s="160"/>
      <c r="AE31" s="160"/>
      <c r="AF31" s="160"/>
      <c r="AG31" s="160"/>
      <c r="AH31" s="200" t="str">
        <f aca="false">IF(Eingabe!F125&amp;Eingabe!G125="","",Eingabe!F125&amp;"  /  "&amp;Eingabe!G125)</f>
        <v/>
      </c>
      <c r="AI31" s="200"/>
      <c r="AJ31" s="200"/>
      <c r="AK31" s="200"/>
      <c r="AL31" s="200"/>
      <c r="AM31" s="200"/>
      <c r="AN31" s="200"/>
      <c r="AO31" s="200"/>
      <c r="AP31" s="200"/>
      <c r="AQ31" s="200"/>
      <c r="AR31" s="200"/>
      <c r="AS31" s="200"/>
      <c r="AT31" s="200"/>
      <c r="AU31" s="200"/>
      <c r="AV31" s="200"/>
      <c r="AW31" s="200"/>
      <c r="AX31" s="200"/>
      <c r="AY31" s="200"/>
      <c r="AZ31" s="200"/>
      <c r="BA31" s="200"/>
      <c r="BB31" s="200"/>
      <c r="BC31" s="200"/>
      <c r="BD31" s="200"/>
      <c r="BE31" s="201" t="str">
        <f aca="false">IF(Eingabe!I125="","",Eingabe!I125)</f>
        <v/>
      </c>
      <c r="BF31" s="201"/>
      <c r="BG31" s="201"/>
      <c r="BH31" s="201"/>
      <c r="BI31" s="201"/>
      <c r="BJ31" s="202" t="str">
        <f aca="false">IF(Eingabe!I125="","",Eingabe!I125*Eingabe!B125)</f>
        <v/>
      </c>
      <c r="BK31" s="202"/>
      <c r="BL31" s="202"/>
      <c r="BM31" s="202"/>
      <c r="BN31" s="202"/>
      <c r="BO31" s="198"/>
      <c r="BP31" s="198"/>
      <c r="BQ31" s="198"/>
      <c r="BR31" s="198"/>
      <c r="BS31" s="198"/>
      <c r="BT31" s="198"/>
      <c r="BU31" s="198"/>
      <c r="BV31" s="198"/>
      <c r="BW31" s="198"/>
      <c r="BX31" s="198"/>
      <c r="BY31" s="198"/>
      <c r="BZ31" s="198"/>
      <c r="CA31" s="198"/>
      <c r="CB31" s="198"/>
      <c r="CC31" s="198"/>
      <c r="CD31" s="198"/>
      <c r="CE31" s="198"/>
      <c r="CF31" s="198"/>
      <c r="CG31" s="198"/>
      <c r="CH31" s="198"/>
      <c r="CI31" s="198"/>
      <c r="CJ31" s="198"/>
      <c r="CK31" s="198"/>
      <c r="CL31" s="198"/>
      <c r="CM31" s="198"/>
      <c r="CN31" s="198"/>
      <c r="CO31" s="198"/>
      <c r="CP31" s="198"/>
      <c r="CQ31" s="198"/>
      <c r="CR31" s="198"/>
      <c r="CS31" s="198"/>
      <c r="CT31" s="198"/>
      <c r="CU31" s="198"/>
      <c r="CV31" s="198"/>
      <c r="CW31" s="198"/>
      <c r="CX31" s="198"/>
      <c r="CY31" s="198"/>
      <c r="CZ31" s="198"/>
      <c r="DA31" s="198"/>
      <c r="DB31" s="198"/>
      <c r="DC31" s="198"/>
      <c r="DD31" s="198"/>
      <c r="DE31" s="198"/>
      <c r="DF31" s="198"/>
      <c r="DG31" s="198"/>
      <c r="DH31" s="198"/>
      <c r="DI31" s="198"/>
      <c r="DJ31" s="198"/>
      <c r="DK31" s="198"/>
      <c r="DL31" s="198"/>
      <c r="DM31" s="198"/>
      <c r="DN31" s="198"/>
      <c r="DO31" s="198"/>
      <c r="DP31" s="198"/>
      <c r="DQ31" s="198"/>
      <c r="DR31" s="198"/>
      <c r="DS31" s="198"/>
      <c r="DT31" s="198"/>
      <c r="DU31" s="198"/>
      <c r="DV31" s="198"/>
      <c r="DW31" s="198"/>
      <c r="DX31" s="198"/>
      <c r="DY31" s="198"/>
      <c r="DZ31" s="198"/>
      <c r="EA31" s="198"/>
      <c r="EB31" s="198"/>
      <c r="EC31" s="198"/>
      <c r="ED31" s="198"/>
      <c r="EE31" s="198"/>
      <c r="EF31" s="198"/>
      <c r="EG31" s="198"/>
      <c r="EH31" s="198"/>
      <c r="EI31" s="198"/>
      <c r="EJ31" s="198"/>
      <c r="EK31" s="198"/>
      <c r="EL31" s="198"/>
      <c r="EM31" s="198"/>
      <c r="EN31" s="198"/>
      <c r="EO31" s="198"/>
      <c r="EP31" s="198"/>
      <c r="EQ31" s="198"/>
      <c r="ER31" s="198"/>
      <c r="ES31" s="198"/>
      <c r="ET31" s="198"/>
      <c r="EU31" s="198"/>
      <c r="EV31" s="198"/>
      <c r="EW31" s="198"/>
      <c r="EX31" s="198"/>
      <c r="EY31" s="198"/>
      <c r="EZ31" s="198"/>
      <c r="FA31" s="198"/>
      <c r="FB31" s="198"/>
      <c r="FC31" s="198"/>
      <c r="FD31" s="198"/>
      <c r="FE31" s="198"/>
      <c r="FF31" s="198"/>
      <c r="FG31" s="198"/>
      <c r="FH31" s="198"/>
      <c r="FI31" s="198"/>
      <c r="FJ31" s="198"/>
      <c r="FK31" s="198"/>
      <c r="FL31" s="198"/>
      <c r="FM31" s="198"/>
      <c r="FN31" s="198"/>
      <c r="FO31" s="198"/>
      <c r="FP31" s="198"/>
      <c r="FQ31" s="198"/>
      <c r="FR31" s="198"/>
      <c r="FS31" s="198"/>
      <c r="FT31" s="198"/>
      <c r="FU31" s="198"/>
      <c r="FV31" s="198"/>
      <c r="FW31" s="198"/>
      <c r="FX31" s="198"/>
      <c r="FY31" s="198"/>
      <c r="FZ31" s="198"/>
      <c r="GA31" s="198"/>
      <c r="GB31" s="198"/>
      <c r="GC31" s="198"/>
      <c r="GD31" s="198"/>
      <c r="GE31" s="198"/>
      <c r="GF31" s="198"/>
      <c r="GG31" s="198"/>
      <c r="GH31" s="198"/>
      <c r="GI31" s="198"/>
      <c r="GJ31" s="198"/>
      <c r="GK31" s="198"/>
      <c r="GL31" s="198"/>
      <c r="GM31" s="198"/>
      <c r="GN31" s="198"/>
      <c r="GO31" s="198"/>
      <c r="GP31" s="198"/>
      <c r="GQ31" s="198"/>
      <c r="GR31" s="198"/>
      <c r="GS31" s="198"/>
      <c r="GT31" s="198"/>
      <c r="GU31" s="198"/>
      <c r="GV31" s="198"/>
      <c r="GW31" s="198"/>
      <c r="GX31" s="198"/>
      <c r="GY31" s="198"/>
      <c r="GZ31" s="198"/>
      <c r="HA31" s="198"/>
      <c r="HB31" s="198"/>
      <c r="HC31" s="198"/>
      <c r="HD31" s="198"/>
      <c r="HE31" s="198"/>
      <c r="HF31" s="198"/>
      <c r="HG31" s="198"/>
      <c r="HH31" s="198"/>
      <c r="HI31" s="198"/>
      <c r="HJ31" s="198"/>
      <c r="HK31" s="198"/>
      <c r="HL31" s="198"/>
      <c r="HM31" s="198"/>
      <c r="HN31" s="198"/>
      <c r="HO31" s="198"/>
      <c r="HP31" s="198"/>
      <c r="HQ31" s="198"/>
      <c r="HR31" s="198"/>
      <c r="HS31" s="198"/>
      <c r="HT31" s="198"/>
      <c r="HU31" s="198"/>
      <c r="HV31" s="198"/>
      <c r="HW31" s="198"/>
      <c r="HX31" s="198"/>
      <c r="HY31" s="198"/>
      <c r="HZ31" s="198"/>
      <c r="IA31" s="198"/>
      <c r="IB31" s="198"/>
      <c r="IC31" s="198"/>
      <c r="ID31" s="198"/>
      <c r="IE31" s="198"/>
      <c r="IF31" s="198"/>
      <c r="IG31" s="198"/>
      <c r="IH31" s="198"/>
      <c r="II31" s="198"/>
      <c r="IJ31" s="198"/>
      <c r="IK31" s="198"/>
      <c r="IL31" s="198"/>
      <c r="IM31" s="198"/>
      <c r="IN31" s="198"/>
      <c r="IO31" s="198"/>
      <c r="IP31" s="198"/>
      <c r="IQ31" s="198"/>
      <c r="IR31" s="198"/>
      <c r="IS31" s="198"/>
      <c r="IT31" s="198"/>
      <c r="IU31" s="198"/>
      <c r="IV31" s="198"/>
    </row>
    <row r="32" s="199" customFormat="true" ht="12.75" hidden="false" customHeight="true" outlineLevel="0" collapsed="false">
      <c r="A32" s="157" t="str">
        <f aca="false">IF(Eingabe!A126="","",Eingabe!A126)</f>
        <v/>
      </c>
      <c r="B32" s="157"/>
      <c r="C32" s="157"/>
      <c r="D32" s="158" t="str">
        <f aca="false">IF(Eingabe!B126="","",Eingabe!B126)</f>
        <v/>
      </c>
      <c r="E32" s="158"/>
      <c r="F32" s="158"/>
      <c r="G32" s="158"/>
      <c r="H32" s="159" t="str">
        <f aca="false">IF(Eingabe!C126="","",Eingabe!C126)</f>
        <v/>
      </c>
      <c r="I32" s="159"/>
      <c r="J32" s="159"/>
      <c r="K32" s="159"/>
      <c r="L32" s="160" t="str">
        <f aca="false">IF(Eingabe!D126="","",Eingabe!D126)</f>
        <v/>
      </c>
      <c r="M32" s="160"/>
      <c r="N32" s="160"/>
      <c r="O32" s="160"/>
      <c r="P32" s="160"/>
      <c r="Q32" s="160"/>
      <c r="R32" s="160"/>
      <c r="S32" s="160"/>
      <c r="T32" s="160"/>
      <c r="U32" s="160"/>
      <c r="V32" s="160"/>
      <c r="W32" s="160"/>
      <c r="X32" s="160"/>
      <c r="Y32" s="160"/>
      <c r="Z32" s="160"/>
      <c r="AA32" s="160"/>
      <c r="AB32" s="160"/>
      <c r="AC32" s="160"/>
      <c r="AD32" s="160"/>
      <c r="AE32" s="160"/>
      <c r="AF32" s="160"/>
      <c r="AG32" s="160"/>
      <c r="AH32" s="200" t="str">
        <f aca="false">IF(Eingabe!F126&amp;Eingabe!G126="","",Eingabe!F126&amp;"  /  "&amp;Eingabe!G126)</f>
        <v/>
      </c>
      <c r="AI32" s="200"/>
      <c r="AJ32" s="200"/>
      <c r="AK32" s="200"/>
      <c r="AL32" s="200"/>
      <c r="AM32" s="200"/>
      <c r="AN32" s="200"/>
      <c r="AO32" s="200"/>
      <c r="AP32" s="200"/>
      <c r="AQ32" s="200"/>
      <c r="AR32" s="200"/>
      <c r="AS32" s="200"/>
      <c r="AT32" s="200"/>
      <c r="AU32" s="200"/>
      <c r="AV32" s="200"/>
      <c r="AW32" s="200"/>
      <c r="AX32" s="200"/>
      <c r="AY32" s="200"/>
      <c r="AZ32" s="200"/>
      <c r="BA32" s="200"/>
      <c r="BB32" s="200"/>
      <c r="BC32" s="200"/>
      <c r="BD32" s="200"/>
      <c r="BE32" s="201" t="str">
        <f aca="false">IF(Eingabe!I126="","",Eingabe!I126)</f>
        <v/>
      </c>
      <c r="BF32" s="201"/>
      <c r="BG32" s="201"/>
      <c r="BH32" s="201"/>
      <c r="BI32" s="201"/>
      <c r="BJ32" s="202" t="str">
        <f aca="false">IF(Eingabe!I126="","",Eingabe!I126*Eingabe!B126)</f>
        <v/>
      </c>
      <c r="BK32" s="202"/>
      <c r="BL32" s="202"/>
      <c r="BM32" s="202"/>
      <c r="BN32" s="202"/>
      <c r="BO32" s="198"/>
      <c r="BP32" s="198"/>
      <c r="BQ32" s="198"/>
      <c r="BR32" s="198"/>
      <c r="BS32" s="198"/>
      <c r="BT32" s="198"/>
      <c r="BU32" s="198"/>
      <c r="BV32" s="198"/>
      <c r="BW32" s="198"/>
      <c r="BX32" s="198"/>
      <c r="BY32" s="198"/>
      <c r="BZ32" s="198"/>
      <c r="CA32" s="198"/>
      <c r="CB32" s="198"/>
      <c r="CC32" s="198"/>
      <c r="CD32" s="198"/>
      <c r="CE32" s="198"/>
      <c r="CF32" s="198"/>
      <c r="CG32" s="198"/>
      <c r="CH32" s="198"/>
      <c r="CI32" s="198"/>
      <c r="CJ32" s="198"/>
      <c r="CK32" s="198"/>
      <c r="CL32" s="198"/>
      <c r="CM32" s="198"/>
      <c r="CN32" s="198"/>
      <c r="CO32" s="198"/>
      <c r="CP32" s="198"/>
      <c r="CQ32" s="198"/>
      <c r="CR32" s="198"/>
      <c r="CS32" s="198"/>
      <c r="CT32" s="198"/>
      <c r="CU32" s="198"/>
      <c r="CV32" s="198"/>
      <c r="CW32" s="198"/>
      <c r="CX32" s="198"/>
      <c r="CY32" s="198"/>
      <c r="CZ32" s="198"/>
      <c r="DA32" s="198"/>
      <c r="DB32" s="198"/>
      <c r="DC32" s="198"/>
      <c r="DD32" s="198"/>
      <c r="DE32" s="198"/>
      <c r="DF32" s="198"/>
      <c r="DG32" s="198"/>
      <c r="DH32" s="198"/>
      <c r="DI32" s="198"/>
      <c r="DJ32" s="198"/>
      <c r="DK32" s="198"/>
      <c r="DL32" s="198"/>
      <c r="DM32" s="198"/>
      <c r="DN32" s="198"/>
      <c r="DO32" s="198"/>
      <c r="DP32" s="198"/>
      <c r="DQ32" s="198"/>
      <c r="DR32" s="198"/>
      <c r="DS32" s="198"/>
      <c r="DT32" s="198"/>
      <c r="DU32" s="198"/>
      <c r="DV32" s="198"/>
      <c r="DW32" s="198"/>
      <c r="DX32" s="198"/>
      <c r="DY32" s="198"/>
      <c r="DZ32" s="198"/>
      <c r="EA32" s="198"/>
      <c r="EB32" s="198"/>
      <c r="EC32" s="198"/>
      <c r="ED32" s="198"/>
      <c r="EE32" s="198"/>
      <c r="EF32" s="198"/>
      <c r="EG32" s="198"/>
      <c r="EH32" s="198"/>
      <c r="EI32" s="198"/>
      <c r="EJ32" s="198"/>
      <c r="EK32" s="198"/>
      <c r="EL32" s="198"/>
      <c r="EM32" s="198"/>
      <c r="EN32" s="198"/>
      <c r="EO32" s="198"/>
      <c r="EP32" s="198"/>
      <c r="EQ32" s="198"/>
      <c r="ER32" s="198"/>
      <c r="ES32" s="198"/>
      <c r="ET32" s="198"/>
      <c r="EU32" s="198"/>
      <c r="EV32" s="198"/>
      <c r="EW32" s="198"/>
      <c r="EX32" s="198"/>
      <c r="EY32" s="198"/>
      <c r="EZ32" s="198"/>
      <c r="FA32" s="198"/>
      <c r="FB32" s="198"/>
      <c r="FC32" s="198"/>
      <c r="FD32" s="198"/>
      <c r="FE32" s="198"/>
      <c r="FF32" s="198"/>
      <c r="FG32" s="198"/>
      <c r="FH32" s="198"/>
      <c r="FI32" s="198"/>
      <c r="FJ32" s="198"/>
      <c r="FK32" s="198"/>
      <c r="FL32" s="198"/>
      <c r="FM32" s="198"/>
      <c r="FN32" s="198"/>
      <c r="FO32" s="198"/>
      <c r="FP32" s="198"/>
      <c r="FQ32" s="198"/>
      <c r="FR32" s="198"/>
      <c r="FS32" s="198"/>
      <c r="FT32" s="198"/>
      <c r="FU32" s="198"/>
      <c r="FV32" s="198"/>
      <c r="FW32" s="198"/>
      <c r="FX32" s="198"/>
      <c r="FY32" s="198"/>
      <c r="FZ32" s="198"/>
      <c r="GA32" s="198"/>
      <c r="GB32" s="198"/>
      <c r="GC32" s="198"/>
      <c r="GD32" s="198"/>
      <c r="GE32" s="198"/>
      <c r="GF32" s="198"/>
      <c r="GG32" s="198"/>
      <c r="GH32" s="198"/>
      <c r="GI32" s="198"/>
      <c r="GJ32" s="198"/>
      <c r="GK32" s="198"/>
      <c r="GL32" s="198"/>
      <c r="GM32" s="198"/>
      <c r="GN32" s="198"/>
      <c r="GO32" s="198"/>
      <c r="GP32" s="198"/>
      <c r="GQ32" s="198"/>
      <c r="GR32" s="198"/>
      <c r="GS32" s="198"/>
      <c r="GT32" s="198"/>
      <c r="GU32" s="198"/>
      <c r="GV32" s="198"/>
      <c r="GW32" s="198"/>
      <c r="GX32" s="198"/>
      <c r="GY32" s="198"/>
      <c r="GZ32" s="198"/>
      <c r="HA32" s="198"/>
      <c r="HB32" s="198"/>
      <c r="HC32" s="198"/>
      <c r="HD32" s="198"/>
      <c r="HE32" s="198"/>
      <c r="HF32" s="198"/>
      <c r="HG32" s="198"/>
      <c r="HH32" s="198"/>
      <c r="HI32" s="198"/>
      <c r="HJ32" s="198"/>
      <c r="HK32" s="198"/>
      <c r="HL32" s="198"/>
      <c r="HM32" s="198"/>
      <c r="HN32" s="198"/>
      <c r="HO32" s="198"/>
      <c r="HP32" s="198"/>
      <c r="HQ32" s="198"/>
      <c r="HR32" s="198"/>
      <c r="HS32" s="198"/>
      <c r="HT32" s="198"/>
      <c r="HU32" s="198"/>
      <c r="HV32" s="198"/>
      <c r="HW32" s="198"/>
      <c r="HX32" s="198"/>
      <c r="HY32" s="198"/>
      <c r="HZ32" s="198"/>
      <c r="IA32" s="198"/>
      <c r="IB32" s="198"/>
      <c r="IC32" s="198"/>
      <c r="ID32" s="198"/>
      <c r="IE32" s="198"/>
      <c r="IF32" s="198"/>
      <c r="IG32" s="198"/>
      <c r="IH32" s="198"/>
      <c r="II32" s="198"/>
      <c r="IJ32" s="198"/>
      <c r="IK32" s="198"/>
      <c r="IL32" s="198"/>
      <c r="IM32" s="198"/>
      <c r="IN32" s="198"/>
      <c r="IO32" s="198"/>
      <c r="IP32" s="198"/>
      <c r="IQ32" s="198"/>
      <c r="IR32" s="198"/>
      <c r="IS32" s="198"/>
      <c r="IT32" s="198"/>
      <c r="IU32" s="198"/>
      <c r="IV32" s="198"/>
    </row>
    <row r="33" s="199" customFormat="true" ht="12.75" hidden="false" customHeight="true" outlineLevel="0" collapsed="false">
      <c r="A33" s="157" t="str">
        <f aca="false">IF(Eingabe!A127="","",Eingabe!A127)</f>
        <v/>
      </c>
      <c r="B33" s="157"/>
      <c r="C33" s="157"/>
      <c r="D33" s="158" t="str">
        <f aca="false">IF(Eingabe!B127="","",Eingabe!B127)</f>
        <v/>
      </c>
      <c r="E33" s="158"/>
      <c r="F33" s="158"/>
      <c r="G33" s="158"/>
      <c r="H33" s="159" t="str">
        <f aca="false">IF(Eingabe!C127="","",Eingabe!C127)</f>
        <v/>
      </c>
      <c r="I33" s="159"/>
      <c r="J33" s="159"/>
      <c r="K33" s="159"/>
      <c r="L33" s="160" t="str">
        <f aca="false">IF(Eingabe!D127="","",Eingabe!D127)</f>
        <v/>
      </c>
      <c r="M33" s="160"/>
      <c r="N33" s="160"/>
      <c r="O33" s="160"/>
      <c r="P33" s="160"/>
      <c r="Q33" s="160"/>
      <c r="R33" s="160"/>
      <c r="S33" s="160"/>
      <c r="T33" s="160"/>
      <c r="U33" s="160"/>
      <c r="V33" s="160"/>
      <c r="W33" s="160"/>
      <c r="X33" s="160"/>
      <c r="Y33" s="160"/>
      <c r="Z33" s="160"/>
      <c r="AA33" s="160"/>
      <c r="AB33" s="160"/>
      <c r="AC33" s="160"/>
      <c r="AD33" s="160"/>
      <c r="AE33" s="160"/>
      <c r="AF33" s="160"/>
      <c r="AG33" s="160"/>
      <c r="AH33" s="200" t="str">
        <f aca="false">IF(Eingabe!F127&amp;Eingabe!G127="","",Eingabe!F127&amp;"  /  "&amp;Eingabe!G127)</f>
        <v/>
      </c>
      <c r="AI33" s="200"/>
      <c r="AJ33" s="200"/>
      <c r="AK33" s="200"/>
      <c r="AL33" s="200"/>
      <c r="AM33" s="200"/>
      <c r="AN33" s="200"/>
      <c r="AO33" s="200"/>
      <c r="AP33" s="200"/>
      <c r="AQ33" s="200"/>
      <c r="AR33" s="200"/>
      <c r="AS33" s="200"/>
      <c r="AT33" s="200"/>
      <c r="AU33" s="200"/>
      <c r="AV33" s="200"/>
      <c r="AW33" s="200"/>
      <c r="AX33" s="200"/>
      <c r="AY33" s="200"/>
      <c r="AZ33" s="200"/>
      <c r="BA33" s="200"/>
      <c r="BB33" s="200"/>
      <c r="BC33" s="200"/>
      <c r="BD33" s="200"/>
      <c r="BE33" s="201" t="str">
        <f aca="false">IF(Eingabe!I127="","",Eingabe!I127)</f>
        <v/>
      </c>
      <c r="BF33" s="201"/>
      <c r="BG33" s="201"/>
      <c r="BH33" s="201"/>
      <c r="BI33" s="201"/>
      <c r="BJ33" s="202" t="str">
        <f aca="false">IF(Eingabe!I127="","",Eingabe!I127*Eingabe!B127)</f>
        <v/>
      </c>
      <c r="BK33" s="202"/>
      <c r="BL33" s="202"/>
      <c r="BM33" s="202"/>
      <c r="BN33" s="202"/>
      <c r="BO33" s="198"/>
      <c r="BP33" s="198"/>
      <c r="BQ33" s="198"/>
      <c r="BR33" s="198"/>
      <c r="BS33" s="198"/>
      <c r="BT33" s="198"/>
      <c r="BU33" s="198"/>
      <c r="BV33" s="198"/>
      <c r="BW33" s="198"/>
      <c r="BX33" s="198"/>
      <c r="BY33" s="198"/>
      <c r="BZ33" s="198"/>
      <c r="CA33" s="198"/>
      <c r="CB33" s="198"/>
      <c r="CC33" s="198"/>
      <c r="CD33" s="198"/>
      <c r="CE33" s="198"/>
      <c r="CF33" s="198"/>
      <c r="CG33" s="198"/>
      <c r="CH33" s="198"/>
      <c r="CI33" s="198"/>
      <c r="CJ33" s="198"/>
      <c r="CK33" s="198"/>
      <c r="CL33" s="198"/>
      <c r="CM33" s="198"/>
      <c r="CN33" s="198"/>
      <c r="CO33" s="198"/>
      <c r="CP33" s="198"/>
      <c r="CQ33" s="198"/>
      <c r="CR33" s="198"/>
      <c r="CS33" s="198"/>
      <c r="CT33" s="198"/>
      <c r="CU33" s="198"/>
      <c r="CV33" s="198"/>
      <c r="CW33" s="198"/>
      <c r="CX33" s="198"/>
      <c r="CY33" s="198"/>
      <c r="CZ33" s="198"/>
      <c r="DA33" s="198"/>
      <c r="DB33" s="198"/>
      <c r="DC33" s="198"/>
      <c r="DD33" s="198"/>
      <c r="DE33" s="198"/>
      <c r="DF33" s="198"/>
      <c r="DG33" s="198"/>
      <c r="DH33" s="198"/>
      <c r="DI33" s="198"/>
      <c r="DJ33" s="198"/>
      <c r="DK33" s="198"/>
      <c r="DL33" s="198"/>
      <c r="DM33" s="198"/>
      <c r="DN33" s="198"/>
      <c r="DO33" s="198"/>
      <c r="DP33" s="198"/>
      <c r="DQ33" s="198"/>
      <c r="DR33" s="198"/>
      <c r="DS33" s="198"/>
      <c r="DT33" s="198"/>
      <c r="DU33" s="198"/>
      <c r="DV33" s="198"/>
      <c r="DW33" s="198"/>
      <c r="DX33" s="198"/>
      <c r="DY33" s="198"/>
      <c r="DZ33" s="198"/>
      <c r="EA33" s="198"/>
      <c r="EB33" s="198"/>
      <c r="EC33" s="198"/>
      <c r="ED33" s="198"/>
      <c r="EE33" s="198"/>
      <c r="EF33" s="198"/>
      <c r="EG33" s="198"/>
      <c r="EH33" s="198"/>
      <c r="EI33" s="198"/>
      <c r="EJ33" s="198"/>
      <c r="EK33" s="198"/>
      <c r="EL33" s="198"/>
      <c r="EM33" s="198"/>
      <c r="EN33" s="198"/>
      <c r="EO33" s="198"/>
      <c r="EP33" s="198"/>
      <c r="EQ33" s="198"/>
      <c r="ER33" s="198"/>
      <c r="ES33" s="198"/>
      <c r="ET33" s="198"/>
      <c r="EU33" s="198"/>
      <c r="EV33" s="198"/>
      <c r="EW33" s="198"/>
      <c r="EX33" s="198"/>
      <c r="EY33" s="198"/>
      <c r="EZ33" s="198"/>
      <c r="FA33" s="198"/>
      <c r="FB33" s="198"/>
      <c r="FC33" s="198"/>
      <c r="FD33" s="198"/>
      <c r="FE33" s="198"/>
      <c r="FF33" s="198"/>
      <c r="FG33" s="198"/>
      <c r="FH33" s="198"/>
      <c r="FI33" s="198"/>
      <c r="FJ33" s="198"/>
      <c r="FK33" s="198"/>
      <c r="FL33" s="198"/>
      <c r="FM33" s="198"/>
      <c r="FN33" s="198"/>
      <c r="FO33" s="198"/>
      <c r="FP33" s="198"/>
      <c r="FQ33" s="198"/>
      <c r="FR33" s="198"/>
      <c r="FS33" s="198"/>
      <c r="FT33" s="198"/>
      <c r="FU33" s="198"/>
      <c r="FV33" s="198"/>
      <c r="FW33" s="198"/>
      <c r="FX33" s="198"/>
      <c r="FY33" s="198"/>
      <c r="FZ33" s="198"/>
      <c r="GA33" s="198"/>
      <c r="GB33" s="198"/>
      <c r="GC33" s="198"/>
      <c r="GD33" s="198"/>
      <c r="GE33" s="198"/>
      <c r="GF33" s="198"/>
      <c r="GG33" s="198"/>
      <c r="GH33" s="198"/>
      <c r="GI33" s="198"/>
      <c r="GJ33" s="198"/>
      <c r="GK33" s="198"/>
      <c r="GL33" s="198"/>
      <c r="GM33" s="198"/>
      <c r="GN33" s="198"/>
      <c r="GO33" s="198"/>
      <c r="GP33" s="198"/>
      <c r="GQ33" s="198"/>
      <c r="GR33" s="198"/>
      <c r="GS33" s="198"/>
      <c r="GT33" s="198"/>
      <c r="GU33" s="198"/>
      <c r="GV33" s="198"/>
      <c r="GW33" s="198"/>
      <c r="GX33" s="198"/>
      <c r="GY33" s="198"/>
      <c r="GZ33" s="198"/>
      <c r="HA33" s="198"/>
      <c r="HB33" s="198"/>
      <c r="HC33" s="198"/>
      <c r="HD33" s="198"/>
      <c r="HE33" s="198"/>
      <c r="HF33" s="198"/>
      <c r="HG33" s="198"/>
      <c r="HH33" s="198"/>
      <c r="HI33" s="198"/>
      <c r="HJ33" s="198"/>
      <c r="HK33" s="198"/>
      <c r="HL33" s="198"/>
      <c r="HM33" s="198"/>
      <c r="HN33" s="198"/>
      <c r="HO33" s="198"/>
      <c r="HP33" s="198"/>
      <c r="HQ33" s="198"/>
      <c r="HR33" s="198"/>
      <c r="HS33" s="198"/>
      <c r="HT33" s="198"/>
      <c r="HU33" s="198"/>
      <c r="HV33" s="198"/>
      <c r="HW33" s="198"/>
      <c r="HX33" s="198"/>
      <c r="HY33" s="198"/>
      <c r="HZ33" s="198"/>
      <c r="IA33" s="198"/>
      <c r="IB33" s="198"/>
      <c r="IC33" s="198"/>
      <c r="ID33" s="198"/>
      <c r="IE33" s="198"/>
      <c r="IF33" s="198"/>
      <c r="IG33" s="198"/>
      <c r="IH33" s="198"/>
      <c r="II33" s="198"/>
      <c r="IJ33" s="198"/>
      <c r="IK33" s="198"/>
      <c r="IL33" s="198"/>
      <c r="IM33" s="198"/>
      <c r="IN33" s="198"/>
      <c r="IO33" s="198"/>
      <c r="IP33" s="198"/>
      <c r="IQ33" s="198"/>
      <c r="IR33" s="198"/>
      <c r="IS33" s="198"/>
      <c r="IT33" s="198"/>
      <c r="IU33" s="198"/>
      <c r="IV33" s="198"/>
    </row>
    <row r="34" s="199" customFormat="true" ht="12.75" hidden="false" customHeight="true" outlineLevel="0" collapsed="false">
      <c r="A34" s="157" t="str">
        <f aca="false">IF(Eingabe!A128="","",Eingabe!A128)</f>
        <v/>
      </c>
      <c r="B34" s="157"/>
      <c r="C34" s="157"/>
      <c r="D34" s="158" t="str">
        <f aca="false">IF(Eingabe!B128="","",Eingabe!B128)</f>
        <v/>
      </c>
      <c r="E34" s="158"/>
      <c r="F34" s="158"/>
      <c r="G34" s="158"/>
      <c r="H34" s="159" t="str">
        <f aca="false">IF(Eingabe!C128="","",Eingabe!C128)</f>
        <v/>
      </c>
      <c r="I34" s="159"/>
      <c r="J34" s="159"/>
      <c r="K34" s="159"/>
      <c r="L34" s="160" t="str">
        <f aca="false">IF(Eingabe!D128="","",Eingabe!D128)</f>
        <v/>
      </c>
      <c r="M34" s="160"/>
      <c r="N34" s="160"/>
      <c r="O34" s="160"/>
      <c r="P34" s="160"/>
      <c r="Q34" s="160"/>
      <c r="R34" s="160"/>
      <c r="S34" s="160"/>
      <c r="T34" s="160"/>
      <c r="U34" s="160"/>
      <c r="V34" s="160"/>
      <c r="W34" s="160"/>
      <c r="X34" s="160"/>
      <c r="Y34" s="160"/>
      <c r="Z34" s="160"/>
      <c r="AA34" s="160"/>
      <c r="AB34" s="160"/>
      <c r="AC34" s="160"/>
      <c r="AD34" s="160"/>
      <c r="AE34" s="160"/>
      <c r="AF34" s="160"/>
      <c r="AG34" s="160"/>
      <c r="AH34" s="200" t="str">
        <f aca="false">IF(Eingabe!F128&amp;Eingabe!G128="","",Eingabe!F128&amp;"  /  "&amp;Eingabe!G128)</f>
        <v/>
      </c>
      <c r="AI34" s="200"/>
      <c r="AJ34" s="200"/>
      <c r="AK34" s="200"/>
      <c r="AL34" s="200"/>
      <c r="AM34" s="200"/>
      <c r="AN34" s="200"/>
      <c r="AO34" s="200"/>
      <c r="AP34" s="200"/>
      <c r="AQ34" s="200"/>
      <c r="AR34" s="200"/>
      <c r="AS34" s="200"/>
      <c r="AT34" s="200"/>
      <c r="AU34" s="200"/>
      <c r="AV34" s="200"/>
      <c r="AW34" s="200"/>
      <c r="AX34" s="200"/>
      <c r="AY34" s="200"/>
      <c r="AZ34" s="200"/>
      <c r="BA34" s="200"/>
      <c r="BB34" s="200"/>
      <c r="BC34" s="200"/>
      <c r="BD34" s="200"/>
      <c r="BE34" s="201" t="str">
        <f aca="false">IF(Eingabe!I128="","",Eingabe!I128)</f>
        <v/>
      </c>
      <c r="BF34" s="201"/>
      <c r="BG34" s="201"/>
      <c r="BH34" s="201"/>
      <c r="BI34" s="201"/>
      <c r="BJ34" s="202" t="str">
        <f aca="false">IF(Eingabe!I128="","",Eingabe!I128*Eingabe!B128)</f>
        <v/>
      </c>
      <c r="BK34" s="202"/>
      <c r="BL34" s="202"/>
      <c r="BM34" s="202"/>
      <c r="BN34" s="202"/>
      <c r="BO34" s="198"/>
      <c r="BP34" s="198"/>
      <c r="BQ34" s="198"/>
      <c r="BR34" s="198"/>
      <c r="BS34" s="198"/>
      <c r="BT34" s="198"/>
      <c r="BU34" s="198"/>
      <c r="BV34" s="198"/>
      <c r="BW34" s="198"/>
      <c r="BX34" s="198"/>
      <c r="BY34" s="198"/>
      <c r="BZ34" s="198"/>
      <c r="CA34" s="198"/>
      <c r="CB34" s="198"/>
      <c r="CC34" s="198"/>
      <c r="CD34" s="198"/>
      <c r="CE34" s="198"/>
      <c r="CF34" s="198"/>
      <c r="CG34" s="198"/>
      <c r="CH34" s="198"/>
      <c r="CI34" s="198"/>
      <c r="CJ34" s="198"/>
      <c r="CK34" s="198"/>
      <c r="CL34" s="198"/>
      <c r="CM34" s="198"/>
      <c r="CN34" s="198"/>
      <c r="CO34" s="198"/>
      <c r="CP34" s="198"/>
      <c r="CQ34" s="198"/>
      <c r="CR34" s="198"/>
      <c r="CS34" s="198"/>
      <c r="CT34" s="198"/>
      <c r="CU34" s="198"/>
      <c r="CV34" s="198"/>
      <c r="CW34" s="198"/>
      <c r="CX34" s="198"/>
      <c r="CY34" s="198"/>
      <c r="CZ34" s="198"/>
      <c r="DA34" s="198"/>
      <c r="DB34" s="198"/>
      <c r="DC34" s="198"/>
      <c r="DD34" s="198"/>
      <c r="DE34" s="198"/>
      <c r="DF34" s="198"/>
      <c r="DG34" s="198"/>
      <c r="DH34" s="198"/>
      <c r="DI34" s="198"/>
      <c r="DJ34" s="198"/>
      <c r="DK34" s="198"/>
      <c r="DL34" s="198"/>
      <c r="DM34" s="198"/>
      <c r="DN34" s="198"/>
      <c r="DO34" s="198"/>
      <c r="DP34" s="198"/>
      <c r="DQ34" s="198"/>
      <c r="DR34" s="198"/>
      <c r="DS34" s="198"/>
      <c r="DT34" s="198"/>
      <c r="DU34" s="198"/>
      <c r="DV34" s="198"/>
      <c r="DW34" s="198"/>
      <c r="DX34" s="198"/>
      <c r="DY34" s="198"/>
      <c r="DZ34" s="198"/>
      <c r="EA34" s="198"/>
      <c r="EB34" s="198"/>
      <c r="EC34" s="198"/>
      <c r="ED34" s="198"/>
      <c r="EE34" s="198"/>
      <c r="EF34" s="198"/>
      <c r="EG34" s="198"/>
      <c r="EH34" s="198"/>
      <c r="EI34" s="198"/>
      <c r="EJ34" s="198"/>
      <c r="EK34" s="198"/>
      <c r="EL34" s="198"/>
      <c r="EM34" s="198"/>
      <c r="EN34" s="198"/>
      <c r="EO34" s="198"/>
      <c r="EP34" s="198"/>
      <c r="EQ34" s="198"/>
      <c r="ER34" s="198"/>
      <c r="ES34" s="198"/>
      <c r="ET34" s="198"/>
      <c r="EU34" s="198"/>
      <c r="EV34" s="198"/>
      <c r="EW34" s="198"/>
      <c r="EX34" s="198"/>
      <c r="EY34" s="198"/>
      <c r="EZ34" s="198"/>
      <c r="FA34" s="198"/>
      <c r="FB34" s="198"/>
      <c r="FC34" s="198"/>
      <c r="FD34" s="198"/>
      <c r="FE34" s="198"/>
      <c r="FF34" s="198"/>
      <c r="FG34" s="198"/>
      <c r="FH34" s="198"/>
      <c r="FI34" s="198"/>
      <c r="FJ34" s="198"/>
      <c r="FK34" s="198"/>
      <c r="FL34" s="198"/>
      <c r="FM34" s="198"/>
      <c r="FN34" s="198"/>
      <c r="FO34" s="198"/>
      <c r="FP34" s="198"/>
      <c r="FQ34" s="198"/>
      <c r="FR34" s="198"/>
      <c r="FS34" s="198"/>
      <c r="FT34" s="198"/>
      <c r="FU34" s="198"/>
      <c r="FV34" s="198"/>
      <c r="FW34" s="198"/>
      <c r="FX34" s="198"/>
      <c r="FY34" s="198"/>
      <c r="FZ34" s="198"/>
      <c r="GA34" s="198"/>
      <c r="GB34" s="198"/>
      <c r="GC34" s="198"/>
      <c r="GD34" s="198"/>
      <c r="GE34" s="198"/>
      <c r="GF34" s="198"/>
      <c r="GG34" s="198"/>
      <c r="GH34" s="198"/>
      <c r="GI34" s="198"/>
      <c r="GJ34" s="198"/>
      <c r="GK34" s="198"/>
      <c r="GL34" s="198"/>
      <c r="GM34" s="198"/>
      <c r="GN34" s="198"/>
      <c r="GO34" s="198"/>
      <c r="GP34" s="198"/>
      <c r="GQ34" s="198"/>
      <c r="GR34" s="198"/>
      <c r="GS34" s="198"/>
      <c r="GT34" s="198"/>
      <c r="GU34" s="198"/>
      <c r="GV34" s="198"/>
      <c r="GW34" s="198"/>
      <c r="GX34" s="198"/>
      <c r="GY34" s="198"/>
      <c r="GZ34" s="198"/>
      <c r="HA34" s="198"/>
      <c r="HB34" s="198"/>
      <c r="HC34" s="198"/>
      <c r="HD34" s="198"/>
      <c r="HE34" s="198"/>
      <c r="HF34" s="198"/>
      <c r="HG34" s="198"/>
      <c r="HH34" s="198"/>
      <c r="HI34" s="198"/>
      <c r="HJ34" s="198"/>
      <c r="HK34" s="198"/>
      <c r="HL34" s="198"/>
      <c r="HM34" s="198"/>
      <c r="HN34" s="198"/>
      <c r="HO34" s="198"/>
      <c r="HP34" s="198"/>
      <c r="HQ34" s="198"/>
      <c r="HR34" s="198"/>
      <c r="HS34" s="198"/>
      <c r="HT34" s="198"/>
      <c r="HU34" s="198"/>
      <c r="HV34" s="198"/>
      <c r="HW34" s="198"/>
      <c r="HX34" s="198"/>
      <c r="HY34" s="198"/>
      <c r="HZ34" s="198"/>
      <c r="IA34" s="198"/>
      <c r="IB34" s="198"/>
      <c r="IC34" s="198"/>
      <c r="ID34" s="198"/>
      <c r="IE34" s="198"/>
      <c r="IF34" s="198"/>
      <c r="IG34" s="198"/>
      <c r="IH34" s="198"/>
      <c r="II34" s="198"/>
      <c r="IJ34" s="198"/>
      <c r="IK34" s="198"/>
      <c r="IL34" s="198"/>
      <c r="IM34" s="198"/>
      <c r="IN34" s="198"/>
      <c r="IO34" s="198"/>
      <c r="IP34" s="198"/>
      <c r="IQ34" s="198"/>
      <c r="IR34" s="198"/>
      <c r="IS34" s="198"/>
      <c r="IT34" s="198"/>
      <c r="IU34" s="198"/>
      <c r="IV34" s="198"/>
    </row>
    <row r="35" s="199" customFormat="true" ht="12.75" hidden="false" customHeight="true" outlineLevel="0" collapsed="false">
      <c r="A35" s="157" t="str">
        <f aca="false">IF(Eingabe!A129="","",Eingabe!A129)</f>
        <v/>
      </c>
      <c r="B35" s="157"/>
      <c r="C35" s="157"/>
      <c r="D35" s="158" t="str">
        <f aca="false">IF(Eingabe!B129="","",Eingabe!B129)</f>
        <v/>
      </c>
      <c r="E35" s="158"/>
      <c r="F35" s="158"/>
      <c r="G35" s="158"/>
      <c r="H35" s="159" t="str">
        <f aca="false">IF(Eingabe!C129="","",Eingabe!C129)</f>
        <v/>
      </c>
      <c r="I35" s="159"/>
      <c r="J35" s="159"/>
      <c r="K35" s="159"/>
      <c r="L35" s="160" t="str">
        <f aca="false">IF(Eingabe!D129="","",Eingabe!D129)</f>
        <v/>
      </c>
      <c r="M35" s="160"/>
      <c r="N35" s="160"/>
      <c r="O35" s="160"/>
      <c r="P35" s="160"/>
      <c r="Q35" s="160"/>
      <c r="R35" s="160"/>
      <c r="S35" s="160"/>
      <c r="T35" s="160"/>
      <c r="U35" s="160"/>
      <c r="V35" s="160"/>
      <c r="W35" s="160"/>
      <c r="X35" s="160"/>
      <c r="Y35" s="160"/>
      <c r="Z35" s="160"/>
      <c r="AA35" s="160"/>
      <c r="AB35" s="160"/>
      <c r="AC35" s="160"/>
      <c r="AD35" s="160"/>
      <c r="AE35" s="160"/>
      <c r="AF35" s="160"/>
      <c r="AG35" s="160"/>
      <c r="AH35" s="200" t="str">
        <f aca="false">IF(Eingabe!F129&amp;Eingabe!G129="","",Eingabe!F129&amp;"  /  "&amp;Eingabe!G129)</f>
        <v/>
      </c>
      <c r="AI35" s="200"/>
      <c r="AJ35" s="200"/>
      <c r="AK35" s="200"/>
      <c r="AL35" s="200"/>
      <c r="AM35" s="200"/>
      <c r="AN35" s="200"/>
      <c r="AO35" s="200"/>
      <c r="AP35" s="200"/>
      <c r="AQ35" s="200"/>
      <c r="AR35" s="200"/>
      <c r="AS35" s="200"/>
      <c r="AT35" s="200"/>
      <c r="AU35" s="200"/>
      <c r="AV35" s="200"/>
      <c r="AW35" s="200"/>
      <c r="AX35" s="200"/>
      <c r="AY35" s="200"/>
      <c r="AZ35" s="200"/>
      <c r="BA35" s="200"/>
      <c r="BB35" s="200"/>
      <c r="BC35" s="200"/>
      <c r="BD35" s="200"/>
      <c r="BE35" s="201" t="str">
        <f aca="false">IF(Eingabe!I129="","",Eingabe!I129)</f>
        <v/>
      </c>
      <c r="BF35" s="201"/>
      <c r="BG35" s="201"/>
      <c r="BH35" s="201"/>
      <c r="BI35" s="201"/>
      <c r="BJ35" s="202" t="str">
        <f aca="false">IF(Eingabe!I129="","",Eingabe!I129*Eingabe!B129)</f>
        <v/>
      </c>
      <c r="BK35" s="202"/>
      <c r="BL35" s="202"/>
      <c r="BM35" s="202"/>
      <c r="BN35" s="202"/>
      <c r="BO35" s="198"/>
      <c r="BP35" s="198"/>
      <c r="BQ35" s="198"/>
      <c r="BR35" s="198"/>
      <c r="BS35" s="198"/>
      <c r="BT35" s="198"/>
      <c r="BU35" s="198"/>
      <c r="BV35" s="198"/>
      <c r="BW35" s="198"/>
      <c r="BX35" s="198"/>
      <c r="BY35" s="198"/>
      <c r="BZ35" s="198"/>
      <c r="CA35" s="198"/>
      <c r="CB35" s="198"/>
      <c r="CC35" s="198"/>
      <c r="CD35" s="198"/>
      <c r="CE35" s="198"/>
      <c r="CF35" s="198"/>
      <c r="CG35" s="198"/>
      <c r="CH35" s="198"/>
      <c r="CI35" s="198"/>
      <c r="CJ35" s="198"/>
      <c r="CK35" s="198"/>
      <c r="CL35" s="198"/>
      <c r="CM35" s="198"/>
      <c r="CN35" s="198"/>
      <c r="CO35" s="198"/>
      <c r="CP35" s="198"/>
      <c r="CQ35" s="198"/>
      <c r="CR35" s="198"/>
      <c r="CS35" s="198"/>
      <c r="CT35" s="198"/>
      <c r="CU35" s="198"/>
      <c r="CV35" s="198"/>
      <c r="CW35" s="198"/>
      <c r="CX35" s="198"/>
      <c r="CY35" s="198"/>
      <c r="CZ35" s="198"/>
      <c r="DA35" s="198"/>
      <c r="DB35" s="198"/>
      <c r="DC35" s="198"/>
      <c r="DD35" s="198"/>
      <c r="DE35" s="198"/>
      <c r="DF35" s="198"/>
      <c r="DG35" s="198"/>
      <c r="DH35" s="198"/>
      <c r="DI35" s="198"/>
      <c r="DJ35" s="198"/>
      <c r="DK35" s="198"/>
      <c r="DL35" s="198"/>
      <c r="DM35" s="198"/>
      <c r="DN35" s="198"/>
      <c r="DO35" s="198"/>
      <c r="DP35" s="198"/>
      <c r="DQ35" s="198"/>
      <c r="DR35" s="198"/>
      <c r="DS35" s="198"/>
      <c r="DT35" s="198"/>
      <c r="DU35" s="198"/>
      <c r="DV35" s="198"/>
      <c r="DW35" s="198"/>
      <c r="DX35" s="198"/>
      <c r="DY35" s="198"/>
      <c r="DZ35" s="198"/>
      <c r="EA35" s="198"/>
      <c r="EB35" s="198"/>
      <c r="EC35" s="198"/>
      <c r="ED35" s="198"/>
      <c r="EE35" s="198"/>
      <c r="EF35" s="198"/>
      <c r="EG35" s="198"/>
      <c r="EH35" s="198"/>
      <c r="EI35" s="198"/>
      <c r="EJ35" s="198"/>
      <c r="EK35" s="198"/>
      <c r="EL35" s="198"/>
      <c r="EM35" s="198"/>
      <c r="EN35" s="198"/>
      <c r="EO35" s="198"/>
      <c r="EP35" s="198"/>
      <c r="EQ35" s="198"/>
      <c r="ER35" s="198"/>
      <c r="ES35" s="198"/>
      <c r="ET35" s="198"/>
      <c r="EU35" s="198"/>
      <c r="EV35" s="198"/>
      <c r="EW35" s="198"/>
      <c r="EX35" s="198"/>
      <c r="EY35" s="198"/>
      <c r="EZ35" s="198"/>
      <c r="FA35" s="198"/>
      <c r="FB35" s="198"/>
      <c r="FC35" s="198"/>
      <c r="FD35" s="198"/>
      <c r="FE35" s="198"/>
      <c r="FF35" s="198"/>
      <c r="FG35" s="198"/>
      <c r="FH35" s="198"/>
      <c r="FI35" s="198"/>
      <c r="FJ35" s="198"/>
      <c r="FK35" s="198"/>
      <c r="FL35" s="198"/>
      <c r="FM35" s="198"/>
      <c r="FN35" s="198"/>
      <c r="FO35" s="198"/>
      <c r="FP35" s="198"/>
      <c r="FQ35" s="198"/>
      <c r="FR35" s="198"/>
      <c r="FS35" s="198"/>
      <c r="FT35" s="198"/>
      <c r="FU35" s="198"/>
      <c r="FV35" s="198"/>
      <c r="FW35" s="198"/>
      <c r="FX35" s="198"/>
      <c r="FY35" s="198"/>
      <c r="FZ35" s="198"/>
      <c r="GA35" s="198"/>
      <c r="GB35" s="198"/>
      <c r="GC35" s="198"/>
      <c r="GD35" s="198"/>
      <c r="GE35" s="198"/>
      <c r="GF35" s="198"/>
      <c r="GG35" s="198"/>
      <c r="GH35" s="198"/>
      <c r="GI35" s="198"/>
      <c r="GJ35" s="198"/>
      <c r="GK35" s="198"/>
      <c r="GL35" s="198"/>
      <c r="GM35" s="198"/>
      <c r="GN35" s="198"/>
      <c r="GO35" s="198"/>
      <c r="GP35" s="198"/>
      <c r="GQ35" s="198"/>
      <c r="GR35" s="198"/>
      <c r="GS35" s="198"/>
      <c r="GT35" s="198"/>
      <c r="GU35" s="198"/>
      <c r="GV35" s="198"/>
      <c r="GW35" s="198"/>
      <c r="GX35" s="198"/>
      <c r="GY35" s="198"/>
      <c r="GZ35" s="198"/>
      <c r="HA35" s="198"/>
      <c r="HB35" s="198"/>
      <c r="HC35" s="198"/>
      <c r="HD35" s="198"/>
      <c r="HE35" s="198"/>
      <c r="HF35" s="198"/>
      <c r="HG35" s="198"/>
      <c r="HH35" s="198"/>
      <c r="HI35" s="198"/>
      <c r="HJ35" s="198"/>
      <c r="HK35" s="198"/>
      <c r="HL35" s="198"/>
      <c r="HM35" s="198"/>
      <c r="HN35" s="198"/>
      <c r="HO35" s="198"/>
      <c r="HP35" s="198"/>
      <c r="HQ35" s="198"/>
      <c r="HR35" s="198"/>
      <c r="HS35" s="198"/>
      <c r="HT35" s="198"/>
      <c r="HU35" s="198"/>
      <c r="HV35" s="198"/>
      <c r="HW35" s="198"/>
      <c r="HX35" s="198"/>
      <c r="HY35" s="198"/>
      <c r="HZ35" s="198"/>
      <c r="IA35" s="198"/>
      <c r="IB35" s="198"/>
      <c r="IC35" s="198"/>
      <c r="ID35" s="198"/>
      <c r="IE35" s="198"/>
      <c r="IF35" s="198"/>
      <c r="IG35" s="198"/>
      <c r="IH35" s="198"/>
      <c r="II35" s="198"/>
      <c r="IJ35" s="198"/>
      <c r="IK35" s="198"/>
      <c r="IL35" s="198"/>
      <c r="IM35" s="198"/>
      <c r="IN35" s="198"/>
      <c r="IO35" s="198"/>
      <c r="IP35" s="198"/>
      <c r="IQ35" s="198"/>
      <c r="IR35" s="198"/>
      <c r="IS35" s="198"/>
      <c r="IT35" s="198"/>
      <c r="IU35" s="198"/>
      <c r="IV35" s="198"/>
    </row>
    <row r="36" s="199" customFormat="true" ht="12.75" hidden="false" customHeight="true" outlineLevel="0" collapsed="false">
      <c r="A36" s="157" t="str">
        <f aca="false">IF(Eingabe!A130="","",Eingabe!A130)</f>
        <v/>
      </c>
      <c r="B36" s="157"/>
      <c r="C36" s="157"/>
      <c r="D36" s="158" t="str">
        <f aca="false">IF(Eingabe!B130="","",Eingabe!B130)</f>
        <v/>
      </c>
      <c r="E36" s="158"/>
      <c r="F36" s="158"/>
      <c r="G36" s="158"/>
      <c r="H36" s="159" t="str">
        <f aca="false">IF(Eingabe!C130="","",Eingabe!C130)</f>
        <v/>
      </c>
      <c r="I36" s="159"/>
      <c r="J36" s="159"/>
      <c r="K36" s="159"/>
      <c r="L36" s="160" t="str">
        <f aca="false">IF(Eingabe!D130="","",Eingabe!D130)</f>
        <v/>
      </c>
      <c r="M36" s="160"/>
      <c r="N36" s="160"/>
      <c r="O36" s="160"/>
      <c r="P36" s="160"/>
      <c r="Q36" s="160"/>
      <c r="R36" s="160"/>
      <c r="S36" s="160"/>
      <c r="T36" s="160"/>
      <c r="U36" s="160"/>
      <c r="V36" s="160"/>
      <c r="W36" s="160"/>
      <c r="X36" s="160"/>
      <c r="Y36" s="160"/>
      <c r="Z36" s="160"/>
      <c r="AA36" s="160"/>
      <c r="AB36" s="160"/>
      <c r="AC36" s="160"/>
      <c r="AD36" s="160"/>
      <c r="AE36" s="160"/>
      <c r="AF36" s="160"/>
      <c r="AG36" s="160"/>
      <c r="AH36" s="200" t="str">
        <f aca="false">IF(Eingabe!F130&amp;Eingabe!G130="","",Eingabe!F130&amp;"  /  "&amp;Eingabe!G130)</f>
        <v/>
      </c>
      <c r="AI36" s="200"/>
      <c r="AJ36" s="200"/>
      <c r="AK36" s="200"/>
      <c r="AL36" s="200"/>
      <c r="AM36" s="200"/>
      <c r="AN36" s="200"/>
      <c r="AO36" s="200"/>
      <c r="AP36" s="200"/>
      <c r="AQ36" s="200"/>
      <c r="AR36" s="200"/>
      <c r="AS36" s="200"/>
      <c r="AT36" s="200"/>
      <c r="AU36" s="200"/>
      <c r="AV36" s="200"/>
      <c r="AW36" s="200"/>
      <c r="AX36" s="200"/>
      <c r="AY36" s="200"/>
      <c r="AZ36" s="200"/>
      <c r="BA36" s="200"/>
      <c r="BB36" s="200"/>
      <c r="BC36" s="200"/>
      <c r="BD36" s="200"/>
      <c r="BE36" s="201" t="str">
        <f aca="false">IF(Eingabe!I130="","",Eingabe!I130)</f>
        <v/>
      </c>
      <c r="BF36" s="201"/>
      <c r="BG36" s="201"/>
      <c r="BH36" s="201"/>
      <c r="BI36" s="201"/>
      <c r="BJ36" s="202" t="str">
        <f aca="false">IF(Eingabe!I130="","",Eingabe!I130*Eingabe!B130)</f>
        <v/>
      </c>
      <c r="BK36" s="202"/>
      <c r="BL36" s="202"/>
      <c r="BM36" s="202"/>
      <c r="BN36" s="202"/>
      <c r="BO36" s="198"/>
      <c r="BP36" s="198"/>
      <c r="BQ36" s="198"/>
      <c r="BR36" s="198"/>
      <c r="BS36" s="198"/>
      <c r="BT36" s="198"/>
      <c r="BU36" s="198"/>
      <c r="BV36" s="198"/>
      <c r="BW36" s="198"/>
      <c r="BX36" s="198"/>
      <c r="BY36" s="198"/>
      <c r="BZ36" s="198"/>
      <c r="CA36" s="198"/>
      <c r="CB36" s="198"/>
      <c r="CC36" s="198"/>
      <c r="CD36" s="198"/>
      <c r="CE36" s="198"/>
      <c r="CF36" s="198"/>
      <c r="CG36" s="198"/>
      <c r="CH36" s="198"/>
      <c r="CI36" s="198"/>
      <c r="CJ36" s="198"/>
      <c r="CK36" s="198"/>
      <c r="CL36" s="198"/>
      <c r="CM36" s="198"/>
      <c r="CN36" s="198"/>
      <c r="CO36" s="198"/>
      <c r="CP36" s="198"/>
      <c r="CQ36" s="198"/>
      <c r="CR36" s="198"/>
      <c r="CS36" s="198"/>
      <c r="CT36" s="198"/>
      <c r="CU36" s="198"/>
      <c r="CV36" s="198"/>
      <c r="CW36" s="198"/>
      <c r="CX36" s="198"/>
      <c r="CY36" s="198"/>
      <c r="CZ36" s="198"/>
      <c r="DA36" s="198"/>
      <c r="DB36" s="198"/>
      <c r="DC36" s="198"/>
      <c r="DD36" s="198"/>
      <c r="DE36" s="198"/>
      <c r="DF36" s="198"/>
      <c r="DG36" s="198"/>
      <c r="DH36" s="198"/>
      <c r="DI36" s="198"/>
      <c r="DJ36" s="198"/>
      <c r="DK36" s="198"/>
      <c r="DL36" s="198"/>
      <c r="DM36" s="198"/>
      <c r="DN36" s="198"/>
      <c r="DO36" s="198"/>
      <c r="DP36" s="198"/>
      <c r="DQ36" s="198"/>
      <c r="DR36" s="198"/>
      <c r="DS36" s="198"/>
      <c r="DT36" s="198"/>
      <c r="DU36" s="198"/>
      <c r="DV36" s="198"/>
      <c r="DW36" s="198"/>
      <c r="DX36" s="198"/>
      <c r="DY36" s="198"/>
      <c r="DZ36" s="198"/>
      <c r="EA36" s="198"/>
      <c r="EB36" s="198"/>
      <c r="EC36" s="198"/>
      <c r="ED36" s="198"/>
      <c r="EE36" s="198"/>
      <c r="EF36" s="198"/>
      <c r="EG36" s="198"/>
      <c r="EH36" s="198"/>
      <c r="EI36" s="198"/>
      <c r="EJ36" s="198"/>
      <c r="EK36" s="198"/>
      <c r="EL36" s="198"/>
      <c r="EM36" s="198"/>
      <c r="EN36" s="198"/>
      <c r="EO36" s="198"/>
      <c r="EP36" s="198"/>
      <c r="EQ36" s="198"/>
      <c r="ER36" s="198"/>
      <c r="ES36" s="198"/>
      <c r="ET36" s="198"/>
      <c r="EU36" s="198"/>
      <c r="EV36" s="198"/>
      <c r="EW36" s="198"/>
      <c r="EX36" s="198"/>
      <c r="EY36" s="198"/>
      <c r="EZ36" s="198"/>
      <c r="FA36" s="198"/>
      <c r="FB36" s="198"/>
      <c r="FC36" s="198"/>
      <c r="FD36" s="198"/>
      <c r="FE36" s="198"/>
      <c r="FF36" s="198"/>
      <c r="FG36" s="198"/>
      <c r="FH36" s="198"/>
      <c r="FI36" s="198"/>
      <c r="FJ36" s="198"/>
      <c r="FK36" s="198"/>
      <c r="FL36" s="198"/>
      <c r="FM36" s="198"/>
      <c r="FN36" s="198"/>
      <c r="FO36" s="198"/>
      <c r="FP36" s="198"/>
      <c r="FQ36" s="198"/>
      <c r="FR36" s="198"/>
      <c r="FS36" s="198"/>
      <c r="FT36" s="198"/>
      <c r="FU36" s="198"/>
      <c r="FV36" s="198"/>
      <c r="FW36" s="198"/>
      <c r="FX36" s="198"/>
      <c r="FY36" s="198"/>
      <c r="FZ36" s="198"/>
      <c r="GA36" s="198"/>
      <c r="GB36" s="198"/>
      <c r="GC36" s="198"/>
      <c r="GD36" s="198"/>
      <c r="GE36" s="198"/>
      <c r="GF36" s="198"/>
      <c r="GG36" s="198"/>
      <c r="GH36" s="198"/>
      <c r="GI36" s="198"/>
      <c r="GJ36" s="198"/>
      <c r="GK36" s="198"/>
      <c r="GL36" s="198"/>
      <c r="GM36" s="198"/>
      <c r="GN36" s="198"/>
      <c r="GO36" s="198"/>
      <c r="GP36" s="198"/>
      <c r="GQ36" s="198"/>
      <c r="GR36" s="198"/>
      <c r="GS36" s="198"/>
      <c r="GT36" s="198"/>
      <c r="GU36" s="198"/>
      <c r="GV36" s="198"/>
      <c r="GW36" s="198"/>
      <c r="GX36" s="198"/>
      <c r="GY36" s="198"/>
      <c r="GZ36" s="198"/>
      <c r="HA36" s="198"/>
      <c r="HB36" s="198"/>
      <c r="HC36" s="198"/>
      <c r="HD36" s="198"/>
      <c r="HE36" s="198"/>
      <c r="HF36" s="198"/>
      <c r="HG36" s="198"/>
      <c r="HH36" s="198"/>
      <c r="HI36" s="198"/>
      <c r="HJ36" s="198"/>
      <c r="HK36" s="198"/>
      <c r="HL36" s="198"/>
      <c r="HM36" s="198"/>
      <c r="HN36" s="198"/>
      <c r="HO36" s="198"/>
      <c r="HP36" s="198"/>
      <c r="HQ36" s="198"/>
      <c r="HR36" s="198"/>
      <c r="HS36" s="198"/>
      <c r="HT36" s="198"/>
      <c r="HU36" s="198"/>
      <c r="HV36" s="198"/>
      <c r="HW36" s="198"/>
      <c r="HX36" s="198"/>
      <c r="HY36" s="198"/>
      <c r="HZ36" s="198"/>
      <c r="IA36" s="198"/>
      <c r="IB36" s="198"/>
      <c r="IC36" s="198"/>
      <c r="ID36" s="198"/>
      <c r="IE36" s="198"/>
      <c r="IF36" s="198"/>
      <c r="IG36" s="198"/>
      <c r="IH36" s="198"/>
      <c r="II36" s="198"/>
      <c r="IJ36" s="198"/>
      <c r="IK36" s="198"/>
      <c r="IL36" s="198"/>
      <c r="IM36" s="198"/>
      <c r="IN36" s="198"/>
      <c r="IO36" s="198"/>
      <c r="IP36" s="198"/>
      <c r="IQ36" s="198"/>
      <c r="IR36" s="198"/>
      <c r="IS36" s="198"/>
      <c r="IT36" s="198"/>
      <c r="IU36" s="198"/>
      <c r="IV36" s="198"/>
    </row>
    <row r="37" s="199" customFormat="true" ht="12.75" hidden="false" customHeight="true" outlineLevel="0" collapsed="false">
      <c r="A37" s="157" t="str">
        <f aca="false">IF(Eingabe!A131="","",Eingabe!A131)</f>
        <v/>
      </c>
      <c r="B37" s="157"/>
      <c r="C37" s="157"/>
      <c r="D37" s="158" t="str">
        <f aca="false">IF(Eingabe!B131="","",Eingabe!B131)</f>
        <v/>
      </c>
      <c r="E37" s="158"/>
      <c r="F37" s="158"/>
      <c r="G37" s="158"/>
      <c r="H37" s="159" t="str">
        <f aca="false">IF(Eingabe!C131="","",Eingabe!C131)</f>
        <v/>
      </c>
      <c r="I37" s="159"/>
      <c r="J37" s="159"/>
      <c r="K37" s="159"/>
      <c r="L37" s="160" t="str">
        <f aca="false">IF(Eingabe!D131="","",Eingabe!D131)</f>
        <v/>
      </c>
      <c r="M37" s="160"/>
      <c r="N37" s="160"/>
      <c r="O37" s="160"/>
      <c r="P37" s="160"/>
      <c r="Q37" s="160"/>
      <c r="R37" s="160"/>
      <c r="S37" s="160"/>
      <c r="T37" s="160"/>
      <c r="U37" s="160"/>
      <c r="V37" s="160"/>
      <c r="W37" s="160"/>
      <c r="X37" s="160"/>
      <c r="Y37" s="160"/>
      <c r="Z37" s="160"/>
      <c r="AA37" s="160"/>
      <c r="AB37" s="160"/>
      <c r="AC37" s="160"/>
      <c r="AD37" s="160"/>
      <c r="AE37" s="160"/>
      <c r="AF37" s="160"/>
      <c r="AG37" s="160"/>
      <c r="AH37" s="200" t="str">
        <f aca="false">IF(Eingabe!F131&amp;Eingabe!G131="","",Eingabe!F131&amp;"  /  "&amp;Eingabe!G131)</f>
        <v/>
      </c>
      <c r="AI37" s="200"/>
      <c r="AJ37" s="200"/>
      <c r="AK37" s="200"/>
      <c r="AL37" s="200"/>
      <c r="AM37" s="200"/>
      <c r="AN37" s="200"/>
      <c r="AO37" s="200"/>
      <c r="AP37" s="200"/>
      <c r="AQ37" s="200"/>
      <c r="AR37" s="200"/>
      <c r="AS37" s="200"/>
      <c r="AT37" s="200"/>
      <c r="AU37" s="200"/>
      <c r="AV37" s="200"/>
      <c r="AW37" s="200"/>
      <c r="AX37" s="200"/>
      <c r="AY37" s="200"/>
      <c r="AZ37" s="200"/>
      <c r="BA37" s="200"/>
      <c r="BB37" s="200"/>
      <c r="BC37" s="200"/>
      <c r="BD37" s="200"/>
      <c r="BE37" s="201" t="str">
        <f aca="false">IF(Eingabe!I131="","",Eingabe!I131)</f>
        <v/>
      </c>
      <c r="BF37" s="201"/>
      <c r="BG37" s="201"/>
      <c r="BH37" s="201"/>
      <c r="BI37" s="201"/>
      <c r="BJ37" s="202" t="str">
        <f aca="false">IF(Eingabe!I131="","",Eingabe!I131*Eingabe!B131)</f>
        <v/>
      </c>
      <c r="BK37" s="202"/>
      <c r="BL37" s="202"/>
      <c r="BM37" s="202"/>
      <c r="BN37" s="202"/>
      <c r="BO37" s="198"/>
      <c r="BP37" s="198"/>
      <c r="BQ37" s="198"/>
      <c r="BR37" s="198"/>
      <c r="BS37" s="198"/>
      <c r="BT37" s="198"/>
      <c r="BU37" s="198"/>
      <c r="BV37" s="198"/>
      <c r="BW37" s="198"/>
      <c r="BX37" s="198"/>
      <c r="BY37" s="198"/>
      <c r="BZ37" s="198"/>
      <c r="CA37" s="198"/>
      <c r="CB37" s="198"/>
      <c r="CC37" s="198"/>
      <c r="CD37" s="198"/>
      <c r="CE37" s="198"/>
      <c r="CF37" s="198"/>
      <c r="CG37" s="198"/>
      <c r="CH37" s="198"/>
      <c r="CI37" s="198"/>
      <c r="CJ37" s="198"/>
      <c r="CK37" s="198"/>
      <c r="CL37" s="198"/>
      <c r="CM37" s="198"/>
      <c r="CN37" s="198"/>
      <c r="CO37" s="198"/>
      <c r="CP37" s="198"/>
      <c r="CQ37" s="198"/>
      <c r="CR37" s="198"/>
      <c r="CS37" s="198"/>
      <c r="CT37" s="198"/>
      <c r="CU37" s="198"/>
      <c r="CV37" s="198"/>
      <c r="CW37" s="198"/>
      <c r="CX37" s="198"/>
      <c r="CY37" s="198"/>
      <c r="CZ37" s="198"/>
      <c r="DA37" s="198"/>
      <c r="DB37" s="198"/>
      <c r="DC37" s="198"/>
      <c r="DD37" s="198"/>
      <c r="DE37" s="198"/>
      <c r="DF37" s="198"/>
      <c r="DG37" s="198"/>
      <c r="DH37" s="198"/>
      <c r="DI37" s="198"/>
      <c r="DJ37" s="198"/>
      <c r="DK37" s="198"/>
      <c r="DL37" s="198"/>
      <c r="DM37" s="198"/>
      <c r="DN37" s="198"/>
      <c r="DO37" s="198"/>
      <c r="DP37" s="198"/>
      <c r="DQ37" s="198"/>
      <c r="DR37" s="198"/>
      <c r="DS37" s="198"/>
      <c r="DT37" s="198"/>
      <c r="DU37" s="198"/>
      <c r="DV37" s="198"/>
      <c r="DW37" s="198"/>
      <c r="DX37" s="198"/>
      <c r="DY37" s="198"/>
      <c r="DZ37" s="198"/>
      <c r="EA37" s="198"/>
      <c r="EB37" s="198"/>
      <c r="EC37" s="198"/>
      <c r="ED37" s="198"/>
      <c r="EE37" s="198"/>
      <c r="EF37" s="198"/>
      <c r="EG37" s="198"/>
      <c r="EH37" s="198"/>
      <c r="EI37" s="198"/>
      <c r="EJ37" s="198"/>
      <c r="EK37" s="198"/>
      <c r="EL37" s="198"/>
      <c r="EM37" s="198"/>
      <c r="EN37" s="198"/>
      <c r="EO37" s="198"/>
      <c r="EP37" s="198"/>
      <c r="EQ37" s="198"/>
      <c r="ER37" s="198"/>
      <c r="ES37" s="198"/>
      <c r="ET37" s="198"/>
      <c r="EU37" s="198"/>
      <c r="EV37" s="198"/>
      <c r="EW37" s="198"/>
      <c r="EX37" s="198"/>
      <c r="EY37" s="198"/>
      <c r="EZ37" s="198"/>
      <c r="FA37" s="198"/>
      <c r="FB37" s="198"/>
      <c r="FC37" s="198"/>
      <c r="FD37" s="198"/>
      <c r="FE37" s="198"/>
      <c r="FF37" s="198"/>
      <c r="FG37" s="198"/>
      <c r="FH37" s="198"/>
      <c r="FI37" s="198"/>
      <c r="FJ37" s="198"/>
      <c r="FK37" s="198"/>
      <c r="FL37" s="198"/>
      <c r="FM37" s="198"/>
      <c r="FN37" s="198"/>
      <c r="FO37" s="198"/>
      <c r="FP37" s="198"/>
      <c r="FQ37" s="198"/>
      <c r="FR37" s="198"/>
      <c r="FS37" s="198"/>
      <c r="FT37" s="198"/>
      <c r="FU37" s="198"/>
      <c r="FV37" s="198"/>
      <c r="FW37" s="198"/>
      <c r="FX37" s="198"/>
      <c r="FY37" s="198"/>
      <c r="FZ37" s="198"/>
      <c r="GA37" s="198"/>
      <c r="GB37" s="198"/>
      <c r="GC37" s="198"/>
      <c r="GD37" s="198"/>
      <c r="GE37" s="198"/>
      <c r="GF37" s="198"/>
      <c r="GG37" s="198"/>
      <c r="GH37" s="198"/>
      <c r="GI37" s="198"/>
      <c r="GJ37" s="198"/>
      <c r="GK37" s="198"/>
      <c r="GL37" s="198"/>
      <c r="GM37" s="198"/>
      <c r="GN37" s="198"/>
      <c r="GO37" s="198"/>
      <c r="GP37" s="198"/>
      <c r="GQ37" s="198"/>
      <c r="GR37" s="198"/>
      <c r="GS37" s="198"/>
      <c r="GT37" s="198"/>
      <c r="GU37" s="198"/>
      <c r="GV37" s="198"/>
      <c r="GW37" s="198"/>
      <c r="GX37" s="198"/>
      <c r="GY37" s="198"/>
      <c r="GZ37" s="198"/>
      <c r="HA37" s="198"/>
      <c r="HB37" s="198"/>
      <c r="HC37" s="198"/>
      <c r="HD37" s="198"/>
      <c r="HE37" s="198"/>
      <c r="HF37" s="198"/>
      <c r="HG37" s="198"/>
      <c r="HH37" s="198"/>
      <c r="HI37" s="198"/>
      <c r="HJ37" s="198"/>
      <c r="HK37" s="198"/>
      <c r="HL37" s="198"/>
      <c r="HM37" s="198"/>
      <c r="HN37" s="198"/>
      <c r="HO37" s="198"/>
      <c r="HP37" s="198"/>
      <c r="HQ37" s="198"/>
      <c r="HR37" s="198"/>
      <c r="HS37" s="198"/>
      <c r="HT37" s="198"/>
      <c r="HU37" s="198"/>
      <c r="HV37" s="198"/>
      <c r="HW37" s="198"/>
      <c r="HX37" s="198"/>
      <c r="HY37" s="198"/>
      <c r="HZ37" s="198"/>
      <c r="IA37" s="198"/>
      <c r="IB37" s="198"/>
      <c r="IC37" s="198"/>
      <c r="ID37" s="198"/>
      <c r="IE37" s="198"/>
      <c r="IF37" s="198"/>
      <c r="IG37" s="198"/>
      <c r="IH37" s="198"/>
      <c r="II37" s="198"/>
      <c r="IJ37" s="198"/>
      <c r="IK37" s="198"/>
      <c r="IL37" s="198"/>
      <c r="IM37" s="198"/>
      <c r="IN37" s="198"/>
      <c r="IO37" s="198"/>
      <c r="IP37" s="198"/>
      <c r="IQ37" s="198"/>
      <c r="IR37" s="198"/>
      <c r="IS37" s="198"/>
      <c r="IT37" s="198"/>
      <c r="IU37" s="198"/>
      <c r="IV37" s="198"/>
    </row>
    <row r="38" s="199" customFormat="true" ht="12.75" hidden="false" customHeight="true" outlineLevel="0" collapsed="false">
      <c r="A38" s="157" t="str">
        <f aca="false">IF(Eingabe!A132="","",Eingabe!A132)</f>
        <v/>
      </c>
      <c r="B38" s="157"/>
      <c r="C38" s="157"/>
      <c r="D38" s="158" t="str">
        <f aca="false">IF(Eingabe!B132="","",Eingabe!B132)</f>
        <v/>
      </c>
      <c r="E38" s="158"/>
      <c r="F38" s="158"/>
      <c r="G38" s="158"/>
      <c r="H38" s="159" t="str">
        <f aca="false">IF(Eingabe!C132="","",Eingabe!C132)</f>
        <v/>
      </c>
      <c r="I38" s="159"/>
      <c r="J38" s="159"/>
      <c r="K38" s="159"/>
      <c r="L38" s="160" t="str">
        <f aca="false">IF(Eingabe!D132="","",Eingabe!D132)</f>
        <v/>
      </c>
      <c r="M38" s="160"/>
      <c r="N38" s="160"/>
      <c r="O38" s="160"/>
      <c r="P38" s="160"/>
      <c r="Q38" s="160"/>
      <c r="R38" s="160"/>
      <c r="S38" s="160"/>
      <c r="T38" s="160"/>
      <c r="U38" s="160"/>
      <c r="V38" s="160"/>
      <c r="W38" s="160"/>
      <c r="X38" s="160"/>
      <c r="Y38" s="160"/>
      <c r="Z38" s="160"/>
      <c r="AA38" s="160"/>
      <c r="AB38" s="160"/>
      <c r="AC38" s="160"/>
      <c r="AD38" s="160"/>
      <c r="AE38" s="160"/>
      <c r="AF38" s="160"/>
      <c r="AG38" s="160"/>
      <c r="AH38" s="200" t="str">
        <f aca="false">IF(Eingabe!F132&amp;Eingabe!G132="","",Eingabe!F132&amp;"  /  "&amp;Eingabe!G132)</f>
        <v/>
      </c>
      <c r="AI38" s="200"/>
      <c r="AJ38" s="200"/>
      <c r="AK38" s="200"/>
      <c r="AL38" s="200"/>
      <c r="AM38" s="200"/>
      <c r="AN38" s="200"/>
      <c r="AO38" s="200"/>
      <c r="AP38" s="200"/>
      <c r="AQ38" s="200"/>
      <c r="AR38" s="200"/>
      <c r="AS38" s="200"/>
      <c r="AT38" s="200"/>
      <c r="AU38" s="200"/>
      <c r="AV38" s="200"/>
      <c r="AW38" s="200"/>
      <c r="AX38" s="200"/>
      <c r="AY38" s="200"/>
      <c r="AZ38" s="200"/>
      <c r="BA38" s="200"/>
      <c r="BB38" s="200"/>
      <c r="BC38" s="200"/>
      <c r="BD38" s="200"/>
      <c r="BE38" s="201" t="str">
        <f aca="false">IF(Eingabe!I132="","",Eingabe!I132)</f>
        <v/>
      </c>
      <c r="BF38" s="201"/>
      <c r="BG38" s="201"/>
      <c r="BH38" s="201"/>
      <c r="BI38" s="201"/>
      <c r="BJ38" s="202" t="str">
        <f aca="false">IF(Eingabe!I132="","",Eingabe!I132*Eingabe!B132)</f>
        <v/>
      </c>
      <c r="BK38" s="202"/>
      <c r="BL38" s="202"/>
      <c r="BM38" s="202"/>
      <c r="BN38" s="202"/>
      <c r="BO38" s="198"/>
      <c r="BP38" s="198"/>
      <c r="BQ38" s="198"/>
      <c r="BR38" s="198"/>
      <c r="BS38" s="198"/>
      <c r="BT38" s="198"/>
      <c r="BU38" s="198"/>
      <c r="BV38" s="198"/>
      <c r="BW38" s="198"/>
      <c r="BX38" s="198"/>
      <c r="BY38" s="198"/>
      <c r="BZ38" s="198"/>
      <c r="CA38" s="198"/>
      <c r="CB38" s="198"/>
      <c r="CC38" s="198"/>
      <c r="CD38" s="198"/>
      <c r="CE38" s="198"/>
      <c r="CF38" s="198"/>
      <c r="CG38" s="198"/>
      <c r="CH38" s="198"/>
      <c r="CI38" s="198"/>
      <c r="CJ38" s="198"/>
      <c r="CK38" s="198"/>
      <c r="CL38" s="198"/>
      <c r="CM38" s="198"/>
      <c r="CN38" s="198"/>
      <c r="CO38" s="198"/>
      <c r="CP38" s="198"/>
      <c r="CQ38" s="198"/>
      <c r="CR38" s="198"/>
      <c r="CS38" s="198"/>
      <c r="CT38" s="198"/>
      <c r="CU38" s="198"/>
      <c r="CV38" s="198"/>
      <c r="CW38" s="198"/>
      <c r="CX38" s="198"/>
      <c r="CY38" s="198"/>
      <c r="CZ38" s="198"/>
      <c r="DA38" s="198"/>
      <c r="DB38" s="198"/>
      <c r="DC38" s="198"/>
      <c r="DD38" s="198"/>
      <c r="DE38" s="198"/>
      <c r="DF38" s="198"/>
      <c r="DG38" s="198"/>
      <c r="DH38" s="198"/>
      <c r="DI38" s="198"/>
      <c r="DJ38" s="198"/>
      <c r="DK38" s="198"/>
      <c r="DL38" s="198"/>
      <c r="DM38" s="198"/>
      <c r="DN38" s="198"/>
      <c r="DO38" s="198"/>
      <c r="DP38" s="198"/>
      <c r="DQ38" s="198"/>
      <c r="DR38" s="198"/>
      <c r="DS38" s="198"/>
      <c r="DT38" s="198"/>
      <c r="DU38" s="198"/>
      <c r="DV38" s="198"/>
      <c r="DW38" s="198"/>
      <c r="DX38" s="198"/>
      <c r="DY38" s="198"/>
      <c r="DZ38" s="198"/>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8"/>
      <c r="FG38" s="198"/>
      <c r="FH38" s="198"/>
      <c r="FI38" s="198"/>
      <c r="FJ38" s="198"/>
      <c r="FK38" s="198"/>
      <c r="FL38" s="198"/>
      <c r="FM38" s="198"/>
      <c r="FN38" s="198"/>
      <c r="FO38" s="198"/>
      <c r="FP38" s="198"/>
      <c r="FQ38" s="198"/>
      <c r="FR38" s="198"/>
      <c r="FS38" s="198"/>
      <c r="FT38" s="198"/>
      <c r="FU38" s="198"/>
      <c r="FV38" s="198"/>
      <c r="FW38" s="198"/>
      <c r="FX38" s="198"/>
      <c r="FY38" s="198"/>
      <c r="FZ38" s="198"/>
      <c r="GA38" s="198"/>
      <c r="GB38" s="198"/>
      <c r="GC38" s="198"/>
      <c r="GD38" s="198"/>
      <c r="GE38" s="198"/>
      <c r="GF38" s="198"/>
      <c r="GG38" s="198"/>
      <c r="GH38" s="198"/>
      <c r="GI38" s="198"/>
      <c r="GJ38" s="198"/>
      <c r="GK38" s="198"/>
      <c r="GL38" s="198"/>
      <c r="GM38" s="198"/>
      <c r="GN38" s="198"/>
      <c r="GO38" s="198"/>
      <c r="GP38" s="198"/>
      <c r="GQ38" s="198"/>
      <c r="GR38" s="198"/>
      <c r="GS38" s="198"/>
      <c r="GT38" s="198"/>
      <c r="GU38" s="198"/>
      <c r="GV38" s="198"/>
      <c r="GW38" s="198"/>
      <c r="GX38" s="198"/>
      <c r="GY38" s="198"/>
      <c r="GZ38" s="198"/>
      <c r="HA38" s="198"/>
      <c r="HB38" s="198"/>
      <c r="HC38" s="198"/>
      <c r="HD38" s="198"/>
      <c r="HE38" s="198"/>
      <c r="HF38" s="198"/>
      <c r="HG38" s="198"/>
      <c r="HH38" s="198"/>
      <c r="HI38" s="198"/>
      <c r="HJ38" s="198"/>
      <c r="HK38" s="198"/>
      <c r="HL38" s="198"/>
      <c r="HM38" s="198"/>
      <c r="HN38" s="198"/>
      <c r="HO38" s="198"/>
      <c r="HP38" s="198"/>
      <c r="HQ38" s="198"/>
      <c r="HR38" s="198"/>
      <c r="HS38" s="198"/>
      <c r="HT38" s="198"/>
      <c r="HU38" s="198"/>
      <c r="HV38" s="198"/>
      <c r="HW38" s="198"/>
      <c r="HX38" s="198"/>
      <c r="HY38" s="198"/>
      <c r="HZ38" s="198"/>
      <c r="IA38" s="198"/>
      <c r="IB38" s="198"/>
      <c r="IC38" s="198"/>
      <c r="ID38" s="198"/>
      <c r="IE38" s="198"/>
      <c r="IF38" s="198"/>
      <c r="IG38" s="198"/>
      <c r="IH38" s="198"/>
      <c r="II38" s="198"/>
      <c r="IJ38" s="198"/>
      <c r="IK38" s="198"/>
      <c r="IL38" s="198"/>
      <c r="IM38" s="198"/>
      <c r="IN38" s="198"/>
      <c r="IO38" s="198"/>
      <c r="IP38" s="198"/>
      <c r="IQ38" s="198"/>
      <c r="IR38" s="198"/>
      <c r="IS38" s="198"/>
      <c r="IT38" s="198"/>
      <c r="IU38" s="198"/>
      <c r="IV38" s="198"/>
    </row>
    <row r="39" s="199" customFormat="true" ht="12.75" hidden="false" customHeight="true" outlineLevel="0" collapsed="false">
      <c r="A39" s="157" t="str">
        <f aca="false">IF(Eingabe!A133="","",Eingabe!A133)</f>
        <v/>
      </c>
      <c r="B39" s="157"/>
      <c r="C39" s="157"/>
      <c r="D39" s="158" t="str">
        <f aca="false">IF(Eingabe!B133="","",Eingabe!B133)</f>
        <v/>
      </c>
      <c r="E39" s="158"/>
      <c r="F39" s="158"/>
      <c r="G39" s="158"/>
      <c r="H39" s="159" t="str">
        <f aca="false">IF(Eingabe!C133="","",Eingabe!C133)</f>
        <v/>
      </c>
      <c r="I39" s="159"/>
      <c r="J39" s="159"/>
      <c r="K39" s="159"/>
      <c r="L39" s="160" t="str">
        <f aca="false">IF(Eingabe!D133="","",Eingabe!D133)</f>
        <v/>
      </c>
      <c r="M39" s="160"/>
      <c r="N39" s="160"/>
      <c r="O39" s="160"/>
      <c r="P39" s="160"/>
      <c r="Q39" s="160"/>
      <c r="R39" s="160"/>
      <c r="S39" s="160"/>
      <c r="T39" s="160"/>
      <c r="U39" s="160"/>
      <c r="V39" s="160"/>
      <c r="W39" s="160"/>
      <c r="X39" s="160"/>
      <c r="Y39" s="160"/>
      <c r="Z39" s="160"/>
      <c r="AA39" s="160"/>
      <c r="AB39" s="160"/>
      <c r="AC39" s="160"/>
      <c r="AD39" s="160"/>
      <c r="AE39" s="160"/>
      <c r="AF39" s="160"/>
      <c r="AG39" s="160"/>
      <c r="AH39" s="200" t="str">
        <f aca="false">IF(Eingabe!F133&amp;Eingabe!G133="","",Eingabe!F133&amp;"  /  "&amp;Eingabe!G133)</f>
        <v/>
      </c>
      <c r="AI39" s="200"/>
      <c r="AJ39" s="200"/>
      <c r="AK39" s="200"/>
      <c r="AL39" s="200"/>
      <c r="AM39" s="200"/>
      <c r="AN39" s="200"/>
      <c r="AO39" s="200"/>
      <c r="AP39" s="200"/>
      <c r="AQ39" s="200"/>
      <c r="AR39" s="200"/>
      <c r="AS39" s="200"/>
      <c r="AT39" s="200"/>
      <c r="AU39" s="200"/>
      <c r="AV39" s="200"/>
      <c r="AW39" s="200"/>
      <c r="AX39" s="200"/>
      <c r="AY39" s="200"/>
      <c r="AZ39" s="200"/>
      <c r="BA39" s="200"/>
      <c r="BB39" s="200"/>
      <c r="BC39" s="200"/>
      <c r="BD39" s="200"/>
      <c r="BE39" s="201" t="str">
        <f aca="false">IF(Eingabe!I133="","",Eingabe!I133)</f>
        <v/>
      </c>
      <c r="BF39" s="201"/>
      <c r="BG39" s="201"/>
      <c r="BH39" s="201"/>
      <c r="BI39" s="201"/>
      <c r="BJ39" s="202" t="str">
        <f aca="false">IF(Eingabe!I133="","",Eingabe!I133*Eingabe!B133)</f>
        <v/>
      </c>
      <c r="BK39" s="202"/>
      <c r="BL39" s="202"/>
      <c r="BM39" s="202"/>
      <c r="BN39" s="202"/>
      <c r="BO39" s="198"/>
      <c r="BP39" s="198"/>
      <c r="BQ39" s="198"/>
      <c r="BR39" s="198"/>
      <c r="BS39" s="198"/>
      <c r="BT39" s="198"/>
      <c r="BU39" s="198"/>
      <c r="BV39" s="198"/>
      <c r="BW39" s="198"/>
      <c r="BX39" s="198"/>
      <c r="BY39" s="198"/>
      <c r="BZ39" s="198"/>
      <c r="CA39" s="198"/>
      <c r="CB39" s="198"/>
      <c r="CC39" s="198"/>
      <c r="CD39" s="198"/>
      <c r="CE39" s="198"/>
      <c r="CF39" s="198"/>
      <c r="CG39" s="198"/>
      <c r="CH39" s="198"/>
      <c r="CI39" s="198"/>
      <c r="CJ39" s="198"/>
      <c r="CK39" s="198"/>
      <c r="CL39" s="198"/>
      <c r="CM39" s="198"/>
      <c r="CN39" s="198"/>
      <c r="CO39" s="198"/>
      <c r="CP39" s="198"/>
      <c r="CQ39" s="198"/>
      <c r="CR39" s="198"/>
      <c r="CS39" s="198"/>
      <c r="CT39" s="198"/>
      <c r="CU39" s="198"/>
      <c r="CV39" s="198"/>
      <c r="CW39" s="198"/>
      <c r="CX39" s="198"/>
      <c r="CY39" s="198"/>
      <c r="CZ39" s="198"/>
      <c r="DA39" s="198"/>
      <c r="DB39" s="198"/>
      <c r="DC39" s="198"/>
      <c r="DD39" s="198"/>
      <c r="DE39" s="198"/>
      <c r="DF39" s="198"/>
      <c r="DG39" s="198"/>
      <c r="DH39" s="198"/>
      <c r="DI39" s="198"/>
      <c r="DJ39" s="198"/>
      <c r="DK39" s="198"/>
      <c r="DL39" s="198"/>
      <c r="DM39" s="198"/>
      <c r="DN39" s="198"/>
      <c r="DO39" s="198"/>
      <c r="DP39" s="198"/>
      <c r="DQ39" s="198"/>
      <c r="DR39" s="198"/>
      <c r="DS39" s="198"/>
      <c r="DT39" s="198"/>
      <c r="DU39" s="198"/>
      <c r="DV39" s="198"/>
      <c r="DW39" s="198"/>
      <c r="DX39" s="198"/>
      <c r="DY39" s="198"/>
      <c r="DZ39" s="198"/>
      <c r="EA39" s="198"/>
      <c r="EB39" s="198"/>
      <c r="EC39" s="198"/>
      <c r="ED39" s="198"/>
      <c r="EE39" s="198"/>
      <c r="EF39" s="198"/>
      <c r="EG39" s="198"/>
      <c r="EH39" s="198"/>
      <c r="EI39" s="198"/>
      <c r="EJ39" s="198"/>
      <c r="EK39" s="198"/>
      <c r="EL39" s="198"/>
      <c r="EM39" s="198"/>
      <c r="EN39" s="198"/>
      <c r="EO39" s="198"/>
      <c r="EP39" s="198"/>
      <c r="EQ39" s="198"/>
      <c r="ER39" s="198"/>
      <c r="ES39" s="198"/>
      <c r="ET39" s="198"/>
      <c r="EU39" s="198"/>
      <c r="EV39" s="198"/>
      <c r="EW39" s="198"/>
      <c r="EX39" s="198"/>
      <c r="EY39" s="198"/>
      <c r="EZ39" s="198"/>
      <c r="FA39" s="198"/>
      <c r="FB39" s="198"/>
      <c r="FC39" s="198"/>
      <c r="FD39" s="198"/>
      <c r="FE39" s="198"/>
      <c r="FF39" s="198"/>
      <c r="FG39" s="198"/>
      <c r="FH39" s="198"/>
      <c r="FI39" s="198"/>
      <c r="FJ39" s="198"/>
      <c r="FK39" s="198"/>
      <c r="FL39" s="198"/>
      <c r="FM39" s="198"/>
      <c r="FN39" s="198"/>
      <c r="FO39" s="198"/>
      <c r="FP39" s="198"/>
      <c r="FQ39" s="198"/>
      <c r="FR39" s="198"/>
      <c r="FS39" s="198"/>
      <c r="FT39" s="198"/>
      <c r="FU39" s="198"/>
      <c r="FV39" s="198"/>
      <c r="FW39" s="198"/>
      <c r="FX39" s="198"/>
      <c r="FY39" s="198"/>
      <c r="FZ39" s="198"/>
      <c r="GA39" s="198"/>
      <c r="GB39" s="198"/>
      <c r="GC39" s="198"/>
      <c r="GD39" s="198"/>
      <c r="GE39" s="198"/>
      <c r="GF39" s="198"/>
      <c r="GG39" s="198"/>
      <c r="GH39" s="198"/>
      <c r="GI39" s="198"/>
      <c r="GJ39" s="198"/>
      <c r="GK39" s="198"/>
      <c r="GL39" s="198"/>
      <c r="GM39" s="198"/>
      <c r="GN39" s="198"/>
      <c r="GO39" s="198"/>
      <c r="GP39" s="198"/>
      <c r="GQ39" s="198"/>
      <c r="GR39" s="198"/>
      <c r="GS39" s="198"/>
      <c r="GT39" s="198"/>
      <c r="GU39" s="198"/>
      <c r="GV39" s="198"/>
      <c r="GW39" s="198"/>
      <c r="GX39" s="198"/>
      <c r="GY39" s="198"/>
      <c r="GZ39" s="198"/>
      <c r="HA39" s="198"/>
      <c r="HB39" s="198"/>
      <c r="HC39" s="198"/>
      <c r="HD39" s="198"/>
      <c r="HE39" s="198"/>
      <c r="HF39" s="198"/>
      <c r="HG39" s="198"/>
      <c r="HH39" s="198"/>
      <c r="HI39" s="198"/>
      <c r="HJ39" s="198"/>
      <c r="HK39" s="198"/>
      <c r="HL39" s="198"/>
      <c r="HM39" s="198"/>
      <c r="HN39" s="198"/>
      <c r="HO39" s="198"/>
      <c r="HP39" s="198"/>
      <c r="HQ39" s="198"/>
      <c r="HR39" s="198"/>
      <c r="HS39" s="198"/>
      <c r="HT39" s="198"/>
      <c r="HU39" s="198"/>
      <c r="HV39" s="198"/>
      <c r="HW39" s="198"/>
      <c r="HX39" s="198"/>
      <c r="HY39" s="198"/>
      <c r="HZ39" s="198"/>
      <c r="IA39" s="198"/>
      <c r="IB39" s="198"/>
      <c r="IC39" s="198"/>
      <c r="ID39" s="198"/>
      <c r="IE39" s="198"/>
      <c r="IF39" s="198"/>
      <c r="IG39" s="198"/>
      <c r="IH39" s="198"/>
      <c r="II39" s="198"/>
      <c r="IJ39" s="198"/>
      <c r="IK39" s="198"/>
      <c r="IL39" s="198"/>
      <c r="IM39" s="198"/>
      <c r="IN39" s="198"/>
      <c r="IO39" s="198"/>
      <c r="IP39" s="198"/>
      <c r="IQ39" s="198"/>
      <c r="IR39" s="198"/>
      <c r="IS39" s="198"/>
      <c r="IT39" s="198"/>
      <c r="IU39" s="198"/>
      <c r="IV39" s="198"/>
    </row>
    <row r="40" s="199" customFormat="true" ht="12.75" hidden="false" customHeight="true" outlineLevel="0" collapsed="false">
      <c r="A40" s="157" t="str">
        <f aca="false">IF(Eingabe!A134="","",Eingabe!A134)</f>
        <v/>
      </c>
      <c r="B40" s="157"/>
      <c r="C40" s="157"/>
      <c r="D40" s="158" t="str">
        <f aca="false">IF(Eingabe!B134="","",Eingabe!B134)</f>
        <v/>
      </c>
      <c r="E40" s="158"/>
      <c r="F40" s="158"/>
      <c r="G40" s="158"/>
      <c r="H40" s="159" t="str">
        <f aca="false">IF(Eingabe!C134="","",Eingabe!C134)</f>
        <v/>
      </c>
      <c r="I40" s="159"/>
      <c r="J40" s="159"/>
      <c r="K40" s="159"/>
      <c r="L40" s="160" t="str">
        <f aca="false">IF(Eingabe!D134="","",Eingabe!D134)</f>
        <v/>
      </c>
      <c r="M40" s="160"/>
      <c r="N40" s="160"/>
      <c r="O40" s="160"/>
      <c r="P40" s="160"/>
      <c r="Q40" s="160"/>
      <c r="R40" s="160"/>
      <c r="S40" s="160"/>
      <c r="T40" s="160"/>
      <c r="U40" s="160"/>
      <c r="V40" s="160"/>
      <c r="W40" s="160"/>
      <c r="X40" s="160"/>
      <c r="Y40" s="160"/>
      <c r="Z40" s="160"/>
      <c r="AA40" s="160"/>
      <c r="AB40" s="160"/>
      <c r="AC40" s="160"/>
      <c r="AD40" s="160"/>
      <c r="AE40" s="160"/>
      <c r="AF40" s="160"/>
      <c r="AG40" s="160"/>
      <c r="AH40" s="200" t="str">
        <f aca="false">IF(Eingabe!F134&amp;Eingabe!G134="","",Eingabe!F134&amp;"  /  "&amp;Eingabe!G134)</f>
        <v/>
      </c>
      <c r="AI40" s="200"/>
      <c r="AJ40" s="200"/>
      <c r="AK40" s="200"/>
      <c r="AL40" s="200"/>
      <c r="AM40" s="200"/>
      <c r="AN40" s="200"/>
      <c r="AO40" s="200"/>
      <c r="AP40" s="200"/>
      <c r="AQ40" s="200"/>
      <c r="AR40" s="200"/>
      <c r="AS40" s="200"/>
      <c r="AT40" s="200"/>
      <c r="AU40" s="200"/>
      <c r="AV40" s="200"/>
      <c r="AW40" s="200"/>
      <c r="AX40" s="200"/>
      <c r="AY40" s="200"/>
      <c r="AZ40" s="200"/>
      <c r="BA40" s="200"/>
      <c r="BB40" s="200"/>
      <c r="BC40" s="200"/>
      <c r="BD40" s="200"/>
      <c r="BE40" s="201" t="str">
        <f aca="false">IF(Eingabe!I134="","",Eingabe!I134)</f>
        <v/>
      </c>
      <c r="BF40" s="201"/>
      <c r="BG40" s="201"/>
      <c r="BH40" s="201"/>
      <c r="BI40" s="201"/>
      <c r="BJ40" s="202" t="str">
        <f aca="false">IF(Eingabe!I134="","",Eingabe!I134*Eingabe!B134)</f>
        <v/>
      </c>
      <c r="BK40" s="202"/>
      <c r="BL40" s="202"/>
      <c r="BM40" s="202"/>
      <c r="BN40" s="202"/>
      <c r="BO40" s="198"/>
      <c r="BP40" s="198"/>
      <c r="BQ40" s="198"/>
      <c r="BR40" s="198"/>
      <c r="BS40" s="198"/>
      <c r="BT40" s="198"/>
      <c r="BU40" s="198"/>
      <c r="BV40" s="198"/>
      <c r="BW40" s="198"/>
      <c r="BX40" s="198"/>
      <c r="BY40" s="198"/>
      <c r="BZ40" s="198"/>
      <c r="CA40" s="198"/>
      <c r="CB40" s="198"/>
      <c r="CC40" s="198"/>
      <c r="CD40" s="198"/>
      <c r="CE40" s="198"/>
      <c r="CF40" s="198"/>
      <c r="CG40" s="198"/>
      <c r="CH40" s="198"/>
      <c r="CI40" s="198"/>
      <c r="CJ40" s="198"/>
      <c r="CK40" s="198"/>
      <c r="CL40" s="198"/>
      <c r="CM40" s="198"/>
      <c r="CN40" s="198"/>
      <c r="CO40" s="198"/>
      <c r="CP40" s="198"/>
      <c r="CQ40" s="198"/>
      <c r="CR40" s="198"/>
      <c r="CS40" s="198"/>
      <c r="CT40" s="198"/>
      <c r="CU40" s="198"/>
      <c r="CV40" s="198"/>
      <c r="CW40" s="198"/>
      <c r="CX40" s="198"/>
      <c r="CY40" s="198"/>
      <c r="CZ40" s="198"/>
      <c r="DA40" s="198"/>
      <c r="DB40" s="198"/>
      <c r="DC40" s="198"/>
      <c r="DD40" s="198"/>
      <c r="DE40" s="198"/>
      <c r="DF40" s="198"/>
      <c r="DG40" s="198"/>
      <c r="DH40" s="198"/>
      <c r="DI40" s="198"/>
      <c r="DJ40" s="198"/>
      <c r="DK40" s="198"/>
      <c r="DL40" s="198"/>
      <c r="DM40" s="198"/>
      <c r="DN40" s="198"/>
      <c r="DO40" s="198"/>
      <c r="DP40" s="198"/>
      <c r="DQ40" s="198"/>
      <c r="DR40" s="198"/>
      <c r="DS40" s="198"/>
      <c r="DT40" s="198"/>
      <c r="DU40" s="198"/>
      <c r="DV40" s="198"/>
      <c r="DW40" s="198"/>
      <c r="DX40" s="198"/>
      <c r="DY40" s="198"/>
      <c r="DZ40" s="198"/>
      <c r="EA40" s="198"/>
      <c r="EB40" s="198"/>
      <c r="EC40" s="198"/>
      <c r="ED40" s="198"/>
      <c r="EE40" s="198"/>
      <c r="EF40" s="198"/>
      <c r="EG40" s="198"/>
      <c r="EH40" s="198"/>
      <c r="EI40" s="198"/>
      <c r="EJ40" s="198"/>
      <c r="EK40" s="198"/>
      <c r="EL40" s="198"/>
      <c r="EM40" s="198"/>
      <c r="EN40" s="198"/>
      <c r="EO40" s="198"/>
      <c r="EP40" s="198"/>
      <c r="EQ40" s="198"/>
      <c r="ER40" s="198"/>
      <c r="ES40" s="198"/>
      <c r="ET40" s="198"/>
      <c r="EU40" s="198"/>
      <c r="EV40" s="198"/>
      <c r="EW40" s="198"/>
      <c r="EX40" s="198"/>
      <c r="EY40" s="198"/>
      <c r="EZ40" s="198"/>
      <c r="FA40" s="198"/>
      <c r="FB40" s="198"/>
      <c r="FC40" s="198"/>
      <c r="FD40" s="198"/>
      <c r="FE40" s="198"/>
      <c r="FF40" s="198"/>
      <c r="FG40" s="198"/>
      <c r="FH40" s="198"/>
      <c r="FI40" s="198"/>
      <c r="FJ40" s="198"/>
      <c r="FK40" s="198"/>
      <c r="FL40" s="198"/>
      <c r="FM40" s="198"/>
      <c r="FN40" s="198"/>
      <c r="FO40" s="198"/>
      <c r="FP40" s="198"/>
      <c r="FQ40" s="198"/>
      <c r="FR40" s="198"/>
      <c r="FS40" s="198"/>
      <c r="FT40" s="198"/>
      <c r="FU40" s="198"/>
      <c r="FV40" s="198"/>
      <c r="FW40" s="198"/>
      <c r="FX40" s="198"/>
      <c r="FY40" s="198"/>
      <c r="FZ40" s="198"/>
      <c r="GA40" s="198"/>
      <c r="GB40" s="198"/>
      <c r="GC40" s="198"/>
      <c r="GD40" s="198"/>
      <c r="GE40" s="198"/>
      <c r="GF40" s="198"/>
      <c r="GG40" s="198"/>
      <c r="GH40" s="198"/>
      <c r="GI40" s="198"/>
      <c r="GJ40" s="198"/>
      <c r="GK40" s="198"/>
      <c r="GL40" s="198"/>
      <c r="GM40" s="198"/>
      <c r="GN40" s="198"/>
      <c r="GO40" s="198"/>
      <c r="GP40" s="198"/>
      <c r="GQ40" s="198"/>
      <c r="GR40" s="198"/>
      <c r="GS40" s="198"/>
      <c r="GT40" s="198"/>
      <c r="GU40" s="198"/>
      <c r="GV40" s="198"/>
      <c r="GW40" s="198"/>
      <c r="GX40" s="198"/>
      <c r="GY40" s="198"/>
      <c r="GZ40" s="198"/>
      <c r="HA40" s="198"/>
      <c r="HB40" s="198"/>
      <c r="HC40" s="198"/>
      <c r="HD40" s="198"/>
      <c r="HE40" s="198"/>
      <c r="HF40" s="198"/>
      <c r="HG40" s="198"/>
      <c r="HH40" s="198"/>
      <c r="HI40" s="198"/>
      <c r="HJ40" s="198"/>
      <c r="HK40" s="198"/>
      <c r="HL40" s="198"/>
      <c r="HM40" s="198"/>
      <c r="HN40" s="198"/>
      <c r="HO40" s="198"/>
      <c r="HP40" s="198"/>
      <c r="HQ40" s="198"/>
      <c r="HR40" s="198"/>
      <c r="HS40" s="198"/>
      <c r="HT40" s="198"/>
      <c r="HU40" s="198"/>
      <c r="HV40" s="198"/>
      <c r="HW40" s="198"/>
      <c r="HX40" s="198"/>
      <c r="HY40" s="198"/>
      <c r="HZ40" s="198"/>
      <c r="IA40" s="198"/>
      <c r="IB40" s="198"/>
      <c r="IC40" s="198"/>
      <c r="ID40" s="198"/>
      <c r="IE40" s="198"/>
      <c r="IF40" s="198"/>
      <c r="IG40" s="198"/>
      <c r="IH40" s="198"/>
      <c r="II40" s="198"/>
      <c r="IJ40" s="198"/>
      <c r="IK40" s="198"/>
      <c r="IL40" s="198"/>
      <c r="IM40" s="198"/>
      <c r="IN40" s="198"/>
      <c r="IO40" s="198"/>
      <c r="IP40" s="198"/>
      <c r="IQ40" s="198"/>
      <c r="IR40" s="198"/>
      <c r="IS40" s="198"/>
      <c r="IT40" s="198"/>
      <c r="IU40" s="198"/>
      <c r="IV40" s="198"/>
    </row>
    <row r="41" s="199" customFormat="true" ht="12.75" hidden="false" customHeight="true" outlineLevel="0" collapsed="false">
      <c r="A41" s="157" t="str">
        <f aca="false">IF(Eingabe!A135="","",Eingabe!A135)</f>
        <v/>
      </c>
      <c r="B41" s="157"/>
      <c r="C41" s="157"/>
      <c r="D41" s="158" t="str">
        <f aca="false">IF(Eingabe!B135="","",Eingabe!B135)</f>
        <v/>
      </c>
      <c r="E41" s="158"/>
      <c r="F41" s="158"/>
      <c r="G41" s="158"/>
      <c r="H41" s="159" t="str">
        <f aca="false">IF(Eingabe!C135="","",Eingabe!C135)</f>
        <v/>
      </c>
      <c r="I41" s="159"/>
      <c r="J41" s="159"/>
      <c r="K41" s="159"/>
      <c r="L41" s="160" t="str">
        <f aca="false">IF(Eingabe!D135="","",Eingabe!D135)</f>
        <v/>
      </c>
      <c r="M41" s="160"/>
      <c r="N41" s="160"/>
      <c r="O41" s="160"/>
      <c r="P41" s="160"/>
      <c r="Q41" s="160"/>
      <c r="R41" s="160"/>
      <c r="S41" s="160"/>
      <c r="T41" s="160"/>
      <c r="U41" s="160"/>
      <c r="V41" s="160"/>
      <c r="W41" s="160"/>
      <c r="X41" s="160"/>
      <c r="Y41" s="160"/>
      <c r="Z41" s="160"/>
      <c r="AA41" s="160"/>
      <c r="AB41" s="160"/>
      <c r="AC41" s="160"/>
      <c r="AD41" s="160"/>
      <c r="AE41" s="160"/>
      <c r="AF41" s="160"/>
      <c r="AG41" s="160"/>
      <c r="AH41" s="200" t="str">
        <f aca="false">IF(Eingabe!F135&amp;Eingabe!G135="","",Eingabe!F135&amp;"  /  "&amp;Eingabe!G135)</f>
        <v/>
      </c>
      <c r="AI41" s="200"/>
      <c r="AJ41" s="200"/>
      <c r="AK41" s="200"/>
      <c r="AL41" s="200"/>
      <c r="AM41" s="200"/>
      <c r="AN41" s="200"/>
      <c r="AO41" s="200"/>
      <c r="AP41" s="200"/>
      <c r="AQ41" s="200"/>
      <c r="AR41" s="200"/>
      <c r="AS41" s="200"/>
      <c r="AT41" s="200"/>
      <c r="AU41" s="200"/>
      <c r="AV41" s="200"/>
      <c r="AW41" s="200"/>
      <c r="AX41" s="200"/>
      <c r="AY41" s="200"/>
      <c r="AZ41" s="200"/>
      <c r="BA41" s="200"/>
      <c r="BB41" s="200"/>
      <c r="BC41" s="200"/>
      <c r="BD41" s="200"/>
      <c r="BE41" s="201" t="str">
        <f aca="false">IF(Eingabe!I135="","",Eingabe!I135)</f>
        <v/>
      </c>
      <c r="BF41" s="201"/>
      <c r="BG41" s="201"/>
      <c r="BH41" s="201"/>
      <c r="BI41" s="201"/>
      <c r="BJ41" s="202" t="str">
        <f aca="false">IF(Eingabe!I135="","",Eingabe!I135*Eingabe!B135)</f>
        <v/>
      </c>
      <c r="BK41" s="202"/>
      <c r="BL41" s="202"/>
      <c r="BM41" s="202"/>
      <c r="BN41" s="202"/>
      <c r="BO41" s="198"/>
      <c r="BP41" s="198"/>
      <c r="BQ41" s="198"/>
      <c r="BR41" s="198"/>
      <c r="BS41" s="198"/>
      <c r="BT41" s="198"/>
      <c r="BU41" s="198"/>
      <c r="BV41" s="198"/>
      <c r="BW41" s="198"/>
      <c r="BX41" s="198"/>
      <c r="BY41" s="198"/>
      <c r="BZ41" s="198"/>
      <c r="CA41" s="198"/>
      <c r="CB41" s="198"/>
      <c r="CC41" s="198"/>
      <c r="CD41" s="198"/>
      <c r="CE41" s="198"/>
      <c r="CF41" s="198"/>
      <c r="CG41" s="198"/>
      <c r="CH41" s="198"/>
      <c r="CI41" s="198"/>
      <c r="CJ41" s="198"/>
      <c r="CK41" s="198"/>
      <c r="CL41" s="198"/>
      <c r="CM41" s="198"/>
      <c r="CN41" s="198"/>
      <c r="CO41" s="198"/>
      <c r="CP41" s="198"/>
      <c r="CQ41" s="198"/>
      <c r="CR41" s="198"/>
      <c r="CS41" s="198"/>
      <c r="CT41" s="198"/>
      <c r="CU41" s="198"/>
      <c r="CV41" s="198"/>
      <c r="CW41" s="198"/>
      <c r="CX41" s="198"/>
      <c r="CY41" s="198"/>
      <c r="CZ41" s="198"/>
      <c r="DA41" s="198"/>
      <c r="DB41" s="198"/>
      <c r="DC41" s="198"/>
      <c r="DD41" s="198"/>
      <c r="DE41" s="198"/>
      <c r="DF41" s="198"/>
      <c r="DG41" s="198"/>
      <c r="DH41" s="198"/>
      <c r="DI41" s="198"/>
      <c r="DJ41" s="198"/>
      <c r="DK41" s="198"/>
      <c r="DL41" s="198"/>
      <c r="DM41" s="198"/>
      <c r="DN41" s="198"/>
      <c r="DO41" s="198"/>
      <c r="DP41" s="198"/>
      <c r="DQ41" s="198"/>
      <c r="DR41" s="198"/>
      <c r="DS41" s="198"/>
      <c r="DT41" s="198"/>
      <c r="DU41" s="198"/>
      <c r="DV41" s="198"/>
      <c r="DW41" s="198"/>
      <c r="DX41" s="198"/>
      <c r="DY41" s="198"/>
      <c r="DZ41" s="198"/>
      <c r="EA41" s="198"/>
      <c r="EB41" s="198"/>
      <c r="EC41" s="198"/>
      <c r="ED41" s="198"/>
      <c r="EE41" s="198"/>
      <c r="EF41" s="198"/>
      <c r="EG41" s="198"/>
      <c r="EH41" s="198"/>
      <c r="EI41" s="198"/>
      <c r="EJ41" s="198"/>
      <c r="EK41" s="198"/>
      <c r="EL41" s="198"/>
      <c r="EM41" s="198"/>
      <c r="EN41" s="198"/>
      <c r="EO41" s="198"/>
      <c r="EP41" s="198"/>
      <c r="EQ41" s="198"/>
      <c r="ER41" s="198"/>
      <c r="ES41" s="198"/>
      <c r="ET41" s="198"/>
      <c r="EU41" s="198"/>
      <c r="EV41" s="198"/>
      <c r="EW41" s="198"/>
      <c r="EX41" s="198"/>
      <c r="EY41" s="198"/>
      <c r="EZ41" s="198"/>
      <c r="FA41" s="198"/>
      <c r="FB41" s="198"/>
      <c r="FC41" s="198"/>
      <c r="FD41" s="198"/>
      <c r="FE41" s="198"/>
      <c r="FF41" s="198"/>
      <c r="FG41" s="198"/>
      <c r="FH41" s="198"/>
      <c r="FI41" s="198"/>
      <c r="FJ41" s="198"/>
      <c r="FK41" s="198"/>
      <c r="FL41" s="198"/>
      <c r="FM41" s="198"/>
      <c r="FN41" s="198"/>
      <c r="FO41" s="198"/>
      <c r="FP41" s="198"/>
      <c r="FQ41" s="198"/>
      <c r="FR41" s="198"/>
      <c r="FS41" s="198"/>
      <c r="FT41" s="198"/>
      <c r="FU41" s="198"/>
      <c r="FV41" s="198"/>
      <c r="FW41" s="198"/>
      <c r="FX41" s="198"/>
      <c r="FY41" s="198"/>
      <c r="FZ41" s="198"/>
      <c r="GA41" s="198"/>
      <c r="GB41" s="198"/>
      <c r="GC41" s="198"/>
      <c r="GD41" s="198"/>
      <c r="GE41" s="198"/>
      <c r="GF41" s="198"/>
      <c r="GG41" s="198"/>
      <c r="GH41" s="198"/>
      <c r="GI41" s="198"/>
      <c r="GJ41" s="198"/>
      <c r="GK41" s="198"/>
      <c r="GL41" s="198"/>
      <c r="GM41" s="198"/>
      <c r="GN41" s="198"/>
      <c r="GO41" s="198"/>
      <c r="GP41" s="198"/>
      <c r="GQ41" s="198"/>
      <c r="GR41" s="198"/>
      <c r="GS41" s="198"/>
      <c r="GT41" s="198"/>
      <c r="GU41" s="198"/>
      <c r="GV41" s="198"/>
      <c r="GW41" s="198"/>
      <c r="GX41" s="198"/>
      <c r="GY41" s="198"/>
      <c r="GZ41" s="198"/>
      <c r="HA41" s="198"/>
      <c r="HB41" s="198"/>
      <c r="HC41" s="198"/>
      <c r="HD41" s="198"/>
      <c r="HE41" s="198"/>
      <c r="HF41" s="198"/>
      <c r="HG41" s="198"/>
      <c r="HH41" s="198"/>
      <c r="HI41" s="198"/>
      <c r="HJ41" s="198"/>
      <c r="HK41" s="198"/>
      <c r="HL41" s="198"/>
      <c r="HM41" s="198"/>
      <c r="HN41" s="198"/>
      <c r="HO41" s="198"/>
      <c r="HP41" s="198"/>
      <c r="HQ41" s="198"/>
      <c r="HR41" s="198"/>
      <c r="HS41" s="198"/>
      <c r="HT41" s="198"/>
      <c r="HU41" s="198"/>
      <c r="HV41" s="198"/>
      <c r="HW41" s="198"/>
      <c r="HX41" s="198"/>
      <c r="HY41" s="198"/>
      <c r="HZ41" s="198"/>
      <c r="IA41" s="198"/>
      <c r="IB41" s="198"/>
      <c r="IC41" s="198"/>
      <c r="ID41" s="198"/>
      <c r="IE41" s="198"/>
      <c r="IF41" s="198"/>
      <c r="IG41" s="198"/>
      <c r="IH41" s="198"/>
      <c r="II41" s="198"/>
      <c r="IJ41" s="198"/>
      <c r="IK41" s="198"/>
      <c r="IL41" s="198"/>
      <c r="IM41" s="198"/>
      <c r="IN41" s="198"/>
      <c r="IO41" s="198"/>
      <c r="IP41" s="198"/>
      <c r="IQ41" s="198"/>
      <c r="IR41" s="198"/>
      <c r="IS41" s="198"/>
      <c r="IT41" s="198"/>
      <c r="IU41" s="198"/>
      <c r="IV41" s="198"/>
    </row>
    <row r="42" s="199" customFormat="true" ht="12.75" hidden="false" customHeight="true" outlineLevel="0" collapsed="false">
      <c r="A42" s="157" t="str">
        <f aca="false">IF(Eingabe!A136="","",Eingabe!A136)</f>
        <v/>
      </c>
      <c r="B42" s="157"/>
      <c r="C42" s="157"/>
      <c r="D42" s="158" t="str">
        <f aca="false">IF(Eingabe!B136="","",Eingabe!B136)</f>
        <v/>
      </c>
      <c r="E42" s="158"/>
      <c r="F42" s="158"/>
      <c r="G42" s="158"/>
      <c r="H42" s="159" t="str">
        <f aca="false">IF(Eingabe!C136="","",Eingabe!C136)</f>
        <v/>
      </c>
      <c r="I42" s="159"/>
      <c r="J42" s="159"/>
      <c r="K42" s="159"/>
      <c r="L42" s="160" t="str">
        <f aca="false">IF(Eingabe!D136="","",Eingabe!D136)</f>
        <v/>
      </c>
      <c r="M42" s="160"/>
      <c r="N42" s="160"/>
      <c r="O42" s="160"/>
      <c r="P42" s="160"/>
      <c r="Q42" s="160"/>
      <c r="R42" s="160"/>
      <c r="S42" s="160"/>
      <c r="T42" s="160"/>
      <c r="U42" s="160"/>
      <c r="V42" s="160"/>
      <c r="W42" s="160"/>
      <c r="X42" s="160"/>
      <c r="Y42" s="160"/>
      <c r="Z42" s="160"/>
      <c r="AA42" s="160"/>
      <c r="AB42" s="160"/>
      <c r="AC42" s="160"/>
      <c r="AD42" s="160"/>
      <c r="AE42" s="160"/>
      <c r="AF42" s="160"/>
      <c r="AG42" s="160"/>
      <c r="AH42" s="200" t="str">
        <f aca="false">IF(Eingabe!F136&amp;Eingabe!G136="","",Eingabe!F136&amp;"  /  "&amp;Eingabe!G136)</f>
        <v/>
      </c>
      <c r="AI42" s="200"/>
      <c r="AJ42" s="200"/>
      <c r="AK42" s="200"/>
      <c r="AL42" s="200"/>
      <c r="AM42" s="200"/>
      <c r="AN42" s="200"/>
      <c r="AO42" s="200"/>
      <c r="AP42" s="200"/>
      <c r="AQ42" s="200"/>
      <c r="AR42" s="200"/>
      <c r="AS42" s="200"/>
      <c r="AT42" s="200"/>
      <c r="AU42" s="200"/>
      <c r="AV42" s="200"/>
      <c r="AW42" s="200"/>
      <c r="AX42" s="200"/>
      <c r="AY42" s="200"/>
      <c r="AZ42" s="200"/>
      <c r="BA42" s="200"/>
      <c r="BB42" s="200"/>
      <c r="BC42" s="200"/>
      <c r="BD42" s="200"/>
      <c r="BE42" s="201" t="str">
        <f aca="false">IF(Eingabe!I136="","",Eingabe!I136)</f>
        <v/>
      </c>
      <c r="BF42" s="201"/>
      <c r="BG42" s="201"/>
      <c r="BH42" s="201"/>
      <c r="BI42" s="201"/>
      <c r="BJ42" s="202" t="str">
        <f aca="false">IF(Eingabe!I136="","",Eingabe!I136*Eingabe!B136)</f>
        <v/>
      </c>
      <c r="BK42" s="202"/>
      <c r="BL42" s="202"/>
      <c r="BM42" s="202"/>
      <c r="BN42" s="202"/>
      <c r="BO42" s="198"/>
      <c r="BP42" s="198"/>
      <c r="BQ42" s="198"/>
      <c r="BR42" s="198"/>
      <c r="BS42" s="198"/>
      <c r="BT42" s="198"/>
      <c r="BU42" s="198"/>
      <c r="BV42" s="198"/>
      <c r="BW42" s="198"/>
      <c r="BX42" s="198"/>
      <c r="BY42" s="198"/>
      <c r="BZ42" s="198"/>
      <c r="CA42" s="198"/>
      <c r="CB42" s="198"/>
      <c r="CC42" s="198"/>
      <c r="CD42" s="198"/>
      <c r="CE42" s="198"/>
      <c r="CF42" s="198"/>
      <c r="CG42" s="198"/>
      <c r="CH42" s="198"/>
      <c r="CI42" s="198"/>
      <c r="CJ42" s="198"/>
      <c r="CK42" s="198"/>
      <c r="CL42" s="198"/>
      <c r="CM42" s="198"/>
      <c r="CN42" s="198"/>
      <c r="CO42" s="198"/>
      <c r="CP42" s="198"/>
      <c r="CQ42" s="198"/>
      <c r="CR42" s="198"/>
      <c r="CS42" s="198"/>
      <c r="CT42" s="198"/>
      <c r="CU42" s="198"/>
      <c r="CV42" s="198"/>
      <c r="CW42" s="198"/>
      <c r="CX42" s="198"/>
      <c r="CY42" s="198"/>
      <c r="CZ42" s="198"/>
      <c r="DA42" s="198"/>
      <c r="DB42" s="198"/>
      <c r="DC42" s="198"/>
      <c r="DD42" s="198"/>
      <c r="DE42" s="198"/>
      <c r="DF42" s="198"/>
      <c r="DG42" s="198"/>
      <c r="DH42" s="198"/>
      <c r="DI42" s="198"/>
      <c r="DJ42" s="198"/>
      <c r="DK42" s="198"/>
      <c r="DL42" s="198"/>
      <c r="DM42" s="198"/>
      <c r="DN42" s="198"/>
      <c r="DO42" s="198"/>
      <c r="DP42" s="198"/>
      <c r="DQ42" s="198"/>
      <c r="DR42" s="198"/>
      <c r="DS42" s="198"/>
      <c r="DT42" s="198"/>
      <c r="DU42" s="198"/>
      <c r="DV42" s="198"/>
      <c r="DW42" s="198"/>
      <c r="DX42" s="198"/>
      <c r="DY42" s="198"/>
      <c r="DZ42" s="198"/>
      <c r="EA42" s="198"/>
      <c r="EB42" s="198"/>
      <c r="EC42" s="198"/>
      <c r="ED42" s="198"/>
      <c r="EE42" s="198"/>
      <c r="EF42" s="198"/>
      <c r="EG42" s="198"/>
      <c r="EH42" s="198"/>
      <c r="EI42" s="198"/>
      <c r="EJ42" s="198"/>
      <c r="EK42" s="198"/>
      <c r="EL42" s="198"/>
      <c r="EM42" s="198"/>
      <c r="EN42" s="198"/>
      <c r="EO42" s="198"/>
      <c r="EP42" s="198"/>
      <c r="EQ42" s="198"/>
      <c r="ER42" s="198"/>
      <c r="ES42" s="198"/>
      <c r="ET42" s="198"/>
      <c r="EU42" s="198"/>
      <c r="EV42" s="198"/>
      <c r="EW42" s="198"/>
      <c r="EX42" s="198"/>
      <c r="EY42" s="198"/>
      <c r="EZ42" s="198"/>
      <c r="FA42" s="198"/>
      <c r="FB42" s="198"/>
      <c r="FC42" s="198"/>
      <c r="FD42" s="198"/>
      <c r="FE42" s="198"/>
      <c r="FF42" s="198"/>
      <c r="FG42" s="198"/>
      <c r="FH42" s="198"/>
      <c r="FI42" s="198"/>
      <c r="FJ42" s="198"/>
      <c r="FK42" s="198"/>
      <c r="FL42" s="198"/>
      <c r="FM42" s="198"/>
      <c r="FN42" s="198"/>
      <c r="FO42" s="198"/>
      <c r="FP42" s="198"/>
      <c r="FQ42" s="198"/>
      <c r="FR42" s="198"/>
      <c r="FS42" s="198"/>
      <c r="FT42" s="198"/>
      <c r="FU42" s="198"/>
      <c r="FV42" s="198"/>
      <c r="FW42" s="198"/>
      <c r="FX42" s="198"/>
      <c r="FY42" s="198"/>
      <c r="FZ42" s="198"/>
      <c r="GA42" s="198"/>
      <c r="GB42" s="198"/>
      <c r="GC42" s="198"/>
      <c r="GD42" s="198"/>
      <c r="GE42" s="198"/>
      <c r="GF42" s="198"/>
      <c r="GG42" s="198"/>
      <c r="GH42" s="198"/>
      <c r="GI42" s="198"/>
      <c r="GJ42" s="198"/>
      <c r="GK42" s="198"/>
      <c r="GL42" s="198"/>
      <c r="GM42" s="198"/>
      <c r="GN42" s="198"/>
      <c r="GO42" s="198"/>
      <c r="GP42" s="198"/>
      <c r="GQ42" s="198"/>
      <c r="GR42" s="198"/>
      <c r="GS42" s="198"/>
      <c r="GT42" s="198"/>
      <c r="GU42" s="198"/>
      <c r="GV42" s="198"/>
      <c r="GW42" s="198"/>
      <c r="GX42" s="198"/>
      <c r="GY42" s="198"/>
      <c r="GZ42" s="198"/>
      <c r="HA42" s="198"/>
      <c r="HB42" s="198"/>
      <c r="HC42" s="198"/>
      <c r="HD42" s="198"/>
      <c r="HE42" s="198"/>
      <c r="HF42" s="198"/>
      <c r="HG42" s="198"/>
      <c r="HH42" s="198"/>
      <c r="HI42" s="198"/>
      <c r="HJ42" s="198"/>
      <c r="HK42" s="198"/>
      <c r="HL42" s="198"/>
      <c r="HM42" s="198"/>
      <c r="HN42" s="198"/>
      <c r="HO42" s="198"/>
      <c r="HP42" s="198"/>
      <c r="HQ42" s="198"/>
      <c r="HR42" s="198"/>
      <c r="HS42" s="198"/>
      <c r="HT42" s="198"/>
      <c r="HU42" s="198"/>
      <c r="HV42" s="198"/>
      <c r="HW42" s="198"/>
      <c r="HX42" s="198"/>
      <c r="HY42" s="198"/>
      <c r="HZ42" s="198"/>
      <c r="IA42" s="198"/>
      <c r="IB42" s="198"/>
      <c r="IC42" s="198"/>
      <c r="ID42" s="198"/>
      <c r="IE42" s="198"/>
      <c r="IF42" s="198"/>
      <c r="IG42" s="198"/>
      <c r="IH42" s="198"/>
      <c r="II42" s="198"/>
      <c r="IJ42" s="198"/>
      <c r="IK42" s="198"/>
      <c r="IL42" s="198"/>
      <c r="IM42" s="198"/>
      <c r="IN42" s="198"/>
      <c r="IO42" s="198"/>
      <c r="IP42" s="198"/>
      <c r="IQ42" s="198"/>
      <c r="IR42" s="198"/>
      <c r="IS42" s="198"/>
      <c r="IT42" s="198"/>
      <c r="IU42" s="198"/>
      <c r="IV42" s="198"/>
    </row>
    <row r="43" s="199" customFormat="true" ht="12.75" hidden="false" customHeight="true" outlineLevel="0" collapsed="false">
      <c r="A43" s="157" t="str">
        <f aca="false">IF(Eingabe!A137="","",Eingabe!A137)</f>
        <v/>
      </c>
      <c r="B43" s="157"/>
      <c r="C43" s="157"/>
      <c r="D43" s="158" t="str">
        <f aca="false">IF(Eingabe!B137="","",Eingabe!B137)</f>
        <v/>
      </c>
      <c r="E43" s="158"/>
      <c r="F43" s="158"/>
      <c r="G43" s="158"/>
      <c r="H43" s="159" t="str">
        <f aca="false">IF(Eingabe!C137="","",Eingabe!C137)</f>
        <v/>
      </c>
      <c r="I43" s="159"/>
      <c r="J43" s="159"/>
      <c r="K43" s="159"/>
      <c r="L43" s="160" t="str">
        <f aca="false">IF(Eingabe!D137="","",Eingabe!D137)</f>
        <v/>
      </c>
      <c r="M43" s="160"/>
      <c r="N43" s="160"/>
      <c r="O43" s="160"/>
      <c r="P43" s="160"/>
      <c r="Q43" s="160"/>
      <c r="R43" s="160"/>
      <c r="S43" s="160"/>
      <c r="T43" s="160"/>
      <c r="U43" s="160"/>
      <c r="V43" s="160"/>
      <c r="W43" s="160"/>
      <c r="X43" s="160"/>
      <c r="Y43" s="160"/>
      <c r="Z43" s="160"/>
      <c r="AA43" s="160"/>
      <c r="AB43" s="160"/>
      <c r="AC43" s="160"/>
      <c r="AD43" s="160"/>
      <c r="AE43" s="160"/>
      <c r="AF43" s="160"/>
      <c r="AG43" s="160"/>
      <c r="AH43" s="200" t="str">
        <f aca="false">IF(Eingabe!F137&amp;Eingabe!G137="","",Eingabe!F137&amp;"  /  "&amp;Eingabe!G137)</f>
        <v/>
      </c>
      <c r="AI43" s="200"/>
      <c r="AJ43" s="200"/>
      <c r="AK43" s="200"/>
      <c r="AL43" s="200"/>
      <c r="AM43" s="200"/>
      <c r="AN43" s="200"/>
      <c r="AO43" s="200"/>
      <c r="AP43" s="200"/>
      <c r="AQ43" s="200"/>
      <c r="AR43" s="200"/>
      <c r="AS43" s="200"/>
      <c r="AT43" s="200"/>
      <c r="AU43" s="200"/>
      <c r="AV43" s="200"/>
      <c r="AW43" s="200"/>
      <c r="AX43" s="200"/>
      <c r="AY43" s="200"/>
      <c r="AZ43" s="200"/>
      <c r="BA43" s="200"/>
      <c r="BB43" s="200"/>
      <c r="BC43" s="200"/>
      <c r="BD43" s="200"/>
      <c r="BE43" s="201" t="str">
        <f aca="false">IF(Eingabe!I137="","",Eingabe!I137)</f>
        <v/>
      </c>
      <c r="BF43" s="201"/>
      <c r="BG43" s="201"/>
      <c r="BH43" s="201"/>
      <c r="BI43" s="201"/>
      <c r="BJ43" s="202" t="str">
        <f aca="false">IF(Eingabe!I137="","",Eingabe!I137*Eingabe!B137)</f>
        <v/>
      </c>
      <c r="BK43" s="202"/>
      <c r="BL43" s="202"/>
      <c r="BM43" s="202"/>
      <c r="BN43" s="202"/>
      <c r="BO43" s="198"/>
      <c r="BP43" s="198"/>
      <c r="BQ43" s="198"/>
      <c r="BR43" s="198"/>
      <c r="BS43" s="198"/>
      <c r="BT43" s="198"/>
      <c r="BU43" s="198"/>
      <c r="BV43" s="198"/>
      <c r="BW43" s="198"/>
      <c r="BX43" s="198"/>
      <c r="BY43" s="198"/>
      <c r="BZ43" s="198"/>
      <c r="CA43" s="198"/>
      <c r="CB43" s="198"/>
      <c r="CC43" s="198"/>
      <c r="CD43" s="198"/>
      <c r="CE43" s="198"/>
      <c r="CF43" s="198"/>
      <c r="CG43" s="198"/>
      <c r="CH43" s="198"/>
      <c r="CI43" s="198"/>
      <c r="CJ43" s="198"/>
      <c r="CK43" s="198"/>
      <c r="CL43" s="198"/>
      <c r="CM43" s="198"/>
      <c r="CN43" s="198"/>
      <c r="CO43" s="198"/>
      <c r="CP43" s="198"/>
      <c r="CQ43" s="198"/>
      <c r="CR43" s="198"/>
      <c r="CS43" s="198"/>
      <c r="CT43" s="198"/>
      <c r="CU43" s="198"/>
      <c r="CV43" s="198"/>
      <c r="CW43" s="198"/>
      <c r="CX43" s="198"/>
      <c r="CY43" s="198"/>
      <c r="CZ43" s="198"/>
      <c r="DA43" s="198"/>
      <c r="DB43" s="198"/>
      <c r="DC43" s="198"/>
      <c r="DD43" s="198"/>
      <c r="DE43" s="198"/>
      <c r="DF43" s="198"/>
      <c r="DG43" s="198"/>
      <c r="DH43" s="198"/>
      <c r="DI43" s="198"/>
      <c r="DJ43" s="198"/>
      <c r="DK43" s="198"/>
      <c r="DL43" s="198"/>
      <c r="DM43" s="198"/>
      <c r="DN43" s="198"/>
      <c r="DO43" s="198"/>
      <c r="DP43" s="198"/>
      <c r="DQ43" s="198"/>
      <c r="DR43" s="198"/>
      <c r="DS43" s="198"/>
      <c r="DT43" s="198"/>
      <c r="DU43" s="198"/>
      <c r="DV43" s="198"/>
      <c r="DW43" s="198"/>
      <c r="DX43" s="198"/>
      <c r="DY43" s="198"/>
      <c r="DZ43" s="198"/>
      <c r="EA43" s="198"/>
      <c r="EB43" s="198"/>
      <c r="EC43" s="198"/>
      <c r="ED43" s="198"/>
      <c r="EE43" s="198"/>
      <c r="EF43" s="198"/>
      <c r="EG43" s="198"/>
      <c r="EH43" s="198"/>
      <c r="EI43" s="198"/>
      <c r="EJ43" s="198"/>
      <c r="EK43" s="198"/>
      <c r="EL43" s="198"/>
      <c r="EM43" s="198"/>
      <c r="EN43" s="198"/>
      <c r="EO43" s="198"/>
      <c r="EP43" s="198"/>
      <c r="EQ43" s="198"/>
      <c r="ER43" s="198"/>
      <c r="ES43" s="198"/>
      <c r="ET43" s="198"/>
      <c r="EU43" s="198"/>
      <c r="EV43" s="198"/>
      <c r="EW43" s="198"/>
      <c r="EX43" s="198"/>
      <c r="EY43" s="198"/>
      <c r="EZ43" s="198"/>
      <c r="FA43" s="198"/>
      <c r="FB43" s="198"/>
      <c r="FC43" s="198"/>
      <c r="FD43" s="198"/>
      <c r="FE43" s="198"/>
      <c r="FF43" s="198"/>
      <c r="FG43" s="198"/>
      <c r="FH43" s="198"/>
      <c r="FI43" s="198"/>
      <c r="FJ43" s="198"/>
      <c r="FK43" s="198"/>
      <c r="FL43" s="198"/>
      <c r="FM43" s="198"/>
      <c r="FN43" s="198"/>
      <c r="FO43" s="198"/>
      <c r="FP43" s="198"/>
      <c r="FQ43" s="198"/>
      <c r="FR43" s="198"/>
      <c r="FS43" s="198"/>
      <c r="FT43" s="198"/>
      <c r="FU43" s="198"/>
      <c r="FV43" s="198"/>
      <c r="FW43" s="198"/>
      <c r="FX43" s="198"/>
      <c r="FY43" s="198"/>
      <c r="FZ43" s="198"/>
      <c r="GA43" s="198"/>
      <c r="GB43" s="198"/>
      <c r="GC43" s="198"/>
      <c r="GD43" s="198"/>
      <c r="GE43" s="198"/>
      <c r="GF43" s="198"/>
      <c r="GG43" s="198"/>
      <c r="GH43" s="198"/>
      <c r="GI43" s="198"/>
      <c r="GJ43" s="198"/>
      <c r="GK43" s="198"/>
      <c r="GL43" s="198"/>
      <c r="GM43" s="198"/>
      <c r="GN43" s="198"/>
      <c r="GO43" s="198"/>
      <c r="GP43" s="198"/>
      <c r="GQ43" s="198"/>
      <c r="GR43" s="198"/>
      <c r="GS43" s="198"/>
      <c r="GT43" s="198"/>
      <c r="GU43" s="198"/>
      <c r="GV43" s="198"/>
      <c r="GW43" s="198"/>
      <c r="GX43" s="198"/>
      <c r="GY43" s="198"/>
      <c r="GZ43" s="198"/>
      <c r="HA43" s="198"/>
      <c r="HB43" s="198"/>
      <c r="HC43" s="198"/>
      <c r="HD43" s="198"/>
      <c r="HE43" s="198"/>
      <c r="HF43" s="198"/>
      <c r="HG43" s="198"/>
      <c r="HH43" s="198"/>
      <c r="HI43" s="198"/>
      <c r="HJ43" s="198"/>
      <c r="HK43" s="198"/>
      <c r="HL43" s="198"/>
      <c r="HM43" s="198"/>
      <c r="HN43" s="198"/>
      <c r="HO43" s="198"/>
      <c r="HP43" s="198"/>
      <c r="HQ43" s="198"/>
      <c r="HR43" s="198"/>
      <c r="HS43" s="198"/>
      <c r="HT43" s="198"/>
      <c r="HU43" s="198"/>
      <c r="HV43" s="198"/>
      <c r="HW43" s="198"/>
      <c r="HX43" s="198"/>
      <c r="HY43" s="198"/>
      <c r="HZ43" s="198"/>
      <c r="IA43" s="198"/>
      <c r="IB43" s="198"/>
      <c r="IC43" s="198"/>
      <c r="ID43" s="198"/>
      <c r="IE43" s="198"/>
      <c r="IF43" s="198"/>
      <c r="IG43" s="198"/>
      <c r="IH43" s="198"/>
      <c r="II43" s="198"/>
      <c r="IJ43" s="198"/>
      <c r="IK43" s="198"/>
      <c r="IL43" s="198"/>
      <c r="IM43" s="198"/>
      <c r="IN43" s="198"/>
      <c r="IO43" s="198"/>
      <c r="IP43" s="198"/>
      <c r="IQ43" s="198"/>
      <c r="IR43" s="198"/>
      <c r="IS43" s="198"/>
      <c r="IT43" s="198"/>
      <c r="IU43" s="198"/>
      <c r="IV43" s="198"/>
    </row>
    <row r="44" s="199" customFormat="true" ht="12.75" hidden="false" customHeight="true" outlineLevel="0" collapsed="false">
      <c r="A44" s="157" t="str">
        <f aca="false">IF(Eingabe!A138="","",Eingabe!A138)</f>
        <v/>
      </c>
      <c r="B44" s="157"/>
      <c r="C44" s="157"/>
      <c r="D44" s="158" t="str">
        <f aca="false">IF(Eingabe!B138="","",Eingabe!B138)</f>
        <v/>
      </c>
      <c r="E44" s="158"/>
      <c r="F44" s="158"/>
      <c r="G44" s="158"/>
      <c r="H44" s="159" t="str">
        <f aca="false">IF(Eingabe!C138="","",Eingabe!C138)</f>
        <v/>
      </c>
      <c r="I44" s="159"/>
      <c r="J44" s="159"/>
      <c r="K44" s="159"/>
      <c r="L44" s="160" t="str">
        <f aca="false">IF(Eingabe!D138="","",Eingabe!D138)</f>
        <v/>
      </c>
      <c r="M44" s="160"/>
      <c r="N44" s="160"/>
      <c r="O44" s="160"/>
      <c r="P44" s="160"/>
      <c r="Q44" s="160"/>
      <c r="R44" s="160"/>
      <c r="S44" s="160"/>
      <c r="T44" s="160"/>
      <c r="U44" s="160"/>
      <c r="V44" s="160"/>
      <c r="W44" s="160"/>
      <c r="X44" s="160"/>
      <c r="Y44" s="160"/>
      <c r="Z44" s="160"/>
      <c r="AA44" s="160"/>
      <c r="AB44" s="160"/>
      <c r="AC44" s="160"/>
      <c r="AD44" s="160"/>
      <c r="AE44" s="160"/>
      <c r="AF44" s="160"/>
      <c r="AG44" s="160"/>
      <c r="AH44" s="200" t="str">
        <f aca="false">IF(Eingabe!F138&amp;Eingabe!G138="","",Eingabe!F138&amp;"  /  "&amp;Eingabe!G138)</f>
        <v/>
      </c>
      <c r="AI44" s="200"/>
      <c r="AJ44" s="200"/>
      <c r="AK44" s="200"/>
      <c r="AL44" s="200"/>
      <c r="AM44" s="200"/>
      <c r="AN44" s="200"/>
      <c r="AO44" s="200"/>
      <c r="AP44" s="200"/>
      <c r="AQ44" s="200"/>
      <c r="AR44" s="200"/>
      <c r="AS44" s="200"/>
      <c r="AT44" s="200"/>
      <c r="AU44" s="200"/>
      <c r="AV44" s="200"/>
      <c r="AW44" s="200"/>
      <c r="AX44" s="200"/>
      <c r="AY44" s="200"/>
      <c r="AZ44" s="200"/>
      <c r="BA44" s="200"/>
      <c r="BB44" s="200"/>
      <c r="BC44" s="200"/>
      <c r="BD44" s="200"/>
      <c r="BE44" s="201" t="str">
        <f aca="false">IF(Eingabe!I138="","",Eingabe!I138)</f>
        <v/>
      </c>
      <c r="BF44" s="201"/>
      <c r="BG44" s="201"/>
      <c r="BH44" s="201"/>
      <c r="BI44" s="201"/>
      <c r="BJ44" s="202" t="str">
        <f aca="false">IF(Eingabe!I138="","",Eingabe!I138*Eingabe!B138)</f>
        <v/>
      </c>
      <c r="BK44" s="202"/>
      <c r="BL44" s="202"/>
      <c r="BM44" s="202"/>
      <c r="BN44" s="202"/>
      <c r="BO44" s="198"/>
      <c r="BP44" s="198"/>
      <c r="BQ44" s="198"/>
      <c r="BR44" s="198"/>
      <c r="BS44" s="198"/>
      <c r="BT44" s="198"/>
      <c r="BU44" s="198"/>
      <c r="BV44" s="198"/>
      <c r="BW44" s="198"/>
      <c r="BX44" s="198"/>
      <c r="BY44" s="198"/>
      <c r="BZ44" s="198"/>
      <c r="CA44" s="198"/>
      <c r="CB44" s="198"/>
      <c r="CC44" s="198"/>
      <c r="CD44" s="198"/>
      <c r="CE44" s="198"/>
      <c r="CF44" s="198"/>
      <c r="CG44" s="198"/>
      <c r="CH44" s="198"/>
      <c r="CI44" s="198"/>
      <c r="CJ44" s="198"/>
      <c r="CK44" s="198"/>
      <c r="CL44" s="198"/>
      <c r="CM44" s="198"/>
      <c r="CN44" s="198"/>
      <c r="CO44" s="198"/>
      <c r="CP44" s="198"/>
      <c r="CQ44" s="198"/>
      <c r="CR44" s="198"/>
      <c r="CS44" s="198"/>
      <c r="CT44" s="198"/>
      <c r="CU44" s="198"/>
      <c r="CV44" s="198"/>
      <c r="CW44" s="198"/>
      <c r="CX44" s="198"/>
      <c r="CY44" s="198"/>
      <c r="CZ44" s="198"/>
      <c r="DA44" s="198"/>
      <c r="DB44" s="198"/>
      <c r="DC44" s="198"/>
      <c r="DD44" s="198"/>
      <c r="DE44" s="198"/>
      <c r="DF44" s="198"/>
      <c r="DG44" s="198"/>
      <c r="DH44" s="198"/>
      <c r="DI44" s="198"/>
      <c r="DJ44" s="198"/>
      <c r="DK44" s="198"/>
      <c r="DL44" s="198"/>
      <c r="DM44" s="198"/>
      <c r="DN44" s="198"/>
      <c r="DO44" s="198"/>
      <c r="DP44" s="198"/>
      <c r="DQ44" s="198"/>
      <c r="DR44" s="198"/>
      <c r="DS44" s="198"/>
      <c r="DT44" s="198"/>
      <c r="DU44" s="198"/>
      <c r="DV44" s="198"/>
      <c r="DW44" s="198"/>
      <c r="DX44" s="198"/>
      <c r="DY44" s="198"/>
      <c r="DZ44" s="198"/>
      <c r="EA44" s="198"/>
      <c r="EB44" s="198"/>
      <c r="EC44" s="198"/>
      <c r="ED44" s="198"/>
      <c r="EE44" s="198"/>
      <c r="EF44" s="198"/>
      <c r="EG44" s="198"/>
      <c r="EH44" s="198"/>
      <c r="EI44" s="198"/>
      <c r="EJ44" s="198"/>
      <c r="EK44" s="198"/>
      <c r="EL44" s="198"/>
      <c r="EM44" s="198"/>
      <c r="EN44" s="198"/>
      <c r="EO44" s="198"/>
      <c r="EP44" s="198"/>
      <c r="EQ44" s="198"/>
      <c r="ER44" s="198"/>
      <c r="ES44" s="198"/>
      <c r="ET44" s="198"/>
      <c r="EU44" s="198"/>
      <c r="EV44" s="198"/>
      <c r="EW44" s="198"/>
      <c r="EX44" s="198"/>
      <c r="EY44" s="198"/>
      <c r="EZ44" s="198"/>
      <c r="FA44" s="198"/>
      <c r="FB44" s="198"/>
      <c r="FC44" s="198"/>
      <c r="FD44" s="198"/>
      <c r="FE44" s="198"/>
      <c r="FF44" s="198"/>
      <c r="FG44" s="198"/>
      <c r="FH44" s="198"/>
      <c r="FI44" s="198"/>
      <c r="FJ44" s="198"/>
      <c r="FK44" s="198"/>
      <c r="FL44" s="198"/>
      <c r="FM44" s="198"/>
      <c r="FN44" s="198"/>
      <c r="FO44" s="198"/>
      <c r="FP44" s="198"/>
      <c r="FQ44" s="198"/>
      <c r="FR44" s="198"/>
      <c r="FS44" s="198"/>
      <c r="FT44" s="198"/>
      <c r="FU44" s="198"/>
      <c r="FV44" s="198"/>
      <c r="FW44" s="198"/>
      <c r="FX44" s="198"/>
      <c r="FY44" s="198"/>
      <c r="FZ44" s="198"/>
      <c r="GA44" s="198"/>
      <c r="GB44" s="198"/>
      <c r="GC44" s="198"/>
      <c r="GD44" s="198"/>
      <c r="GE44" s="198"/>
      <c r="GF44" s="198"/>
      <c r="GG44" s="198"/>
      <c r="GH44" s="198"/>
      <c r="GI44" s="198"/>
      <c r="GJ44" s="198"/>
      <c r="GK44" s="198"/>
      <c r="GL44" s="198"/>
      <c r="GM44" s="198"/>
      <c r="GN44" s="198"/>
      <c r="GO44" s="198"/>
      <c r="GP44" s="198"/>
      <c r="GQ44" s="198"/>
      <c r="GR44" s="198"/>
      <c r="GS44" s="198"/>
      <c r="GT44" s="198"/>
      <c r="GU44" s="198"/>
      <c r="GV44" s="198"/>
      <c r="GW44" s="198"/>
      <c r="GX44" s="198"/>
      <c r="GY44" s="198"/>
      <c r="GZ44" s="198"/>
      <c r="HA44" s="198"/>
      <c r="HB44" s="198"/>
      <c r="HC44" s="198"/>
      <c r="HD44" s="198"/>
      <c r="HE44" s="198"/>
      <c r="HF44" s="198"/>
      <c r="HG44" s="198"/>
      <c r="HH44" s="198"/>
      <c r="HI44" s="198"/>
      <c r="HJ44" s="198"/>
      <c r="HK44" s="198"/>
      <c r="HL44" s="198"/>
      <c r="HM44" s="198"/>
      <c r="HN44" s="198"/>
      <c r="HO44" s="198"/>
      <c r="HP44" s="198"/>
      <c r="HQ44" s="198"/>
      <c r="HR44" s="198"/>
      <c r="HS44" s="198"/>
      <c r="HT44" s="198"/>
      <c r="HU44" s="198"/>
      <c r="HV44" s="198"/>
      <c r="HW44" s="198"/>
      <c r="HX44" s="198"/>
      <c r="HY44" s="198"/>
      <c r="HZ44" s="198"/>
      <c r="IA44" s="198"/>
      <c r="IB44" s="198"/>
      <c r="IC44" s="198"/>
      <c r="ID44" s="198"/>
      <c r="IE44" s="198"/>
      <c r="IF44" s="198"/>
      <c r="IG44" s="198"/>
      <c r="IH44" s="198"/>
      <c r="II44" s="198"/>
      <c r="IJ44" s="198"/>
      <c r="IK44" s="198"/>
      <c r="IL44" s="198"/>
      <c r="IM44" s="198"/>
      <c r="IN44" s="198"/>
      <c r="IO44" s="198"/>
      <c r="IP44" s="198"/>
      <c r="IQ44" s="198"/>
      <c r="IR44" s="198"/>
      <c r="IS44" s="198"/>
      <c r="IT44" s="198"/>
      <c r="IU44" s="198"/>
      <c r="IV44" s="198"/>
    </row>
    <row r="45" s="199" customFormat="true" ht="12.75" hidden="false" customHeight="true" outlineLevel="0" collapsed="false">
      <c r="A45" s="157" t="str">
        <f aca="false">IF(Eingabe!A139="","",Eingabe!A139)</f>
        <v/>
      </c>
      <c r="B45" s="157"/>
      <c r="C45" s="157"/>
      <c r="D45" s="158" t="str">
        <f aca="false">IF(Eingabe!B139="","",Eingabe!B139)</f>
        <v/>
      </c>
      <c r="E45" s="158"/>
      <c r="F45" s="158"/>
      <c r="G45" s="158"/>
      <c r="H45" s="159" t="str">
        <f aca="false">IF(Eingabe!C139="","",Eingabe!C139)</f>
        <v/>
      </c>
      <c r="I45" s="159"/>
      <c r="J45" s="159"/>
      <c r="K45" s="159"/>
      <c r="L45" s="160" t="str">
        <f aca="false">IF(Eingabe!D139="","",Eingabe!D139)</f>
        <v/>
      </c>
      <c r="M45" s="160"/>
      <c r="N45" s="160"/>
      <c r="O45" s="160"/>
      <c r="P45" s="160"/>
      <c r="Q45" s="160"/>
      <c r="R45" s="160"/>
      <c r="S45" s="160"/>
      <c r="T45" s="160"/>
      <c r="U45" s="160"/>
      <c r="V45" s="160"/>
      <c r="W45" s="160"/>
      <c r="X45" s="160"/>
      <c r="Y45" s="160"/>
      <c r="Z45" s="160"/>
      <c r="AA45" s="160"/>
      <c r="AB45" s="160"/>
      <c r="AC45" s="160"/>
      <c r="AD45" s="160"/>
      <c r="AE45" s="160"/>
      <c r="AF45" s="160"/>
      <c r="AG45" s="160"/>
      <c r="AH45" s="200" t="str">
        <f aca="false">IF(Eingabe!F139&amp;Eingabe!G139="","",Eingabe!F139&amp;"  /  "&amp;Eingabe!G139)</f>
        <v/>
      </c>
      <c r="AI45" s="200"/>
      <c r="AJ45" s="200"/>
      <c r="AK45" s="200"/>
      <c r="AL45" s="200"/>
      <c r="AM45" s="200"/>
      <c r="AN45" s="200"/>
      <c r="AO45" s="200"/>
      <c r="AP45" s="200"/>
      <c r="AQ45" s="200"/>
      <c r="AR45" s="200"/>
      <c r="AS45" s="200"/>
      <c r="AT45" s="200"/>
      <c r="AU45" s="200"/>
      <c r="AV45" s="200"/>
      <c r="AW45" s="200"/>
      <c r="AX45" s="200"/>
      <c r="AY45" s="200"/>
      <c r="AZ45" s="200"/>
      <c r="BA45" s="200"/>
      <c r="BB45" s="200"/>
      <c r="BC45" s="200"/>
      <c r="BD45" s="200"/>
      <c r="BE45" s="201" t="str">
        <f aca="false">IF(Eingabe!I139="","",Eingabe!I139)</f>
        <v/>
      </c>
      <c r="BF45" s="201"/>
      <c r="BG45" s="201"/>
      <c r="BH45" s="201"/>
      <c r="BI45" s="201"/>
      <c r="BJ45" s="202" t="str">
        <f aca="false">IF(Eingabe!I139="","",Eingabe!I139*Eingabe!B139)</f>
        <v/>
      </c>
      <c r="BK45" s="202"/>
      <c r="BL45" s="202"/>
      <c r="BM45" s="202"/>
      <c r="BN45" s="202"/>
      <c r="BO45" s="198"/>
      <c r="BP45" s="198"/>
      <c r="BQ45" s="198"/>
      <c r="BR45" s="198"/>
      <c r="BS45" s="198"/>
      <c r="BT45" s="198"/>
      <c r="BU45" s="198"/>
      <c r="BV45" s="198"/>
      <c r="BW45" s="198"/>
      <c r="BX45" s="198"/>
      <c r="BY45" s="198"/>
      <c r="BZ45" s="198"/>
      <c r="CA45" s="198"/>
      <c r="CB45" s="198"/>
      <c r="CC45" s="198"/>
      <c r="CD45" s="198"/>
      <c r="CE45" s="198"/>
      <c r="CF45" s="198"/>
      <c r="CG45" s="198"/>
      <c r="CH45" s="198"/>
      <c r="CI45" s="198"/>
      <c r="CJ45" s="198"/>
      <c r="CK45" s="198"/>
      <c r="CL45" s="198"/>
      <c r="CM45" s="198"/>
      <c r="CN45" s="198"/>
      <c r="CO45" s="198"/>
      <c r="CP45" s="198"/>
      <c r="CQ45" s="198"/>
      <c r="CR45" s="198"/>
      <c r="CS45" s="198"/>
      <c r="CT45" s="198"/>
      <c r="CU45" s="198"/>
      <c r="CV45" s="198"/>
      <c r="CW45" s="198"/>
      <c r="CX45" s="198"/>
      <c r="CY45" s="198"/>
      <c r="CZ45" s="198"/>
      <c r="DA45" s="198"/>
      <c r="DB45" s="198"/>
      <c r="DC45" s="198"/>
      <c r="DD45" s="198"/>
      <c r="DE45" s="198"/>
      <c r="DF45" s="198"/>
      <c r="DG45" s="198"/>
      <c r="DH45" s="198"/>
      <c r="DI45" s="198"/>
      <c r="DJ45" s="198"/>
      <c r="DK45" s="198"/>
      <c r="DL45" s="198"/>
      <c r="DM45" s="198"/>
      <c r="DN45" s="198"/>
      <c r="DO45" s="198"/>
      <c r="DP45" s="198"/>
      <c r="DQ45" s="198"/>
      <c r="DR45" s="198"/>
      <c r="DS45" s="198"/>
      <c r="DT45" s="198"/>
      <c r="DU45" s="198"/>
      <c r="DV45" s="198"/>
      <c r="DW45" s="198"/>
      <c r="DX45" s="198"/>
      <c r="DY45" s="198"/>
      <c r="DZ45" s="198"/>
      <c r="EA45" s="198"/>
      <c r="EB45" s="198"/>
      <c r="EC45" s="198"/>
      <c r="ED45" s="198"/>
      <c r="EE45" s="198"/>
      <c r="EF45" s="198"/>
      <c r="EG45" s="198"/>
      <c r="EH45" s="198"/>
      <c r="EI45" s="198"/>
      <c r="EJ45" s="198"/>
      <c r="EK45" s="198"/>
      <c r="EL45" s="198"/>
      <c r="EM45" s="198"/>
      <c r="EN45" s="198"/>
      <c r="EO45" s="198"/>
      <c r="EP45" s="198"/>
      <c r="EQ45" s="198"/>
      <c r="ER45" s="198"/>
      <c r="ES45" s="198"/>
      <c r="ET45" s="198"/>
      <c r="EU45" s="198"/>
      <c r="EV45" s="198"/>
      <c r="EW45" s="198"/>
      <c r="EX45" s="198"/>
      <c r="EY45" s="198"/>
      <c r="EZ45" s="198"/>
      <c r="FA45" s="198"/>
      <c r="FB45" s="198"/>
      <c r="FC45" s="198"/>
      <c r="FD45" s="198"/>
      <c r="FE45" s="198"/>
      <c r="FF45" s="198"/>
      <c r="FG45" s="198"/>
      <c r="FH45" s="198"/>
      <c r="FI45" s="198"/>
      <c r="FJ45" s="198"/>
      <c r="FK45" s="198"/>
      <c r="FL45" s="198"/>
      <c r="FM45" s="198"/>
      <c r="FN45" s="198"/>
      <c r="FO45" s="198"/>
      <c r="FP45" s="198"/>
      <c r="FQ45" s="198"/>
      <c r="FR45" s="198"/>
      <c r="FS45" s="198"/>
      <c r="FT45" s="198"/>
      <c r="FU45" s="198"/>
      <c r="FV45" s="198"/>
      <c r="FW45" s="198"/>
      <c r="FX45" s="198"/>
      <c r="FY45" s="198"/>
      <c r="FZ45" s="198"/>
      <c r="GA45" s="198"/>
      <c r="GB45" s="198"/>
      <c r="GC45" s="198"/>
      <c r="GD45" s="198"/>
      <c r="GE45" s="198"/>
      <c r="GF45" s="198"/>
      <c r="GG45" s="198"/>
      <c r="GH45" s="198"/>
      <c r="GI45" s="198"/>
      <c r="GJ45" s="198"/>
      <c r="GK45" s="198"/>
      <c r="GL45" s="198"/>
      <c r="GM45" s="198"/>
      <c r="GN45" s="198"/>
      <c r="GO45" s="198"/>
      <c r="GP45" s="198"/>
      <c r="GQ45" s="198"/>
      <c r="GR45" s="198"/>
      <c r="GS45" s="198"/>
      <c r="GT45" s="198"/>
      <c r="GU45" s="198"/>
      <c r="GV45" s="198"/>
      <c r="GW45" s="198"/>
      <c r="GX45" s="198"/>
      <c r="GY45" s="198"/>
      <c r="GZ45" s="198"/>
      <c r="HA45" s="198"/>
      <c r="HB45" s="198"/>
      <c r="HC45" s="198"/>
      <c r="HD45" s="198"/>
      <c r="HE45" s="198"/>
      <c r="HF45" s="198"/>
      <c r="HG45" s="198"/>
      <c r="HH45" s="198"/>
      <c r="HI45" s="198"/>
      <c r="HJ45" s="198"/>
      <c r="HK45" s="198"/>
      <c r="HL45" s="198"/>
      <c r="HM45" s="198"/>
      <c r="HN45" s="198"/>
      <c r="HO45" s="198"/>
      <c r="HP45" s="198"/>
      <c r="HQ45" s="198"/>
      <c r="HR45" s="198"/>
      <c r="HS45" s="198"/>
      <c r="HT45" s="198"/>
      <c r="HU45" s="198"/>
      <c r="HV45" s="198"/>
      <c r="HW45" s="198"/>
      <c r="HX45" s="198"/>
      <c r="HY45" s="198"/>
      <c r="HZ45" s="198"/>
      <c r="IA45" s="198"/>
      <c r="IB45" s="198"/>
      <c r="IC45" s="198"/>
      <c r="ID45" s="198"/>
      <c r="IE45" s="198"/>
      <c r="IF45" s="198"/>
      <c r="IG45" s="198"/>
      <c r="IH45" s="198"/>
      <c r="II45" s="198"/>
      <c r="IJ45" s="198"/>
      <c r="IK45" s="198"/>
      <c r="IL45" s="198"/>
      <c r="IM45" s="198"/>
      <c r="IN45" s="198"/>
      <c r="IO45" s="198"/>
      <c r="IP45" s="198"/>
      <c r="IQ45" s="198"/>
      <c r="IR45" s="198"/>
      <c r="IS45" s="198"/>
      <c r="IT45" s="198"/>
      <c r="IU45" s="198"/>
      <c r="IV45" s="198"/>
    </row>
    <row r="46" s="199" customFormat="true" ht="12.75" hidden="false" customHeight="true" outlineLevel="0" collapsed="false">
      <c r="A46" s="157" t="str">
        <f aca="false">IF(Eingabe!A140="","",Eingabe!A140)</f>
        <v/>
      </c>
      <c r="B46" s="157"/>
      <c r="C46" s="157"/>
      <c r="D46" s="158" t="str">
        <f aca="false">IF(Eingabe!B140="","",Eingabe!B140)</f>
        <v/>
      </c>
      <c r="E46" s="158"/>
      <c r="F46" s="158"/>
      <c r="G46" s="158"/>
      <c r="H46" s="159" t="str">
        <f aca="false">IF(Eingabe!C140="","",Eingabe!C140)</f>
        <v/>
      </c>
      <c r="I46" s="159"/>
      <c r="J46" s="159"/>
      <c r="K46" s="159"/>
      <c r="L46" s="160" t="str">
        <f aca="false">IF(Eingabe!D140="","",Eingabe!D140)</f>
        <v/>
      </c>
      <c r="M46" s="160"/>
      <c r="N46" s="160"/>
      <c r="O46" s="160"/>
      <c r="P46" s="160"/>
      <c r="Q46" s="160"/>
      <c r="R46" s="160"/>
      <c r="S46" s="160"/>
      <c r="T46" s="160"/>
      <c r="U46" s="160"/>
      <c r="V46" s="160"/>
      <c r="W46" s="160"/>
      <c r="X46" s="160"/>
      <c r="Y46" s="160"/>
      <c r="Z46" s="160"/>
      <c r="AA46" s="160"/>
      <c r="AB46" s="160"/>
      <c r="AC46" s="160"/>
      <c r="AD46" s="160"/>
      <c r="AE46" s="160"/>
      <c r="AF46" s="160"/>
      <c r="AG46" s="160"/>
      <c r="AH46" s="200" t="str">
        <f aca="false">IF(Eingabe!F140&amp;Eingabe!G140="","",Eingabe!F140&amp;"  /  "&amp;Eingabe!G140)</f>
        <v/>
      </c>
      <c r="AI46" s="200"/>
      <c r="AJ46" s="200"/>
      <c r="AK46" s="200"/>
      <c r="AL46" s="200"/>
      <c r="AM46" s="200"/>
      <c r="AN46" s="200"/>
      <c r="AO46" s="200"/>
      <c r="AP46" s="200"/>
      <c r="AQ46" s="200"/>
      <c r="AR46" s="200"/>
      <c r="AS46" s="200"/>
      <c r="AT46" s="200"/>
      <c r="AU46" s="200"/>
      <c r="AV46" s="200"/>
      <c r="AW46" s="200"/>
      <c r="AX46" s="200"/>
      <c r="AY46" s="200"/>
      <c r="AZ46" s="200"/>
      <c r="BA46" s="200"/>
      <c r="BB46" s="200"/>
      <c r="BC46" s="200"/>
      <c r="BD46" s="200"/>
      <c r="BE46" s="201" t="str">
        <f aca="false">IF(Eingabe!I140="","",Eingabe!I140)</f>
        <v/>
      </c>
      <c r="BF46" s="201"/>
      <c r="BG46" s="201"/>
      <c r="BH46" s="201"/>
      <c r="BI46" s="201"/>
      <c r="BJ46" s="202" t="str">
        <f aca="false">IF(Eingabe!I140="","",Eingabe!I140*Eingabe!B140)</f>
        <v/>
      </c>
      <c r="BK46" s="202"/>
      <c r="BL46" s="202"/>
      <c r="BM46" s="202"/>
      <c r="BN46" s="202"/>
      <c r="BO46" s="198"/>
      <c r="BP46" s="198"/>
      <c r="BQ46" s="198"/>
      <c r="BR46" s="198"/>
      <c r="BS46" s="198"/>
      <c r="BT46" s="198"/>
      <c r="BU46" s="198"/>
      <c r="BV46" s="198"/>
      <c r="BW46" s="198"/>
      <c r="BX46" s="198"/>
      <c r="BY46" s="198"/>
      <c r="BZ46" s="198"/>
      <c r="CA46" s="198"/>
      <c r="CB46" s="198"/>
      <c r="CC46" s="198"/>
      <c r="CD46" s="198"/>
      <c r="CE46" s="198"/>
      <c r="CF46" s="198"/>
      <c r="CG46" s="198"/>
      <c r="CH46" s="198"/>
      <c r="CI46" s="198"/>
      <c r="CJ46" s="198"/>
      <c r="CK46" s="198"/>
      <c r="CL46" s="198"/>
      <c r="CM46" s="198"/>
      <c r="CN46" s="198"/>
      <c r="CO46" s="198"/>
      <c r="CP46" s="198"/>
      <c r="CQ46" s="198"/>
      <c r="CR46" s="198"/>
      <c r="CS46" s="198"/>
      <c r="CT46" s="198"/>
      <c r="CU46" s="198"/>
      <c r="CV46" s="198"/>
      <c r="CW46" s="198"/>
      <c r="CX46" s="198"/>
      <c r="CY46" s="198"/>
      <c r="CZ46" s="198"/>
      <c r="DA46" s="198"/>
      <c r="DB46" s="198"/>
      <c r="DC46" s="198"/>
      <c r="DD46" s="198"/>
      <c r="DE46" s="198"/>
      <c r="DF46" s="198"/>
      <c r="DG46" s="198"/>
      <c r="DH46" s="198"/>
      <c r="DI46" s="198"/>
      <c r="DJ46" s="198"/>
      <c r="DK46" s="198"/>
      <c r="DL46" s="198"/>
      <c r="DM46" s="198"/>
      <c r="DN46" s="198"/>
      <c r="DO46" s="198"/>
      <c r="DP46" s="198"/>
      <c r="DQ46" s="198"/>
      <c r="DR46" s="198"/>
      <c r="DS46" s="198"/>
      <c r="DT46" s="198"/>
      <c r="DU46" s="198"/>
      <c r="DV46" s="198"/>
      <c r="DW46" s="198"/>
      <c r="DX46" s="198"/>
      <c r="DY46" s="198"/>
      <c r="DZ46" s="198"/>
      <c r="EA46" s="198"/>
      <c r="EB46" s="198"/>
      <c r="EC46" s="198"/>
      <c r="ED46" s="198"/>
      <c r="EE46" s="198"/>
      <c r="EF46" s="198"/>
      <c r="EG46" s="198"/>
      <c r="EH46" s="198"/>
      <c r="EI46" s="198"/>
      <c r="EJ46" s="198"/>
      <c r="EK46" s="198"/>
      <c r="EL46" s="198"/>
      <c r="EM46" s="198"/>
      <c r="EN46" s="198"/>
      <c r="EO46" s="198"/>
      <c r="EP46" s="198"/>
      <c r="EQ46" s="198"/>
      <c r="ER46" s="198"/>
      <c r="ES46" s="198"/>
      <c r="ET46" s="198"/>
      <c r="EU46" s="198"/>
      <c r="EV46" s="198"/>
      <c r="EW46" s="198"/>
      <c r="EX46" s="198"/>
      <c r="EY46" s="198"/>
      <c r="EZ46" s="198"/>
      <c r="FA46" s="198"/>
      <c r="FB46" s="198"/>
      <c r="FC46" s="198"/>
      <c r="FD46" s="198"/>
      <c r="FE46" s="198"/>
      <c r="FF46" s="198"/>
      <c r="FG46" s="198"/>
      <c r="FH46" s="198"/>
      <c r="FI46" s="198"/>
      <c r="FJ46" s="198"/>
      <c r="FK46" s="198"/>
      <c r="FL46" s="198"/>
      <c r="FM46" s="198"/>
      <c r="FN46" s="198"/>
      <c r="FO46" s="198"/>
      <c r="FP46" s="198"/>
      <c r="FQ46" s="198"/>
      <c r="FR46" s="198"/>
      <c r="FS46" s="198"/>
      <c r="FT46" s="198"/>
      <c r="FU46" s="198"/>
      <c r="FV46" s="198"/>
      <c r="FW46" s="198"/>
      <c r="FX46" s="198"/>
      <c r="FY46" s="198"/>
      <c r="FZ46" s="198"/>
      <c r="GA46" s="198"/>
      <c r="GB46" s="198"/>
      <c r="GC46" s="198"/>
      <c r="GD46" s="198"/>
      <c r="GE46" s="198"/>
      <c r="GF46" s="198"/>
      <c r="GG46" s="198"/>
      <c r="GH46" s="198"/>
      <c r="GI46" s="198"/>
      <c r="GJ46" s="198"/>
      <c r="GK46" s="198"/>
      <c r="GL46" s="198"/>
      <c r="GM46" s="198"/>
      <c r="GN46" s="198"/>
      <c r="GO46" s="198"/>
      <c r="GP46" s="198"/>
      <c r="GQ46" s="198"/>
      <c r="GR46" s="198"/>
      <c r="GS46" s="198"/>
      <c r="GT46" s="198"/>
      <c r="GU46" s="198"/>
      <c r="GV46" s="198"/>
      <c r="GW46" s="198"/>
      <c r="GX46" s="198"/>
      <c r="GY46" s="198"/>
      <c r="GZ46" s="198"/>
      <c r="HA46" s="198"/>
      <c r="HB46" s="198"/>
      <c r="HC46" s="198"/>
      <c r="HD46" s="198"/>
      <c r="HE46" s="198"/>
      <c r="HF46" s="198"/>
      <c r="HG46" s="198"/>
      <c r="HH46" s="198"/>
      <c r="HI46" s="198"/>
      <c r="HJ46" s="198"/>
      <c r="HK46" s="198"/>
      <c r="HL46" s="198"/>
      <c r="HM46" s="198"/>
      <c r="HN46" s="198"/>
      <c r="HO46" s="198"/>
      <c r="HP46" s="198"/>
      <c r="HQ46" s="198"/>
      <c r="HR46" s="198"/>
      <c r="HS46" s="198"/>
      <c r="HT46" s="198"/>
      <c r="HU46" s="198"/>
      <c r="HV46" s="198"/>
      <c r="HW46" s="198"/>
      <c r="HX46" s="198"/>
      <c r="HY46" s="198"/>
      <c r="HZ46" s="198"/>
      <c r="IA46" s="198"/>
      <c r="IB46" s="198"/>
      <c r="IC46" s="198"/>
      <c r="ID46" s="198"/>
      <c r="IE46" s="198"/>
      <c r="IF46" s="198"/>
      <c r="IG46" s="198"/>
      <c r="IH46" s="198"/>
      <c r="II46" s="198"/>
      <c r="IJ46" s="198"/>
      <c r="IK46" s="198"/>
      <c r="IL46" s="198"/>
      <c r="IM46" s="198"/>
      <c r="IN46" s="198"/>
      <c r="IO46" s="198"/>
      <c r="IP46" s="198"/>
      <c r="IQ46" s="198"/>
      <c r="IR46" s="198"/>
      <c r="IS46" s="198"/>
      <c r="IT46" s="198"/>
      <c r="IU46" s="198"/>
      <c r="IV46" s="198"/>
    </row>
    <row r="47" s="199" customFormat="true" ht="12.75" hidden="false" customHeight="true" outlineLevel="0" collapsed="false">
      <c r="A47" s="157" t="str">
        <f aca="false">IF(Eingabe!A141="","",Eingabe!A141)</f>
        <v/>
      </c>
      <c r="B47" s="157"/>
      <c r="C47" s="157"/>
      <c r="D47" s="158" t="str">
        <f aca="false">IF(Eingabe!B141="","",Eingabe!B141)</f>
        <v/>
      </c>
      <c r="E47" s="158"/>
      <c r="F47" s="158"/>
      <c r="G47" s="158"/>
      <c r="H47" s="159" t="str">
        <f aca="false">IF(Eingabe!C141="","",Eingabe!C141)</f>
        <v/>
      </c>
      <c r="I47" s="159"/>
      <c r="J47" s="159"/>
      <c r="K47" s="159"/>
      <c r="L47" s="160" t="str">
        <f aca="false">IF(Eingabe!D141="","",Eingabe!D141)</f>
        <v/>
      </c>
      <c r="M47" s="160"/>
      <c r="N47" s="160"/>
      <c r="O47" s="160"/>
      <c r="P47" s="160"/>
      <c r="Q47" s="160"/>
      <c r="R47" s="160"/>
      <c r="S47" s="160"/>
      <c r="T47" s="160"/>
      <c r="U47" s="160"/>
      <c r="V47" s="160"/>
      <c r="W47" s="160"/>
      <c r="X47" s="160"/>
      <c r="Y47" s="160"/>
      <c r="Z47" s="160"/>
      <c r="AA47" s="160"/>
      <c r="AB47" s="160"/>
      <c r="AC47" s="160"/>
      <c r="AD47" s="160"/>
      <c r="AE47" s="160"/>
      <c r="AF47" s="160"/>
      <c r="AG47" s="160"/>
      <c r="AH47" s="200" t="str">
        <f aca="false">IF(Eingabe!F141&amp;Eingabe!G141="","",Eingabe!F141&amp;"  /  "&amp;Eingabe!G141)</f>
        <v/>
      </c>
      <c r="AI47" s="200"/>
      <c r="AJ47" s="200"/>
      <c r="AK47" s="200"/>
      <c r="AL47" s="200"/>
      <c r="AM47" s="200"/>
      <c r="AN47" s="200"/>
      <c r="AO47" s="200"/>
      <c r="AP47" s="200"/>
      <c r="AQ47" s="200"/>
      <c r="AR47" s="200"/>
      <c r="AS47" s="200"/>
      <c r="AT47" s="200"/>
      <c r="AU47" s="200"/>
      <c r="AV47" s="200"/>
      <c r="AW47" s="200"/>
      <c r="AX47" s="200"/>
      <c r="AY47" s="200"/>
      <c r="AZ47" s="200"/>
      <c r="BA47" s="200"/>
      <c r="BB47" s="200"/>
      <c r="BC47" s="200"/>
      <c r="BD47" s="200"/>
      <c r="BE47" s="201" t="str">
        <f aca="false">IF(Eingabe!I141="","",Eingabe!I141)</f>
        <v/>
      </c>
      <c r="BF47" s="201"/>
      <c r="BG47" s="201"/>
      <c r="BH47" s="201"/>
      <c r="BI47" s="201"/>
      <c r="BJ47" s="202" t="str">
        <f aca="false">IF(Eingabe!I141="","",Eingabe!I141*Eingabe!B141)</f>
        <v/>
      </c>
      <c r="BK47" s="202"/>
      <c r="BL47" s="202"/>
      <c r="BM47" s="202"/>
      <c r="BN47" s="202"/>
      <c r="BO47" s="198"/>
      <c r="BP47" s="198"/>
      <c r="BQ47" s="198"/>
      <c r="BR47" s="198"/>
      <c r="BS47" s="198"/>
      <c r="BT47" s="198"/>
      <c r="BU47" s="198"/>
      <c r="BV47" s="198"/>
      <c r="BW47" s="198"/>
      <c r="BX47" s="198"/>
      <c r="BY47" s="198"/>
      <c r="BZ47" s="198"/>
      <c r="CA47" s="198"/>
      <c r="CB47" s="198"/>
      <c r="CC47" s="198"/>
      <c r="CD47" s="198"/>
      <c r="CE47" s="198"/>
      <c r="CF47" s="198"/>
      <c r="CG47" s="198"/>
      <c r="CH47" s="198"/>
      <c r="CI47" s="198"/>
      <c r="CJ47" s="198"/>
      <c r="CK47" s="198"/>
      <c r="CL47" s="198"/>
      <c r="CM47" s="198"/>
      <c r="CN47" s="198"/>
      <c r="CO47" s="198"/>
      <c r="CP47" s="198"/>
      <c r="CQ47" s="198"/>
      <c r="CR47" s="198"/>
      <c r="CS47" s="198"/>
      <c r="CT47" s="198"/>
      <c r="CU47" s="198"/>
      <c r="CV47" s="198"/>
      <c r="CW47" s="198"/>
      <c r="CX47" s="198"/>
      <c r="CY47" s="198"/>
      <c r="CZ47" s="198"/>
      <c r="DA47" s="198"/>
      <c r="DB47" s="198"/>
      <c r="DC47" s="198"/>
      <c r="DD47" s="198"/>
      <c r="DE47" s="198"/>
      <c r="DF47" s="198"/>
      <c r="DG47" s="198"/>
      <c r="DH47" s="198"/>
      <c r="DI47" s="198"/>
      <c r="DJ47" s="198"/>
      <c r="DK47" s="198"/>
      <c r="DL47" s="198"/>
      <c r="DM47" s="198"/>
      <c r="DN47" s="198"/>
      <c r="DO47" s="198"/>
      <c r="DP47" s="198"/>
      <c r="DQ47" s="198"/>
      <c r="DR47" s="198"/>
      <c r="DS47" s="198"/>
      <c r="DT47" s="198"/>
      <c r="DU47" s="198"/>
      <c r="DV47" s="198"/>
      <c r="DW47" s="198"/>
      <c r="DX47" s="198"/>
      <c r="DY47" s="198"/>
      <c r="DZ47" s="198"/>
      <c r="EA47" s="198"/>
      <c r="EB47" s="198"/>
      <c r="EC47" s="198"/>
      <c r="ED47" s="198"/>
      <c r="EE47" s="198"/>
      <c r="EF47" s="198"/>
      <c r="EG47" s="198"/>
      <c r="EH47" s="198"/>
      <c r="EI47" s="198"/>
      <c r="EJ47" s="198"/>
      <c r="EK47" s="198"/>
      <c r="EL47" s="198"/>
      <c r="EM47" s="198"/>
      <c r="EN47" s="198"/>
      <c r="EO47" s="198"/>
      <c r="EP47" s="198"/>
      <c r="EQ47" s="198"/>
      <c r="ER47" s="198"/>
      <c r="ES47" s="198"/>
      <c r="ET47" s="198"/>
      <c r="EU47" s="198"/>
      <c r="EV47" s="198"/>
      <c r="EW47" s="198"/>
      <c r="EX47" s="198"/>
      <c r="EY47" s="198"/>
      <c r="EZ47" s="198"/>
      <c r="FA47" s="198"/>
      <c r="FB47" s="198"/>
      <c r="FC47" s="198"/>
      <c r="FD47" s="198"/>
      <c r="FE47" s="198"/>
      <c r="FF47" s="198"/>
      <c r="FG47" s="198"/>
      <c r="FH47" s="198"/>
      <c r="FI47" s="198"/>
      <c r="FJ47" s="198"/>
      <c r="FK47" s="198"/>
      <c r="FL47" s="198"/>
      <c r="FM47" s="198"/>
      <c r="FN47" s="198"/>
      <c r="FO47" s="198"/>
      <c r="FP47" s="198"/>
      <c r="FQ47" s="198"/>
      <c r="FR47" s="198"/>
      <c r="FS47" s="198"/>
      <c r="FT47" s="198"/>
      <c r="FU47" s="198"/>
      <c r="FV47" s="198"/>
      <c r="FW47" s="198"/>
      <c r="FX47" s="198"/>
      <c r="FY47" s="198"/>
      <c r="FZ47" s="198"/>
      <c r="GA47" s="198"/>
      <c r="GB47" s="198"/>
      <c r="GC47" s="198"/>
      <c r="GD47" s="198"/>
      <c r="GE47" s="198"/>
      <c r="GF47" s="198"/>
      <c r="GG47" s="198"/>
      <c r="GH47" s="198"/>
      <c r="GI47" s="198"/>
      <c r="GJ47" s="198"/>
      <c r="GK47" s="198"/>
      <c r="GL47" s="198"/>
      <c r="GM47" s="198"/>
      <c r="GN47" s="198"/>
      <c r="GO47" s="198"/>
      <c r="GP47" s="198"/>
      <c r="GQ47" s="198"/>
      <c r="GR47" s="198"/>
      <c r="GS47" s="198"/>
      <c r="GT47" s="198"/>
      <c r="GU47" s="198"/>
      <c r="GV47" s="198"/>
      <c r="GW47" s="198"/>
      <c r="GX47" s="198"/>
      <c r="GY47" s="198"/>
      <c r="GZ47" s="198"/>
      <c r="HA47" s="198"/>
      <c r="HB47" s="198"/>
      <c r="HC47" s="198"/>
      <c r="HD47" s="198"/>
      <c r="HE47" s="198"/>
      <c r="HF47" s="198"/>
      <c r="HG47" s="198"/>
      <c r="HH47" s="198"/>
      <c r="HI47" s="198"/>
      <c r="HJ47" s="198"/>
      <c r="HK47" s="198"/>
      <c r="HL47" s="198"/>
      <c r="HM47" s="198"/>
      <c r="HN47" s="198"/>
      <c r="HO47" s="198"/>
      <c r="HP47" s="198"/>
      <c r="HQ47" s="198"/>
      <c r="HR47" s="198"/>
      <c r="HS47" s="198"/>
      <c r="HT47" s="198"/>
      <c r="HU47" s="198"/>
      <c r="HV47" s="198"/>
      <c r="HW47" s="198"/>
      <c r="HX47" s="198"/>
      <c r="HY47" s="198"/>
      <c r="HZ47" s="198"/>
      <c r="IA47" s="198"/>
      <c r="IB47" s="198"/>
      <c r="IC47" s="198"/>
      <c r="ID47" s="198"/>
      <c r="IE47" s="198"/>
      <c r="IF47" s="198"/>
      <c r="IG47" s="198"/>
      <c r="IH47" s="198"/>
      <c r="II47" s="198"/>
      <c r="IJ47" s="198"/>
      <c r="IK47" s="198"/>
      <c r="IL47" s="198"/>
      <c r="IM47" s="198"/>
      <c r="IN47" s="198"/>
      <c r="IO47" s="198"/>
      <c r="IP47" s="198"/>
      <c r="IQ47" s="198"/>
      <c r="IR47" s="198"/>
      <c r="IS47" s="198"/>
      <c r="IT47" s="198"/>
      <c r="IU47" s="198"/>
      <c r="IV47" s="198"/>
    </row>
    <row r="48" s="199" customFormat="true" ht="12.75" hidden="false" customHeight="true" outlineLevel="0" collapsed="false">
      <c r="A48" s="203" t="str">
        <f aca="false">IF(Eingabe!A142="","",Eingabe!A142)</f>
        <v/>
      </c>
      <c r="B48" s="203"/>
      <c r="C48" s="203"/>
      <c r="D48" s="163" t="str">
        <f aca="false">IF(Eingabe!B142="","",Eingabe!B142)</f>
        <v/>
      </c>
      <c r="E48" s="163"/>
      <c r="F48" s="163"/>
      <c r="G48" s="163"/>
      <c r="H48" s="164" t="str">
        <f aca="false">IF(Eingabe!C142="","",Eingabe!C142)</f>
        <v/>
      </c>
      <c r="I48" s="164"/>
      <c r="J48" s="164"/>
      <c r="K48" s="164"/>
      <c r="L48" s="204" t="str">
        <f aca="false">IF(Eingabe!D142="","",Eingabe!D142)</f>
        <v/>
      </c>
      <c r="M48" s="204"/>
      <c r="N48" s="204"/>
      <c r="O48" s="204"/>
      <c r="P48" s="204"/>
      <c r="Q48" s="204"/>
      <c r="R48" s="204"/>
      <c r="S48" s="204"/>
      <c r="T48" s="204"/>
      <c r="U48" s="204"/>
      <c r="V48" s="204"/>
      <c r="W48" s="204"/>
      <c r="X48" s="204"/>
      <c r="Y48" s="204"/>
      <c r="Z48" s="204"/>
      <c r="AA48" s="204"/>
      <c r="AB48" s="204"/>
      <c r="AC48" s="204"/>
      <c r="AD48" s="204"/>
      <c r="AE48" s="204"/>
      <c r="AF48" s="204"/>
      <c r="AG48" s="204"/>
      <c r="AH48" s="200" t="str">
        <f aca="false">IF(Eingabe!F142&amp;Eingabe!G142="","",Eingabe!F142&amp;"  /  "&amp;Eingabe!G142)</f>
        <v/>
      </c>
      <c r="AI48" s="200"/>
      <c r="AJ48" s="200"/>
      <c r="AK48" s="200"/>
      <c r="AL48" s="200"/>
      <c r="AM48" s="200"/>
      <c r="AN48" s="200"/>
      <c r="AO48" s="200"/>
      <c r="AP48" s="200"/>
      <c r="AQ48" s="200"/>
      <c r="AR48" s="200"/>
      <c r="AS48" s="200"/>
      <c r="AT48" s="200"/>
      <c r="AU48" s="200"/>
      <c r="AV48" s="200"/>
      <c r="AW48" s="200"/>
      <c r="AX48" s="200"/>
      <c r="AY48" s="200"/>
      <c r="AZ48" s="200"/>
      <c r="BA48" s="200"/>
      <c r="BB48" s="200"/>
      <c r="BC48" s="200"/>
      <c r="BD48" s="200"/>
      <c r="BE48" s="205" t="str">
        <f aca="false">IF(Eingabe!I142="","",Eingabe!I142)</f>
        <v/>
      </c>
      <c r="BF48" s="205"/>
      <c r="BG48" s="205"/>
      <c r="BH48" s="205"/>
      <c r="BI48" s="205"/>
      <c r="BJ48" s="206" t="str">
        <f aca="false">IF(Eingabe!I142="","",Eingabe!I142*Eingabe!B142)</f>
        <v/>
      </c>
      <c r="BK48" s="206"/>
      <c r="BL48" s="206"/>
      <c r="BM48" s="206"/>
      <c r="BN48" s="206"/>
      <c r="BO48" s="198"/>
      <c r="BP48" s="198"/>
      <c r="BQ48" s="198"/>
      <c r="BR48" s="198"/>
      <c r="BS48" s="198"/>
      <c r="BT48" s="198"/>
      <c r="BU48" s="198"/>
      <c r="BV48" s="198"/>
      <c r="BW48" s="198"/>
      <c r="BX48" s="198"/>
      <c r="BY48" s="198"/>
      <c r="BZ48" s="198"/>
      <c r="CA48" s="198"/>
      <c r="CB48" s="198"/>
      <c r="CC48" s="198"/>
      <c r="CD48" s="198"/>
      <c r="CE48" s="198"/>
      <c r="CF48" s="198"/>
      <c r="CG48" s="198"/>
      <c r="CH48" s="198"/>
      <c r="CI48" s="198"/>
      <c r="CJ48" s="198"/>
      <c r="CK48" s="198"/>
      <c r="CL48" s="198"/>
      <c r="CM48" s="198"/>
      <c r="CN48" s="198"/>
      <c r="CO48" s="198"/>
      <c r="CP48" s="198"/>
      <c r="CQ48" s="198"/>
      <c r="CR48" s="198"/>
      <c r="CS48" s="198"/>
      <c r="CT48" s="198"/>
      <c r="CU48" s="198"/>
      <c r="CV48" s="198"/>
      <c r="CW48" s="198"/>
      <c r="CX48" s="198"/>
      <c r="CY48" s="198"/>
      <c r="CZ48" s="198"/>
      <c r="DA48" s="198"/>
      <c r="DB48" s="198"/>
      <c r="DC48" s="198"/>
      <c r="DD48" s="198"/>
      <c r="DE48" s="198"/>
      <c r="DF48" s="198"/>
      <c r="DG48" s="198"/>
      <c r="DH48" s="198"/>
      <c r="DI48" s="198"/>
      <c r="DJ48" s="198"/>
      <c r="DK48" s="198"/>
      <c r="DL48" s="198"/>
      <c r="DM48" s="198"/>
      <c r="DN48" s="198"/>
      <c r="DO48" s="198"/>
      <c r="DP48" s="198"/>
      <c r="DQ48" s="198"/>
      <c r="DR48" s="198"/>
      <c r="DS48" s="198"/>
      <c r="DT48" s="198"/>
      <c r="DU48" s="198"/>
      <c r="DV48" s="198"/>
      <c r="DW48" s="198"/>
      <c r="DX48" s="198"/>
      <c r="DY48" s="198"/>
      <c r="DZ48" s="198"/>
      <c r="EA48" s="198"/>
      <c r="EB48" s="198"/>
      <c r="EC48" s="198"/>
      <c r="ED48" s="198"/>
      <c r="EE48" s="198"/>
      <c r="EF48" s="198"/>
      <c r="EG48" s="198"/>
      <c r="EH48" s="198"/>
      <c r="EI48" s="198"/>
      <c r="EJ48" s="198"/>
      <c r="EK48" s="198"/>
      <c r="EL48" s="198"/>
      <c r="EM48" s="198"/>
      <c r="EN48" s="198"/>
      <c r="EO48" s="198"/>
      <c r="EP48" s="198"/>
      <c r="EQ48" s="198"/>
      <c r="ER48" s="198"/>
      <c r="ES48" s="198"/>
      <c r="ET48" s="198"/>
      <c r="EU48" s="198"/>
      <c r="EV48" s="198"/>
      <c r="EW48" s="198"/>
      <c r="EX48" s="198"/>
      <c r="EY48" s="198"/>
      <c r="EZ48" s="198"/>
      <c r="FA48" s="198"/>
      <c r="FB48" s="198"/>
      <c r="FC48" s="198"/>
      <c r="FD48" s="198"/>
      <c r="FE48" s="198"/>
      <c r="FF48" s="198"/>
      <c r="FG48" s="198"/>
      <c r="FH48" s="198"/>
      <c r="FI48" s="198"/>
      <c r="FJ48" s="198"/>
      <c r="FK48" s="198"/>
      <c r="FL48" s="198"/>
      <c r="FM48" s="198"/>
      <c r="FN48" s="198"/>
      <c r="FO48" s="198"/>
      <c r="FP48" s="198"/>
      <c r="FQ48" s="198"/>
      <c r="FR48" s="198"/>
      <c r="FS48" s="198"/>
      <c r="FT48" s="198"/>
      <c r="FU48" s="198"/>
      <c r="FV48" s="198"/>
      <c r="FW48" s="198"/>
      <c r="FX48" s="198"/>
      <c r="FY48" s="198"/>
      <c r="FZ48" s="198"/>
      <c r="GA48" s="198"/>
      <c r="GB48" s="198"/>
      <c r="GC48" s="198"/>
      <c r="GD48" s="198"/>
      <c r="GE48" s="198"/>
      <c r="GF48" s="198"/>
      <c r="GG48" s="198"/>
      <c r="GH48" s="198"/>
      <c r="GI48" s="198"/>
      <c r="GJ48" s="198"/>
      <c r="GK48" s="198"/>
      <c r="GL48" s="198"/>
      <c r="GM48" s="198"/>
      <c r="GN48" s="198"/>
      <c r="GO48" s="198"/>
      <c r="GP48" s="198"/>
      <c r="GQ48" s="198"/>
      <c r="GR48" s="198"/>
      <c r="GS48" s="198"/>
      <c r="GT48" s="198"/>
      <c r="GU48" s="198"/>
      <c r="GV48" s="198"/>
      <c r="GW48" s="198"/>
      <c r="GX48" s="198"/>
      <c r="GY48" s="198"/>
      <c r="GZ48" s="198"/>
      <c r="HA48" s="198"/>
      <c r="HB48" s="198"/>
      <c r="HC48" s="198"/>
      <c r="HD48" s="198"/>
      <c r="HE48" s="198"/>
      <c r="HF48" s="198"/>
      <c r="HG48" s="198"/>
      <c r="HH48" s="198"/>
      <c r="HI48" s="198"/>
      <c r="HJ48" s="198"/>
      <c r="HK48" s="198"/>
      <c r="HL48" s="198"/>
      <c r="HM48" s="198"/>
      <c r="HN48" s="198"/>
      <c r="HO48" s="198"/>
      <c r="HP48" s="198"/>
      <c r="HQ48" s="198"/>
      <c r="HR48" s="198"/>
      <c r="HS48" s="198"/>
      <c r="HT48" s="198"/>
      <c r="HU48" s="198"/>
      <c r="HV48" s="198"/>
      <c r="HW48" s="198"/>
      <c r="HX48" s="198"/>
      <c r="HY48" s="198"/>
      <c r="HZ48" s="198"/>
      <c r="IA48" s="198"/>
      <c r="IB48" s="198"/>
      <c r="IC48" s="198"/>
      <c r="ID48" s="198"/>
      <c r="IE48" s="198"/>
      <c r="IF48" s="198"/>
      <c r="IG48" s="198"/>
      <c r="IH48" s="198"/>
      <c r="II48" s="198"/>
      <c r="IJ48" s="198"/>
      <c r="IK48" s="198"/>
      <c r="IL48" s="198"/>
      <c r="IM48" s="198"/>
      <c r="IN48" s="198"/>
      <c r="IO48" s="198"/>
      <c r="IP48" s="198"/>
      <c r="IQ48" s="198"/>
      <c r="IR48" s="198"/>
      <c r="IS48" s="198"/>
      <c r="IT48" s="198"/>
      <c r="IU48" s="198"/>
      <c r="IV48" s="198"/>
    </row>
    <row r="49" s="199" customFormat="true" ht="19.5" hidden="false" customHeight="true" outlineLevel="0" collapsed="false">
      <c r="A49" s="207"/>
      <c r="B49" s="207"/>
      <c r="C49" s="207"/>
      <c r="D49" s="207"/>
      <c r="E49" s="207"/>
      <c r="F49" s="207"/>
      <c r="G49" s="207"/>
      <c r="H49" s="207"/>
      <c r="I49" s="207"/>
      <c r="J49" s="207"/>
      <c r="K49" s="207"/>
      <c r="L49" s="207"/>
      <c r="M49" s="207"/>
      <c r="N49" s="207"/>
      <c r="O49" s="207"/>
      <c r="P49" s="207"/>
      <c r="Q49" s="207"/>
      <c r="R49" s="207"/>
      <c r="S49" s="207"/>
      <c r="T49" s="207"/>
      <c r="U49" s="207"/>
      <c r="V49" s="207"/>
      <c r="W49" s="207"/>
      <c r="X49" s="207"/>
      <c r="Y49" s="207"/>
      <c r="Z49" s="207"/>
      <c r="AA49" s="207"/>
      <c r="AB49" s="207"/>
      <c r="AC49" s="207"/>
      <c r="AD49" s="207"/>
      <c r="AE49" s="207"/>
      <c r="AF49" s="207"/>
      <c r="AG49" s="207"/>
      <c r="AH49" s="208" t="s">
        <v>107</v>
      </c>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15" t="n">
        <f aca="false">'Materialkalkulation (2)'!BE52:BN52</f>
        <v>108.63556</v>
      </c>
      <c r="BF49" s="215"/>
      <c r="BG49" s="215"/>
      <c r="BH49" s="215"/>
      <c r="BI49" s="215"/>
      <c r="BJ49" s="215"/>
      <c r="BK49" s="215"/>
      <c r="BL49" s="215"/>
      <c r="BM49" s="215"/>
      <c r="BN49" s="215"/>
      <c r="BO49" s="198"/>
      <c r="BP49" s="198"/>
      <c r="BQ49" s="198"/>
      <c r="BR49" s="198"/>
      <c r="BS49" s="198"/>
      <c r="BT49" s="198"/>
      <c r="BU49" s="198"/>
      <c r="BV49" s="198"/>
      <c r="BW49" s="198"/>
      <c r="BX49" s="198"/>
      <c r="BY49" s="198"/>
      <c r="BZ49" s="198"/>
      <c r="CA49" s="198"/>
      <c r="CB49" s="198"/>
      <c r="CC49" s="198"/>
      <c r="CD49" s="198"/>
      <c r="CE49" s="198"/>
      <c r="CF49" s="198"/>
      <c r="CG49" s="198"/>
      <c r="CH49" s="198"/>
      <c r="CI49" s="198"/>
      <c r="CJ49" s="198"/>
      <c r="CK49" s="198"/>
      <c r="CL49" s="198"/>
      <c r="CM49" s="198"/>
      <c r="CN49" s="198"/>
      <c r="CO49" s="198"/>
      <c r="CP49" s="198"/>
      <c r="CQ49" s="198"/>
      <c r="CR49" s="198"/>
      <c r="CS49" s="198"/>
      <c r="CT49" s="198"/>
      <c r="CU49" s="198"/>
      <c r="CV49" s="198"/>
      <c r="CW49" s="198"/>
      <c r="CX49" s="198"/>
      <c r="CY49" s="198"/>
      <c r="CZ49" s="198"/>
      <c r="DA49" s="198"/>
      <c r="DB49" s="198"/>
      <c r="DC49" s="198"/>
      <c r="DD49" s="198"/>
      <c r="DE49" s="198"/>
      <c r="DF49" s="198"/>
      <c r="DG49" s="198"/>
      <c r="DH49" s="198"/>
      <c r="DI49" s="198"/>
      <c r="DJ49" s="198"/>
      <c r="DK49" s="198"/>
      <c r="DL49" s="198"/>
      <c r="DM49" s="198"/>
      <c r="DN49" s="198"/>
      <c r="DO49" s="198"/>
      <c r="DP49" s="198"/>
      <c r="DQ49" s="198"/>
      <c r="DR49" s="198"/>
      <c r="DS49" s="198"/>
      <c r="DT49" s="198"/>
      <c r="DU49" s="198"/>
      <c r="DV49" s="198"/>
      <c r="DW49" s="198"/>
      <c r="DX49" s="198"/>
      <c r="DY49" s="198"/>
      <c r="DZ49" s="198"/>
      <c r="EA49" s="198"/>
      <c r="EB49" s="198"/>
      <c r="EC49" s="198"/>
      <c r="ED49" s="198"/>
      <c r="EE49" s="198"/>
      <c r="EF49" s="198"/>
      <c r="EG49" s="198"/>
      <c r="EH49" s="198"/>
      <c r="EI49" s="198"/>
      <c r="EJ49" s="198"/>
      <c r="EK49" s="198"/>
      <c r="EL49" s="198"/>
      <c r="EM49" s="198"/>
      <c r="EN49" s="198"/>
      <c r="EO49" s="198"/>
      <c r="EP49" s="198"/>
      <c r="EQ49" s="198"/>
      <c r="ER49" s="198"/>
      <c r="ES49" s="198"/>
      <c r="ET49" s="198"/>
      <c r="EU49" s="198"/>
      <c r="EV49" s="198"/>
      <c r="EW49" s="198"/>
      <c r="EX49" s="198"/>
      <c r="EY49" s="198"/>
      <c r="EZ49" s="198"/>
      <c r="FA49" s="198"/>
      <c r="FB49" s="198"/>
      <c r="FC49" s="198"/>
      <c r="FD49" s="198"/>
      <c r="FE49" s="198"/>
      <c r="FF49" s="198"/>
      <c r="FG49" s="198"/>
      <c r="FH49" s="198"/>
      <c r="FI49" s="198"/>
      <c r="FJ49" s="198"/>
      <c r="FK49" s="198"/>
      <c r="FL49" s="198"/>
      <c r="FM49" s="198"/>
      <c r="FN49" s="198"/>
      <c r="FO49" s="198"/>
      <c r="FP49" s="198"/>
      <c r="FQ49" s="198"/>
      <c r="FR49" s="198"/>
      <c r="FS49" s="198"/>
      <c r="FT49" s="198"/>
      <c r="FU49" s="198"/>
      <c r="FV49" s="198"/>
      <c r="FW49" s="198"/>
      <c r="FX49" s="198"/>
      <c r="FY49" s="198"/>
      <c r="FZ49" s="198"/>
      <c r="GA49" s="198"/>
      <c r="GB49" s="198"/>
      <c r="GC49" s="198"/>
      <c r="GD49" s="198"/>
      <c r="GE49" s="198"/>
      <c r="GF49" s="198"/>
      <c r="GG49" s="198"/>
      <c r="GH49" s="198"/>
      <c r="GI49" s="198"/>
      <c r="GJ49" s="198"/>
      <c r="GK49" s="198"/>
      <c r="GL49" s="198"/>
      <c r="GM49" s="198"/>
      <c r="GN49" s="198"/>
      <c r="GO49" s="198"/>
      <c r="GP49" s="198"/>
      <c r="GQ49" s="198"/>
      <c r="GR49" s="198"/>
      <c r="GS49" s="198"/>
      <c r="GT49" s="198"/>
      <c r="GU49" s="198"/>
      <c r="GV49" s="198"/>
      <c r="GW49" s="198"/>
      <c r="GX49" s="198"/>
      <c r="GY49" s="198"/>
      <c r="GZ49" s="198"/>
      <c r="HA49" s="198"/>
      <c r="HB49" s="198"/>
      <c r="HC49" s="198"/>
      <c r="HD49" s="198"/>
      <c r="HE49" s="198"/>
      <c r="HF49" s="198"/>
      <c r="HG49" s="198"/>
      <c r="HH49" s="198"/>
      <c r="HI49" s="198"/>
      <c r="HJ49" s="198"/>
      <c r="HK49" s="198"/>
      <c r="HL49" s="198"/>
      <c r="HM49" s="198"/>
      <c r="HN49" s="198"/>
      <c r="HO49" s="198"/>
      <c r="HP49" s="198"/>
      <c r="HQ49" s="198"/>
      <c r="HR49" s="198"/>
      <c r="HS49" s="198"/>
      <c r="HT49" s="198"/>
      <c r="HU49" s="198"/>
      <c r="HV49" s="198"/>
      <c r="HW49" s="198"/>
      <c r="HX49" s="198"/>
      <c r="HY49" s="198"/>
      <c r="HZ49" s="198"/>
      <c r="IA49" s="198"/>
      <c r="IB49" s="198"/>
      <c r="IC49" s="198"/>
      <c r="ID49" s="198"/>
      <c r="IE49" s="198"/>
      <c r="IF49" s="198"/>
      <c r="IG49" s="198"/>
      <c r="IH49" s="198"/>
      <c r="II49" s="198"/>
      <c r="IJ49" s="198"/>
      <c r="IK49" s="198"/>
      <c r="IL49" s="198"/>
      <c r="IM49" s="198"/>
      <c r="IN49" s="198"/>
      <c r="IO49" s="198"/>
      <c r="IP49" s="198"/>
      <c r="IQ49" s="198"/>
      <c r="IR49" s="198"/>
      <c r="IS49" s="198"/>
      <c r="IT49" s="198"/>
      <c r="IU49" s="198"/>
      <c r="IV49" s="198"/>
    </row>
    <row r="50" s="199" customFormat="true" ht="19.5" hidden="false" customHeight="true" outlineLevel="0" collapsed="false">
      <c r="A50" s="207"/>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c r="AA50" s="207"/>
      <c r="AB50" s="207"/>
      <c r="AC50" s="207"/>
      <c r="AD50" s="207"/>
      <c r="AE50" s="207"/>
      <c r="AF50" s="207"/>
      <c r="AG50" s="207"/>
      <c r="AH50" s="210" t="s">
        <v>108</v>
      </c>
      <c r="AI50" s="210"/>
      <c r="AJ50" s="210"/>
      <c r="AK50" s="210"/>
      <c r="AL50" s="210"/>
      <c r="AM50" s="210"/>
      <c r="AN50" s="210"/>
      <c r="AO50" s="210"/>
      <c r="AP50" s="210"/>
      <c r="AQ50" s="210"/>
      <c r="AR50" s="210"/>
      <c r="AS50" s="210"/>
      <c r="AT50" s="210"/>
      <c r="AU50" s="210"/>
      <c r="AV50" s="210"/>
      <c r="AW50" s="210"/>
      <c r="AX50" s="210"/>
      <c r="AY50" s="210"/>
      <c r="AZ50" s="210"/>
      <c r="BA50" s="210"/>
      <c r="BB50" s="210"/>
      <c r="BC50" s="210"/>
      <c r="BD50" s="210"/>
      <c r="BE50" s="211" t="n">
        <f aca="false">SUM(BJ4:BN48)</f>
        <v>0</v>
      </c>
      <c r="BF50" s="211"/>
      <c r="BG50" s="211"/>
      <c r="BH50" s="211"/>
      <c r="BI50" s="211"/>
      <c r="BJ50" s="211"/>
      <c r="BK50" s="211"/>
      <c r="BL50" s="211"/>
      <c r="BM50" s="211"/>
      <c r="BN50" s="211"/>
      <c r="BO50" s="198"/>
      <c r="BP50" s="198"/>
      <c r="BQ50" s="198"/>
      <c r="BR50" s="198"/>
      <c r="BS50" s="198"/>
      <c r="BT50" s="198"/>
      <c r="BU50" s="198"/>
      <c r="BV50" s="198"/>
      <c r="BW50" s="198"/>
      <c r="BX50" s="198"/>
      <c r="BY50" s="198"/>
      <c r="BZ50" s="198"/>
      <c r="CA50" s="198"/>
      <c r="CB50" s="198"/>
      <c r="CC50" s="198"/>
      <c r="CD50" s="198"/>
      <c r="CE50" s="198"/>
      <c r="CF50" s="198"/>
      <c r="CG50" s="198"/>
      <c r="CH50" s="198"/>
      <c r="CI50" s="198"/>
      <c r="CJ50" s="198"/>
      <c r="CK50" s="198"/>
      <c r="CL50" s="198"/>
      <c r="CM50" s="198"/>
      <c r="CN50" s="198"/>
      <c r="CO50" s="198"/>
      <c r="CP50" s="198"/>
      <c r="CQ50" s="198"/>
      <c r="CR50" s="198"/>
      <c r="CS50" s="198"/>
      <c r="CT50" s="198"/>
      <c r="CU50" s="198"/>
      <c r="CV50" s="198"/>
      <c r="CW50" s="198"/>
      <c r="CX50" s="198"/>
      <c r="CY50" s="198"/>
      <c r="CZ50" s="198"/>
      <c r="DA50" s="198"/>
      <c r="DB50" s="198"/>
      <c r="DC50" s="198"/>
      <c r="DD50" s="198"/>
      <c r="DE50" s="198"/>
      <c r="DF50" s="198"/>
      <c r="DG50" s="198"/>
      <c r="DH50" s="198"/>
      <c r="DI50" s="198"/>
      <c r="DJ50" s="198"/>
      <c r="DK50" s="198"/>
      <c r="DL50" s="198"/>
      <c r="DM50" s="198"/>
      <c r="DN50" s="198"/>
      <c r="DO50" s="198"/>
      <c r="DP50" s="198"/>
      <c r="DQ50" s="198"/>
      <c r="DR50" s="198"/>
      <c r="DS50" s="198"/>
      <c r="DT50" s="198"/>
      <c r="DU50" s="198"/>
      <c r="DV50" s="198"/>
      <c r="DW50" s="198"/>
      <c r="DX50" s="198"/>
      <c r="DY50" s="198"/>
      <c r="DZ50" s="198"/>
      <c r="EA50" s="198"/>
      <c r="EB50" s="198"/>
      <c r="EC50" s="198"/>
      <c r="ED50" s="198"/>
      <c r="EE50" s="198"/>
      <c r="EF50" s="198"/>
      <c r="EG50" s="198"/>
      <c r="EH50" s="198"/>
      <c r="EI50" s="198"/>
      <c r="EJ50" s="198"/>
      <c r="EK50" s="198"/>
      <c r="EL50" s="198"/>
      <c r="EM50" s="198"/>
      <c r="EN50" s="198"/>
      <c r="EO50" s="198"/>
      <c r="EP50" s="198"/>
      <c r="EQ50" s="198"/>
      <c r="ER50" s="198"/>
      <c r="ES50" s="198"/>
      <c r="ET50" s="198"/>
      <c r="EU50" s="198"/>
      <c r="EV50" s="198"/>
      <c r="EW50" s="198"/>
      <c r="EX50" s="198"/>
      <c r="EY50" s="198"/>
      <c r="EZ50" s="198"/>
      <c r="FA50" s="198"/>
      <c r="FB50" s="198"/>
      <c r="FC50" s="198"/>
      <c r="FD50" s="198"/>
      <c r="FE50" s="198"/>
      <c r="FF50" s="198"/>
      <c r="FG50" s="198"/>
      <c r="FH50" s="198"/>
      <c r="FI50" s="198"/>
      <c r="FJ50" s="198"/>
      <c r="FK50" s="198"/>
      <c r="FL50" s="198"/>
      <c r="FM50" s="198"/>
      <c r="FN50" s="198"/>
      <c r="FO50" s="198"/>
      <c r="FP50" s="198"/>
      <c r="FQ50" s="198"/>
      <c r="FR50" s="198"/>
      <c r="FS50" s="198"/>
      <c r="FT50" s="198"/>
      <c r="FU50" s="198"/>
      <c r="FV50" s="198"/>
      <c r="FW50" s="198"/>
      <c r="FX50" s="198"/>
      <c r="FY50" s="198"/>
      <c r="FZ50" s="198"/>
      <c r="GA50" s="198"/>
      <c r="GB50" s="198"/>
      <c r="GC50" s="198"/>
      <c r="GD50" s="198"/>
      <c r="GE50" s="198"/>
      <c r="GF50" s="198"/>
      <c r="GG50" s="198"/>
      <c r="GH50" s="198"/>
      <c r="GI50" s="198"/>
      <c r="GJ50" s="198"/>
      <c r="GK50" s="198"/>
      <c r="GL50" s="198"/>
      <c r="GM50" s="198"/>
      <c r="GN50" s="198"/>
      <c r="GO50" s="198"/>
      <c r="GP50" s="198"/>
      <c r="GQ50" s="198"/>
      <c r="GR50" s="198"/>
      <c r="GS50" s="198"/>
      <c r="GT50" s="198"/>
      <c r="GU50" s="198"/>
      <c r="GV50" s="198"/>
      <c r="GW50" s="198"/>
      <c r="GX50" s="198"/>
      <c r="GY50" s="198"/>
      <c r="GZ50" s="198"/>
      <c r="HA50" s="198"/>
      <c r="HB50" s="198"/>
      <c r="HC50" s="198"/>
      <c r="HD50" s="198"/>
      <c r="HE50" s="198"/>
      <c r="HF50" s="198"/>
      <c r="HG50" s="198"/>
      <c r="HH50" s="198"/>
      <c r="HI50" s="198"/>
      <c r="HJ50" s="198"/>
      <c r="HK50" s="198"/>
      <c r="HL50" s="198"/>
      <c r="HM50" s="198"/>
      <c r="HN50" s="198"/>
      <c r="HO50" s="198"/>
      <c r="HP50" s="198"/>
      <c r="HQ50" s="198"/>
      <c r="HR50" s="198"/>
      <c r="HS50" s="198"/>
      <c r="HT50" s="198"/>
      <c r="HU50" s="198"/>
      <c r="HV50" s="198"/>
      <c r="HW50" s="198"/>
      <c r="HX50" s="198"/>
      <c r="HY50" s="198"/>
      <c r="HZ50" s="198"/>
      <c r="IA50" s="198"/>
      <c r="IB50" s="198"/>
      <c r="IC50" s="198"/>
      <c r="ID50" s="198"/>
      <c r="IE50" s="198"/>
      <c r="IF50" s="198"/>
      <c r="IG50" s="198"/>
      <c r="IH50" s="198"/>
      <c r="II50" s="198"/>
      <c r="IJ50" s="198"/>
      <c r="IK50" s="198"/>
      <c r="IL50" s="198"/>
      <c r="IM50" s="198"/>
      <c r="IN50" s="198"/>
      <c r="IO50" s="198"/>
      <c r="IP50" s="198"/>
      <c r="IQ50" s="198"/>
      <c r="IR50" s="198"/>
      <c r="IS50" s="198"/>
      <c r="IT50" s="198"/>
      <c r="IU50" s="198"/>
      <c r="IV50" s="198"/>
    </row>
    <row r="51" s="199" customFormat="true" ht="19.5" hidden="false" customHeight="true" outlineLevel="0" collapsed="false">
      <c r="A51" s="207"/>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c r="AA51" s="207"/>
      <c r="AB51" s="207"/>
      <c r="AC51" s="207"/>
      <c r="AD51" s="207"/>
      <c r="AE51" s="207"/>
      <c r="AF51" s="207"/>
      <c r="AG51" s="207"/>
      <c r="AH51" s="210" t="s">
        <v>109</v>
      </c>
      <c r="AI51" s="210"/>
      <c r="AJ51" s="210"/>
      <c r="AK51" s="210"/>
      <c r="AL51" s="210"/>
      <c r="AM51" s="210"/>
      <c r="AN51" s="210"/>
      <c r="AO51" s="210"/>
      <c r="AP51" s="210"/>
      <c r="AQ51" s="210"/>
      <c r="AR51" s="210"/>
      <c r="AS51" s="210"/>
      <c r="AT51" s="210"/>
      <c r="AU51" s="210"/>
      <c r="AV51" s="210"/>
      <c r="AW51" s="210"/>
      <c r="AX51" s="210"/>
      <c r="AY51" s="210"/>
      <c r="AZ51" s="210"/>
      <c r="BA51" s="210"/>
      <c r="BB51" s="210"/>
      <c r="BC51" s="210"/>
      <c r="BD51" s="210"/>
      <c r="BE51" s="212" t="n">
        <f aca="false">BE50*0.1</f>
        <v>0</v>
      </c>
      <c r="BF51" s="212"/>
      <c r="BG51" s="212"/>
      <c r="BH51" s="212"/>
      <c r="BI51" s="212"/>
      <c r="BJ51" s="212"/>
      <c r="BK51" s="212"/>
      <c r="BL51" s="212"/>
      <c r="BM51" s="212"/>
      <c r="BN51" s="212"/>
      <c r="BO51" s="198"/>
      <c r="BP51" s="198"/>
      <c r="BQ51" s="198"/>
      <c r="BR51" s="198"/>
      <c r="BS51" s="198"/>
      <c r="BT51" s="198"/>
      <c r="BU51" s="198"/>
      <c r="BV51" s="198"/>
      <c r="BW51" s="198"/>
      <c r="BX51" s="198"/>
      <c r="BY51" s="198"/>
      <c r="BZ51" s="198"/>
      <c r="CA51" s="198"/>
      <c r="CB51" s="198"/>
      <c r="CC51" s="198"/>
      <c r="CD51" s="198"/>
      <c r="CE51" s="198"/>
      <c r="CF51" s="198"/>
      <c r="CG51" s="198"/>
      <c r="CH51" s="198"/>
      <c r="CI51" s="198"/>
      <c r="CJ51" s="198"/>
      <c r="CK51" s="198"/>
      <c r="CL51" s="198"/>
      <c r="CM51" s="198"/>
      <c r="CN51" s="198"/>
      <c r="CO51" s="198"/>
      <c r="CP51" s="198"/>
      <c r="CQ51" s="198"/>
      <c r="CR51" s="198"/>
      <c r="CS51" s="198"/>
      <c r="CT51" s="198"/>
      <c r="CU51" s="198"/>
      <c r="CV51" s="198"/>
      <c r="CW51" s="198"/>
      <c r="CX51" s="198"/>
      <c r="CY51" s="198"/>
      <c r="CZ51" s="198"/>
      <c r="DA51" s="198"/>
      <c r="DB51" s="198"/>
      <c r="DC51" s="198"/>
      <c r="DD51" s="198"/>
      <c r="DE51" s="198"/>
      <c r="DF51" s="198"/>
      <c r="DG51" s="198"/>
      <c r="DH51" s="198"/>
      <c r="DI51" s="198"/>
      <c r="DJ51" s="198"/>
      <c r="DK51" s="198"/>
      <c r="DL51" s="198"/>
      <c r="DM51" s="198"/>
      <c r="DN51" s="198"/>
      <c r="DO51" s="198"/>
      <c r="DP51" s="198"/>
      <c r="DQ51" s="198"/>
      <c r="DR51" s="198"/>
      <c r="DS51" s="198"/>
      <c r="DT51" s="198"/>
      <c r="DU51" s="198"/>
      <c r="DV51" s="198"/>
      <c r="DW51" s="198"/>
      <c r="DX51" s="198"/>
      <c r="DY51" s="198"/>
      <c r="DZ51" s="198"/>
      <c r="EA51" s="198"/>
      <c r="EB51" s="198"/>
      <c r="EC51" s="198"/>
      <c r="ED51" s="198"/>
      <c r="EE51" s="198"/>
      <c r="EF51" s="198"/>
      <c r="EG51" s="198"/>
      <c r="EH51" s="198"/>
      <c r="EI51" s="198"/>
      <c r="EJ51" s="198"/>
      <c r="EK51" s="198"/>
      <c r="EL51" s="198"/>
      <c r="EM51" s="198"/>
      <c r="EN51" s="198"/>
      <c r="EO51" s="198"/>
      <c r="EP51" s="198"/>
      <c r="EQ51" s="198"/>
      <c r="ER51" s="198"/>
      <c r="ES51" s="198"/>
      <c r="ET51" s="198"/>
      <c r="EU51" s="198"/>
      <c r="EV51" s="198"/>
      <c r="EW51" s="198"/>
      <c r="EX51" s="198"/>
      <c r="EY51" s="198"/>
      <c r="EZ51" s="198"/>
      <c r="FA51" s="198"/>
      <c r="FB51" s="198"/>
      <c r="FC51" s="198"/>
      <c r="FD51" s="198"/>
      <c r="FE51" s="198"/>
      <c r="FF51" s="198"/>
      <c r="FG51" s="198"/>
      <c r="FH51" s="198"/>
      <c r="FI51" s="198"/>
      <c r="FJ51" s="198"/>
      <c r="FK51" s="198"/>
      <c r="FL51" s="198"/>
      <c r="FM51" s="198"/>
      <c r="FN51" s="198"/>
      <c r="FO51" s="198"/>
      <c r="FP51" s="198"/>
      <c r="FQ51" s="198"/>
      <c r="FR51" s="198"/>
      <c r="FS51" s="198"/>
      <c r="FT51" s="198"/>
      <c r="FU51" s="198"/>
      <c r="FV51" s="198"/>
      <c r="FW51" s="198"/>
      <c r="FX51" s="198"/>
      <c r="FY51" s="198"/>
      <c r="FZ51" s="198"/>
      <c r="GA51" s="198"/>
      <c r="GB51" s="198"/>
      <c r="GC51" s="198"/>
      <c r="GD51" s="198"/>
      <c r="GE51" s="198"/>
      <c r="GF51" s="198"/>
      <c r="GG51" s="198"/>
      <c r="GH51" s="198"/>
      <c r="GI51" s="198"/>
      <c r="GJ51" s="198"/>
      <c r="GK51" s="198"/>
      <c r="GL51" s="198"/>
      <c r="GM51" s="198"/>
      <c r="GN51" s="198"/>
      <c r="GO51" s="198"/>
      <c r="GP51" s="198"/>
      <c r="GQ51" s="198"/>
      <c r="GR51" s="198"/>
      <c r="GS51" s="198"/>
      <c r="GT51" s="198"/>
      <c r="GU51" s="198"/>
      <c r="GV51" s="198"/>
      <c r="GW51" s="198"/>
      <c r="GX51" s="198"/>
      <c r="GY51" s="198"/>
      <c r="GZ51" s="198"/>
      <c r="HA51" s="198"/>
      <c r="HB51" s="198"/>
      <c r="HC51" s="198"/>
      <c r="HD51" s="198"/>
      <c r="HE51" s="198"/>
      <c r="HF51" s="198"/>
      <c r="HG51" s="198"/>
      <c r="HH51" s="198"/>
      <c r="HI51" s="198"/>
      <c r="HJ51" s="198"/>
      <c r="HK51" s="198"/>
      <c r="HL51" s="198"/>
      <c r="HM51" s="198"/>
      <c r="HN51" s="198"/>
      <c r="HO51" s="198"/>
      <c r="HP51" s="198"/>
      <c r="HQ51" s="198"/>
      <c r="HR51" s="198"/>
      <c r="HS51" s="198"/>
      <c r="HT51" s="198"/>
      <c r="HU51" s="198"/>
      <c r="HV51" s="198"/>
      <c r="HW51" s="198"/>
      <c r="HX51" s="198"/>
      <c r="HY51" s="198"/>
      <c r="HZ51" s="198"/>
      <c r="IA51" s="198"/>
      <c r="IB51" s="198"/>
      <c r="IC51" s="198"/>
      <c r="ID51" s="198"/>
      <c r="IE51" s="198"/>
      <c r="IF51" s="198"/>
      <c r="IG51" s="198"/>
      <c r="IH51" s="198"/>
      <c r="II51" s="198"/>
      <c r="IJ51" s="198"/>
      <c r="IK51" s="198"/>
      <c r="IL51" s="198"/>
      <c r="IM51" s="198"/>
      <c r="IN51" s="198"/>
      <c r="IO51" s="198"/>
      <c r="IP51" s="198"/>
      <c r="IQ51" s="198"/>
      <c r="IR51" s="198"/>
      <c r="IS51" s="198"/>
      <c r="IT51" s="198"/>
      <c r="IU51" s="198"/>
      <c r="IV51" s="198"/>
    </row>
    <row r="52" customFormat="false" ht="19.5" hidden="false" customHeight="true" outlineLevel="0" collapsed="false">
      <c r="A52" s="207"/>
      <c r="B52" s="207"/>
      <c r="C52" s="207"/>
      <c r="D52" s="207"/>
      <c r="E52" s="207"/>
      <c r="F52" s="207"/>
      <c r="G52" s="207"/>
      <c r="H52" s="207"/>
      <c r="I52" s="207"/>
      <c r="J52" s="207"/>
      <c r="K52" s="207"/>
      <c r="L52" s="207"/>
      <c r="M52" s="207"/>
      <c r="N52" s="207"/>
      <c r="O52" s="207"/>
      <c r="P52" s="207"/>
      <c r="Q52" s="207"/>
      <c r="R52" s="207"/>
      <c r="S52" s="207"/>
      <c r="T52" s="207"/>
      <c r="U52" s="207"/>
      <c r="V52" s="207"/>
      <c r="W52" s="207"/>
      <c r="X52" s="207"/>
      <c r="Y52" s="207"/>
      <c r="Z52" s="207"/>
      <c r="AA52" s="207"/>
      <c r="AB52" s="207"/>
      <c r="AC52" s="207"/>
      <c r="AD52" s="207"/>
      <c r="AE52" s="207"/>
      <c r="AF52" s="207"/>
      <c r="AG52" s="207"/>
      <c r="AH52" s="213" t="s">
        <v>110</v>
      </c>
      <c r="AI52" s="213"/>
      <c r="AJ52" s="213"/>
      <c r="AK52" s="213"/>
      <c r="AL52" s="213"/>
      <c r="AM52" s="213"/>
      <c r="AN52" s="213"/>
      <c r="AO52" s="213"/>
      <c r="AP52" s="213"/>
      <c r="AQ52" s="213"/>
      <c r="AR52" s="213"/>
      <c r="AS52" s="213"/>
      <c r="AT52" s="213"/>
      <c r="AU52" s="213"/>
      <c r="AV52" s="213"/>
      <c r="AW52" s="213"/>
      <c r="AX52" s="213"/>
      <c r="AY52" s="213"/>
      <c r="AZ52" s="213"/>
      <c r="BA52" s="213"/>
      <c r="BB52" s="213"/>
      <c r="BC52" s="213"/>
      <c r="BD52" s="213"/>
      <c r="BE52" s="212" t="n">
        <f aca="false">SUM(BE49:BN51)</f>
        <v>108.63556</v>
      </c>
      <c r="BF52" s="212"/>
      <c r="BG52" s="212"/>
      <c r="BH52" s="212"/>
      <c r="BI52" s="212"/>
      <c r="BJ52" s="212"/>
      <c r="BK52" s="212"/>
      <c r="BL52" s="212"/>
      <c r="BM52" s="212"/>
      <c r="BN52" s="212"/>
      <c r="BO52" s="198"/>
      <c r="BP52" s="198"/>
      <c r="BQ52" s="198"/>
      <c r="BR52" s="198"/>
      <c r="BS52" s="198"/>
      <c r="BT52" s="198"/>
      <c r="BU52" s="198"/>
      <c r="BV52" s="198"/>
      <c r="BW52" s="198"/>
      <c r="BX52" s="198"/>
      <c r="BY52" s="198"/>
      <c r="BZ52" s="198"/>
      <c r="CA52" s="198"/>
      <c r="CB52" s="198"/>
      <c r="CC52" s="198"/>
      <c r="CD52" s="198"/>
      <c r="CE52" s="198"/>
      <c r="CF52" s="198"/>
      <c r="CG52" s="198"/>
      <c r="CH52" s="198"/>
      <c r="CI52" s="198"/>
      <c r="CJ52" s="198"/>
      <c r="CK52" s="198"/>
      <c r="CL52" s="198"/>
      <c r="CM52" s="198"/>
      <c r="CN52" s="198"/>
      <c r="CO52" s="198"/>
      <c r="CP52" s="198"/>
      <c r="CQ52" s="198"/>
      <c r="CR52" s="198"/>
      <c r="CS52" s="198"/>
      <c r="CT52" s="198"/>
      <c r="CU52" s="198"/>
      <c r="CV52" s="198"/>
      <c r="CW52" s="198"/>
      <c r="CX52" s="198"/>
      <c r="CY52" s="198"/>
      <c r="CZ52" s="198"/>
      <c r="DA52" s="198"/>
      <c r="DB52" s="198"/>
      <c r="DC52" s="198"/>
      <c r="DD52" s="198"/>
      <c r="DE52" s="198"/>
      <c r="DF52" s="198"/>
      <c r="DG52" s="198"/>
      <c r="DH52" s="198"/>
      <c r="DI52" s="198"/>
      <c r="DJ52" s="198"/>
      <c r="DK52" s="198"/>
      <c r="DL52" s="198"/>
      <c r="DM52" s="198"/>
      <c r="DN52" s="198"/>
      <c r="DO52" s="198"/>
      <c r="DP52" s="198"/>
      <c r="DQ52" s="198"/>
      <c r="DR52" s="198"/>
      <c r="DS52" s="198"/>
      <c r="DT52" s="198"/>
      <c r="DU52" s="198"/>
      <c r="DV52" s="198"/>
      <c r="DW52" s="198"/>
      <c r="DX52" s="198"/>
      <c r="DY52" s="198"/>
      <c r="DZ52" s="198"/>
      <c r="EA52" s="198"/>
      <c r="EB52" s="198"/>
      <c r="EC52" s="198"/>
      <c r="ED52" s="198"/>
      <c r="EE52" s="198"/>
      <c r="EF52" s="198"/>
      <c r="EG52" s="198"/>
      <c r="EH52" s="198"/>
      <c r="EI52" s="198"/>
      <c r="EJ52" s="198"/>
      <c r="EK52" s="198"/>
      <c r="EL52" s="198"/>
      <c r="EM52" s="198"/>
      <c r="EN52" s="198"/>
      <c r="EO52" s="198"/>
      <c r="EP52" s="198"/>
      <c r="EQ52" s="198"/>
      <c r="ER52" s="198"/>
      <c r="ES52" s="198"/>
      <c r="ET52" s="198"/>
      <c r="EU52" s="198"/>
      <c r="EV52" s="198"/>
      <c r="EW52" s="198"/>
      <c r="EX52" s="198"/>
      <c r="EY52" s="198"/>
      <c r="EZ52" s="198"/>
      <c r="FA52" s="198"/>
      <c r="FB52" s="198"/>
      <c r="FC52" s="198"/>
      <c r="FD52" s="198"/>
      <c r="FE52" s="198"/>
      <c r="FF52" s="198"/>
      <c r="FG52" s="198"/>
      <c r="FH52" s="198"/>
      <c r="FI52" s="198"/>
      <c r="FJ52" s="198"/>
      <c r="FK52" s="198"/>
      <c r="FL52" s="198"/>
      <c r="FM52" s="198"/>
      <c r="FN52" s="198"/>
      <c r="FO52" s="198"/>
      <c r="FP52" s="198"/>
      <c r="FQ52" s="198"/>
      <c r="FR52" s="198"/>
      <c r="FS52" s="198"/>
      <c r="FT52" s="198"/>
      <c r="FU52" s="198"/>
      <c r="FV52" s="198"/>
      <c r="FW52" s="198"/>
      <c r="FX52" s="198"/>
      <c r="FY52" s="198"/>
      <c r="FZ52" s="198"/>
      <c r="GA52" s="198"/>
      <c r="GB52" s="198"/>
      <c r="GC52" s="198"/>
      <c r="GD52" s="198"/>
      <c r="GE52" s="198"/>
      <c r="GF52" s="198"/>
      <c r="GG52" s="198"/>
      <c r="GH52" s="198"/>
      <c r="GI52" s="198"/>
      <c r="GJ52" s="198"/>
      <c r="GK52" s="198"/>
      <c r="GL52" s="198"/>
      <c r="GM52" s="198"/>
      <c r="GN52" s="198"/>
      <c r="GO52" s="198"/>
      <c r="GP52" s="198"/>
      <c r="GQ52" s="198"/>
      <c r="GR52" s="198"/>
      <c r="GS52" s="198"/>
      <c r="GT52" s="198"/>
      <c r="GU52" s="198"/>
      <c r="GV52" s="198"/>
      <c r="GW52" s="198"/>
      <c r="GX52" s="198"/>
      <c r="GY52" s="198"/>
      <c r="GZ52" s="198"/>
      <c r="HA52" s="198"/>
      <c r="HB52" s="198"/>
      <c r="HC52" s="198"/>
      <c r="HD52" s="198"/>
      <c r="HE52" s="198"/>
      <c r="HF52" s="198"/>
      <c r="HG52" s="198"/>
      <c r="HH52" s="198"/>
      <c r="HI52" s="198"/>
      <c r="HJ52" s="198"/>
      <c r="HK52" s="198"/>
      <c r="HL52" s="198"/>
      <c r="HM52" s="198"/>
      <c r="HN52" s="198"/>
      <c r="HO52" s="198"/>
      <c r="HP52" s="198"/>
      <c r="HQ52" s="198"/>
      <c r="HR52" s="198"/>
      <c r="HS52" s="198"/>
      <c r="HT52" s="198"/>
      <c r="HU52" s="198"/>
      <c r="HV52" s="198"/>
      <c r="HW52" s="198"/>
      <c r="HX52" s="198"/>
      <c r="HY52" s="198"/>
      <c r="HZ52" s="198"/>
      <c r="IA52" s="198"/>
      <c r="IB52" s="198"/>
      <c r="IC52" s="198"/>
      <c r="ID52" s="198"/>
      <c r="IE52" s="198"/>
      <c r="IF52" s="198"/>
      <c r="IG52" s="198"/>
      <c r="IH52" s="198"/>
      <c r="II52" s="198"/>
      <c r="IJ52" s="198"/>
      <c r="IK52" s="198"/>
      <c r="IL52" s="198"/>
      <c r="IM52" s="198"/>
      <c r="IN52" s="198"/>
      <c r="IO52" s="198"/>
      <c r="IP52" s="198"/>
      <c r="IQ52" s="198"/>
      <c r="IR52" s="198"/>
      <c r="IS52" s="198"/>
      <c r="IT52" s="198"/>
      <c r="IU52" s="198"/>
      <c r="IV52" s="198"/>
    </row>
    <row r="53" customFormat="false" ht="10.5" hidden="false" customHeight="true" outlineLevel="0" collapsed="false">
      <c r="A53" s="166" t="s">
        <v>84</v>
      </c>
      <c r="B53" s="166"/>
      <c r="C53" s="166"/>
      <c r="D53" s="166"/>
      <c r="E53" s="166"/>
      <c r="F53" s="166"/>
      <c r="G53" s="166"/>
      <c r="H53" s="166"/>
      <c r="I53" s="166"/>
      <c r="J53" s="166"/>
      <c r="K53" s="166"/>
      <c r="L53" s="166"/>
      <c r="M53" s="166"/>
      <c r="N53" s="166"/>
      <c r="O53" s="166"/>
      <c r="P53" s="166"/>
      <c r="Q53" s="166"/>
      <c r="R53" s="166"/>
      <c r="S53" s="166"/>
      <c r="T53" s="166"/>
      <c r="U53" s="166"/>
      <c r="V53" s="166"/>
      <c r="W53" s="166" t="s">
        <v>85</v>
      </c>
      <c r="X53" s="166"/>
      <c r="Y53" s="166"/>
      <c r="Z53" s="166"/>
      <c r="AA53" s="166"/>
      <c r="AB53" s="166"/>
      <c r="AC53" s="166"/>
      <c r="AD53" s="166"/>
      <c r="AE53" s="166"/>
      <c r="AF53" s="166"/>
      <c r="AG53" s="166"/>
      <c r="AH53" s="166"/>
      <c r="AI53" s="166"/>
      <c r="AJ53" s="166"/>
      <c r="AK53" s="166"/>
      <c r="AL53" s="166"/>
      <c r="AM53" s="166"/>
      <c r="AN53" s="166"/>
      <c r="AO53" s="166"/>
      <c r="AP53" s="166"/>
      <c r="AQ53" s="166"/>
      <c r="AR53" s="166"/>
      <c r="AS53" s="166" t="s">
        <v>86</v>
      </c>
      <c r="AT53" s="166"/>
      <c r="AU53" s="166"/>
      <c r="AV53" s="166"/>
      <c r="AW53" s="166"/>
      <c r="AX53" s="166"/>
      <c r="AY53" s="166"/>
      <c r="AZ53" s="166"/>
      <c r="BA53" s="166"/>
      <c r="BB53" s="166" t="s">
        <v>87</v>
      </c>
      <c r="BC53" s="166"/>
      <c r="BD53" s="166"/>
      <c r="BE53" s="166"/>
      <c r="BF53" s="166"/>
      <c r="BG53" s="166"/>
      <c r="BH53" s="166"/>
      <c r="BI53" s="166"/>
      <c r="BJ53" s="166"/>
      <c r="BK53" s="166"/>
      <c r="BL53" s="166"/>
      <c r="BM53" s="166"/>
      <c r="BN53" s="166"/>
    </row>
    <row r="54" customFormat="false" ht="10.5" hidden="false" customHeight="true" outlineLevel="0" collapsed="false">
      <c r="A54" s="167" t="str">
        <f aca="false">IF(Eingabe!O3="","",Eingabe!O3)</f>
        <v/>
      </c>
      <c r="B54" s="167"/>
      <c r="C54" s="167"/>
      <c r="D54" s="167"/>
      <c r="E54" s="167"/>
      <c r="F54" s="167"/>
      <c r="G54" s="167"/>
      <c r="H54" s="167"/>
      <c r="I54" s="167"/>
      <c r="J54" s="167"/>
      <c r="K54" s="167"/>
      <c r="L54" s="167"/>
      <c r="M54" s="167"/>
      <c r="N54" s="167"/>
      <c r="O54" s="167"/>
      <c r="P54" s="167"/>
      <c r="Q54" s="167"/>
      <c r="R54" s="167"/>
      <c r="S54" s="167"/>
      <c r="T54" s="167"/>
      <c r="U54" s="167"/>
      <c r="V54" s="167"/>
      <c r="W54" s="168" t="str">
        <f aca="false">IF(Eingabe!E3="","",Eingabe!E3)</f>
        <v>Simon Grundner</v>
      </c>
      <c r="X54" s="168"/>
      <c r="Y54" s="168"/>
      <c r="Z54" s="168"/>
      <c r="AA54" s="168"/>
      <c r="AB54" s="168"/>
      <c r="AC54" s="168"/>
      <c r="AD54" s="168"/>
      <c r="AE54" s="168"/>
      <c r="AF54" s="168"/>
      <c r="AG54" s="168"/>
      <c r="AH54" s="168"/>
      <c r="AI54" s="168"/>
      <c r="AJ54" s="168"/>
      <c r="AK54" s="168"/>
      <c r="AL54" s="168"/>
      <c r="AM54" s="168"/>
      <c r="AN54" s="168"/>
      <c r="AO54" s="168"/>
      <c r="AP54" s="168"/>
      <c r="AQ54" s="168"/>
      <c r="AR54" s="168"/>
      <c r="AS54" s="170" t="str">
        <f aca="false">IF(Eingabe!I1="","",Eingabe!I1)</f>
        <v/>
      </c>
      <c r="AT54" s="170"/>
      <c r="AU54" s="170"/>
      <c r="AV54" s="170"/>
      <c r="AW54" s="170"/>
      <c r="AX54" s="170"/>
      <c r="AY54" s="170"/>
      <c r="AZ54" s="170"/>
      <c r="BA54" s="170"/>
      <c r="BB54" s="170" t="str">
        <f aca="false">IF(Eingabe!I2="","",Eingabe!I2)</f>
        <v>FR4</v>
      </c>
      <c r="BC54" s="170"/>
      <c r="BD54" s="170"/>
      <c r="BE54" s="170"/>
      <c r="BF54" s="170"/>
      <c r="BG54" s="170"/>
      <c r="BH54" s="170"/>
      <c r="BI54" s="170"/>
      <c r="BJ54" s="170"/>
      <c r="BK54" s="170"/>
      <c r="BL54" s="170"/>
      <c r="BM54" s="170"/>
      <c r="BN54" s="170"/>
    </row>
    <row r="55" customFormat="false" ht="10.5" hidden="false" customHeight="true" outlineLevel="0" collapsed="false">
      <c r="A55" s="167"/>
      <c r="B55" s="167"/>
      <c r="C55" s="167"/>
      <c r="D55" s="167"/>
      <c r="E55" s="167"/>
      <c r="F55" s="167"/>
      <c r="G55" s="167"/>
      <c r="H55" s="167"/>
      <c r="I55" s="167"/>
      <c r="J55" s="167"/>
      <c r="K55" s="167"/>
      <c r="L55" s="167"/>
      <c r="M55" s="167"/>
      <c r="N55" s="167"/>
      <c r="O55" s="167"/>
      <c r="P55" s="167"/>
      <c r="Q55" s="167"/>
      <c r="R55" s="167"/>
      <c r="S55" s="167"/>
      <c r="T55" s="167"/>
      <c r="U55" s="167"/>
      <c r="V55" s="167"/>
      <c r="W55" s="168"/>
      <c r="X55" s="168"/>
      <c r="Y55" s="168"/>
      <c r="Z55" s="168"/>
      <c r="AA55" s="168"/>
      <c r="AB55" s="168"/>
      <c r="AC55" s="168"/>
      <c r="AD55" s="168"/>
      <c r="AE55" s="168"/>
      <c r="AF55" s="168"/>
      <c r="AG55" s="168"/>
      <c r="AH55" s="168"/>
      <c r="AI55" s="168"/>
      <c r="AJ55" s="168"/>
      <c r="AK55" s="168"/>
      <c r="AL55" s="168"/>
      <c r="AM55" s="168"/>
      <c r="AN55" s="168"/>
      <c r="AO55" s="168"/>
      <c r="AP55" s="168"/>
      <c r="AQ55" s="168"/>
      <c r="AR55" s="168"/>
      <c r="AS55" s="170"/>
      <c r="AT55" s="170"/>
      <c r="AU55" s="170"/>
      <c r="AV55" s="170"/>
      <c r="AW55" s="170"/>
      <c r="AX55" s="170"/>
      <c r="AY55" s="170"/>
      <c r="AZ55" s="170"/>
      <c r="BA55" s="170"/>
      <c r="BB55" s="170"/>
      <c r="BC55" s="170"/>
      <c r="BD55" s="170"/>
      <c r="BE55" s="170"/>
      <c r="BF55" s="170"/>
      <c r="BG55" s="170"/>
      <c r="BH55" s="170"/>
      <c r="BI55" s="170"/>
      <c r="BJ55" s="170"/>
      <c r="BK55" s="170"/>
      <c r="BL55" s="170"/>
      <c r="BM55" s="170"/>
      <c r="BN55" s="170"/>
    </row>
    <row r="56" customFormat="false" ht="10.5" hidden="false" customHeight="true" outlineLevel="0" collapsed="false">
      <c r="A56" s="171"/>
      <c r="B56" s="171"/>
      <c r="C56" s="171"/>
      <c r="D56" s="171"/>
      <c r="E56" s="171"/>
      <c r="F56" s="171"/>
      <c r="G56" s="171"/>
      <c r="H56" s="171"/>
      <c r="I56" s="171"/>
      <c r="J56" s="171"/>
      <c r="K56" s="171"/>
      <c r="L56" s="171"/>
      <c r="M56" s="171"/>
      <c r="N56" s="171"/>
      <c r="O56" s="171"/>
      <c r="P56" s="171"/>
      <c r="Q56" s="171"/>
      <c r="R56" s="171"/>
      <c r="S56" s="171"/>
      <c r="T56" s="171"/>
      <c r="U56" s="171"/>
      <c r="V56" s="171"/>
      <c r="W56" s="166" t="s">
        <v>88</v>
      </c>
      <c r="X56" s="166"/>
      <c r="Y56" s="166"/>
      <c r="Z56" s="166"/>
      <c r="AA56" s="166"/>
      <c r="AB56" s="166"/>
      <c r="AC56" s="166"/>
      <c r="AD56" s="166"/>
      <c r="AE56" s="166"/>
      <c r="AF56" s="166"/>
      <c r="AG56" s="166" t="s">
        <v>89</v>
      </c>
      <c r="AH56" s="166"/>
      <c r="AI56" s="166"/>
      <c r="AJ56" s="166"/>
      <c r="AK56" s="166" t="s">
        <v>90</v>
      </c>
      <c r="AL56" s="166"/>
      <c r="AM56" s="166"/>
      <c r="AN56" s="166"/>
      <c r="AO56" s="166" t="s">
        <v>91</v>
      </c>
      <c r="AP56" s="166"/>
      <c r="AQ56" s="166"/>
      <c r="AR56" s="166"/>
      <c r="AS56" s="166" t="s">
        <v>92</v>
      </c>
      <c r="AT56" s="166"/>
      <c r="AU56" s="166"/>
      <c r="AV56" s="166"/>
      <c r="AW56" s="166"/>
      <c r="AX56" s="166"/>
      <c r="AY56" s="166"/>
      <c r="AZ56" s="166"/>
      <c r="BA56" s="166"/>
      <c r="BB56" s="166"/>
      <c r="BC56" s="166"/>
      <c r="BD56" s="166"/>
      <c r="BE56" s="166"/>
      <c r="BF56" s="166"/>
      <c r="BG56" s="166"/>
      <c r="BH56" s="166"/>
      <c r="BI56" s="166" t="s">
        <v>93</v>
      </c>
      <c r="BJ56" s="166"/>
      <c r="BK56" s="166"/>
      <c r="BL56" s="166"/>
      <c r="BM56" s="166"/>
      <c r="BN56" s="166"/>
    </row>
    <row r="57" customFormat="false" ht="10.5" hidden="false" customHeight="true" outlineLevel="0" collapsed="false">
      <c r="A57" s="171"/>
      <c r="B57" s="171"/>
      <c r="C57" s="171"/>
      <c r="D57" s="171"/>
      <c r="E57" s="171"/>
      <c r="F57" s="171"/>
      <c r="G57" s="171"/>
      <c r="H57" s="171"/>
      <c r="I57" s="171"/>
      <c r="J57" s="171"/>
      <c r="K57" s="171"/>
      <c r="L57" s="171"/>
      <c r="M57" s="171"/>
      <c r="N57" s="171"/>
      <c r="O57" s="171"/>
      <c r="P57" s="171"/>
      <c r="Q57" s="171"/>
      <c r="R57" s="171"/>
      <c r="S57" s="171"/>
      <c r="T57" s="171"/>
      <c r="U57" s="171"/>
      <c r="V57" s="171"/>
      <c r="W57" s="167" t="str">
        <f aca="false">IF(CONCATENATE(Eingabe!E1," ", Eingabe!E2)="","",CONCATENATE(Eingabe!E1," ", Eingabe!E2))</f>
        <v> </v>
      </c>
      <c r="X57" s="167"/>
      <c r="Y57" s="167"/>
      <c r="Z57" s="167"/>
      <c r="AA57" s="167"/>
      <c r="AB57" s="167"/>
      <c r="AC57" s="167"/>
      <c r="AD57" s="167"/>
      <c r="AE57" s="167"/>
      <c r="AF57" s="167"/>
      <c r="AG57" s="167" t="str">
        <f aca="false">IF(Eingabe!E4="","",Eingabe!E4)</f>
        <v>GruS</v>
      </c>
      <c r="AH57" s="167"/>
      <c r="AI57" s="167"/>
      <c r="AJ57" s="167"/>
      <c r="AK57" s="173" t="str">
        <f aca="false">IF(Eingabe!I3="","",Eingabe!I3)</f>
        <v/>
      </c>
      <c r="AL57" s="173"/>
      <c r="AM57" s="173"/>
      <c r="AN57" s="173"/>
      <c r="AO57" s="173" t="str">
        <f aca="false">IF(Eingabe!I4="","",Eingabe!I4)</f>
        <v/>
      </c>
      <c r="AP57" s="173"/>
      <c r="AQ57" s="173"/>
      <c r="AR57" s="173"/>
      <c r="AS57" s="174" t="s">
        <v>111</v>
      </c>
      <c r="AT57" s="174"/>
      <c r="AU57" s="174"/>
      <c r="AV57" s="174"/>
      <c r="AW57" s="174"/>
      <c r="AX57" s="174"/>
      <c r="AY57" s="174"/>
      <c r="AZ57" s="174"/>
      <c r="BA57" s="174"/>
      <c r="BB57" s="174"/>
      <c r="BC57" s="174"/>
      <c r="BD57" s="174"/>
      <c r="BE57" s="174"/>
      <c r="BF57" s="174"/>
      <c r="BG57" s="174"/>
      <c r="BH57" s="174"/>
      <c r="BI57" s="167" t="str">
        <f aca="false">IF(Eingabe!I5="","",Eingabe!I5)</f>
        <v/>
      </c>
      <c r="BJ57" s="167"/>
      <c r="BK57" s="167"/>
      <c r="BL57" s="167"/>
      <c r="BM57" s="167"/>
      <c r="BN57" s="167"/>
    </row>
    <row r="58" customFormat="false" ht="10.5" hidden="false" customHeight="true" outlineLevel="0" collapsed="false">
      <c r="A58" s="171"/>
      <c r="B58" s="171"/>
      <c r="C58" s="171"/>
      <c r="D58" s="171"/>
      <c r="E58" s="171"/>
      <c r="F58" s="171"/>
      <c r="G58" s="171"/>
      <c r="H58" s="171"/>
      <c r="I58" s="171"/>
      <c r="J58" s="171"/>
      <c r="K58" s="171"/>
      <c r="L58" s="171"/>
      <c r="M58" s="171"/>
      <c r="N58" s="171"/>
      <c r="O58" s="171"/>
      <c r="P58" s="171"/>
      <c r="Q58" s="171"/>
      <c r="R58" s="171"/>
      <c r="S58" s="171"/>
      <c r="T58" s="171"/>
      <c r="U58" s="171"/>
      <c r="V58" s="171"/>
      <c r="W58" s="167"/>
      <c r="X58" s="167"/>
      <c r="Y58" s="167"/>
      <c r="Z58" s="167"/>
      <c r="AA58" s="167"/>
      <c r="AB58" s="167"/>
      <c r="AC58" s="167"/>
      <c r="AD58" s="167"/>
      <c r="AE58" s="167"/>
      <c r="AF58" s="167"/>
      <c r="AG58" s="167"/>
      <c r="AH58" s="167"/>
      <c r="AI58" s="167"/>
      <c r="AJ58" s="167"/>
      <c r="AK58" s="173"/>
      <c r="AL58" s="173"/>
      <c r="AM58" s="173"/>
      <c r="AN58" s="173"/>
      <c r="AO58" s="173"/>
      <c r="AP58" s="173"/>
      <c r="AQ58" s="173"/>
      <c r="AR58" s="173"/>
      <c r="AS58" s="174"/>
      <c r="AT58" s="174"/>
      <c r="AU58" s="174"/>
      <c r="AV58" s="174"/>
      <c r="AW58" s="174"/>
      <c r="AX58" s="174"/>
      <c r="AY58" s="174"/>
      <c r="AZ58" s="174"/>
      <c r="BA58" s="174"/>
      <c r="BB58" s="174"/>
      <c r="BC58" s="174"/>
      <c r="BD58" s="174"/>
      <c r="BE58" s="174"/>
      <c r="BF58" s="174"/>
      <c r="BG58" s="174"/>
      <c r="BH58" s="174"/>
      <c r="BI58" s="167"/>
      <c r="BJ58" s="167"/>
      <c r="BK58" s="167"/>
      <c r="BL58" s="167"/>
      <c r="BM58" s="167"/>
      <c r="BN58" s="167"/>
    </row>
    <row r="59" customFormat="false" ht="10.5" hidden="false" customHeight="true" outlineLevel="0" collapsed="false">
      <c r="A59" s="171"/>
      <c r="B59" s="171"/>
      <c r="C59" s="171"/>
      <c r="D59" s="171"/>
      <c r="E59" s="171"/>
      <c r="F59" s="171"/>
      <c r="G59" s="171"/>
      <c r="H59" s="171"/>
      <c r="I59" s="171"/>
      <c r="J59" s="171"/>
      <c r="K59" s="171"/>
      <c r="L59" s="171"/>
      <c r="M59" s="171"/>
      <c r="N59" s="171"/>
      <c r="O59" s="171"/>
      <c r="P59" s="171"/>
      <c r="Q59" s="171"/>
      <c r="R59" s="171"/>
      <c r="S59" s="171"/>
      <c r="T59" s="171"/>
      <c r="U59" s="171"/>
      <c r="V59" s="171"/>
      <c r="W59" s="166" t="s">
        <v>94</v>
      </c>
      <c r="X59" s="166"/>
      <c r="Y59" s="166"/>
      <c r="Z59" s="166"/>
      <c r="AA59" s="166"/>
      <c r="AB59" s="166"/>
      <c r="AC59" s="166"/>
      <c r="AD59" s="166"/>
      <c r="AE59" s="166"/>
      <c r="AF59" s="166"/>
      <c r="AG59" s="166"/>
      <c r="AH59" s="166"/>
      <c r="AI59" s="166"/>
      <c r="AJ59" s="166"/>
      <c r="AK59" s="166"/>
      <c r="AL59" s="166"/>
      <c r="AM59" s="166"/>
      <c r="AN59" s="166"/>
      <c r="AO59" s="166"/>
      <c r="AP59" s="166"/>
      <c r="AQ59" s="166"/>
      <c r="AR59" s="166"/>
      <c r="AS59" s="166" t="s">
        <v>95</v>
      </c>
      <c r="AT59" s="166"/>
      <c r="AU59" s="166"/>
      <c r="AV59" s="166"/>
      <c r="AW59" s="166"/>
      <c r="AX59" s="166"/>
      <c r="AY59" s="166"/>
      <c r="AZ59" s="166" t="s">
        <v>96</v>
      </c>
      <c r="BA59" s="166"/>
      <c r="BB59" s="166"/>
      <c r="BC59" s="166"/>
      <c r="BD59" s="166"/>
      <c r="BE59" s="166" t="s">
        <v>97</v>
      </c>
      <c r="BF59" s="166"/>
      <c r="BG59" s="166"/>
      <c r="BH59" s="166"/>
      <c r="BI59" s="166"/>
      <c r="BJ59" s="166"/>
      <c r="BK59" s="166"/>
      <c r="BL59" s="166"/>
      <c r="BM59" s="166"/>
      <c r="BN59" s="166"/>
    </row>
    <row r="60" customFormat="false" ht="10.5" hidden="false" customHeight="true" outlineLevel="0" collapsed="false">
      <c r="A60" s="171"/>
      <c r="B60" s="171"/>
      <c r="C60" s="171"/>
      <c r="D60" s="171"/>
      <c r="E60" s="171"/>
      <c r="F60" s="171"/>
      <c r="G60" s="171"/>
      <c r="H60" s="171"/>
      <c r="I60" s="171"/>
      <c r="J60" s="171"/>
      <c r="K60" s="171"/>
      <c r="L60" s="171"/>
      <c r="M60" s="171"/>
      <c r="N60" s="171"/>
      <c r="O60" s="171"/>
      <c r="P60" s="171"/>
      <c r="Q60" s="171"/>
      <c r="R60" s="171"/>
      <c r="S60" s="171"/>
      <c r="T60" s="171"/>
      <c r="U60" s="171"/>
      <c r="V60" s="171"/>
      <c r="W60" s="175" t="str">
        <f aca="false">IF(Eingabe!E5="","",Eingabe!E5)</f>
        <v>TOTEM - Bluetooth</v>
      </c>
      <c r="X60" s="175"/>
      <c r="Y60" s="175"/>
      <c r="Z60" s="175"/>
      <c r="AA60" s="175"/>
      <c r="AB60" s="175"/>
      <c r="AC60" s="175"/>
      <c r="AD60" s="175"/>
      <c r="AE60" s="175"/>
      <c r="AF60" s="175"/>
      <c r="AG60" s="175"/>
      <c r="AH60" s="175"/>
      <c r="AI60" s="175"/>
      <c r="AJ60" s="175"/>
      <c r="AK60" s="175"/>
      <c r="AL60" s="175"/>
      <c r="AM60" s="175"/>
      <c r="AN60" s="175"/>
      <c r="AO60" s="175"/>
      <c r="AP60" s="175"/>
      <c r="AQ60" s="175"/>
      <c r="AR60" s="175"/>
      <c r="AS60" s="170" t="str">
        <f aca="false">IF(Eingabe!L3="","",Eingabe!L3)</f>
        <v>1.0</v>
      </c>
      <c r="AT60" s="170"/>
      <c r="AU60" s="170"/>
      <c r="AV60" s="170"/>
      <c r="AW60" s="170"/>
      <c r="AX60" s="170"/>
      <c r="AY60" s="170"/>
      <c r="AZ60" s="170" t="str">
        <f aca="false">IF(Eingabe!L4="","",Eingabe!L4)</f>
        <v>1</v>
      </c>
      <c r="BA60" s="170"/>
      <c r="BB60" s="170"/>
      <c r="BC60" s="170"/>
      <c r="BD60" s="170"/>
      <c r="BE60" s="174" t="str">
        <f aca="false">IF(Eingabe!L5="","",Eingabe!L5)</f>
        <v>Fertigung</v>
      </c>
      <c r="BF60" s="174"/>
      <c r="BG60" s="174"/>
      <c r="BH60" s="174"/>
      <c r="BI60" s="174"/>
      <c r="BJ60" s="174"/>
      <c r="BK60" s="174"/>
      <c r="BL60" s="174"/>
      <c r="BM60" s="174"/>
      <c r="BN60" s="174"/>
    </row>
    <row r="61" customFormat="false" ht="10.5" hidden="false" customHeight="true" outlineLevel="0" collapsed="false">
      <c r="A61" s="176" t="s">
        <v>98</v>
      </c>
      <c r="B61" s="176"/>
      <c r="C61" s="176"/>
      <c r="D61" s="176"/>
      <c r="E61" s="176"/>
      <c r="F61" s="176"/>
      <c r="G61" s="176"/>
      <c r="H61" s="176"/>
      <c r="I61" s="176"/>
      <c r="J61" s="176"/>
      <c r="K61" s="176"/>
      <c r="L61" s="176"/>
      <c r="M61" s="176"/>
      <c r="N61" s="176"/>
      <c r="O61" s="176"/>
      <c r="P61" s="176"/>
      <c r="Q61" s="176"/>
      <c r="R61" s="176"/>
      <c r="S61" s="176"/>
      <c r="T61" s="176"/>
      <c r="U61" s="176"/>
      <c r="V61" s="176"/>
      <c r="W61" s="175"/>
      <c r="X61" s="175"/>
      <c r="Y61" s="175"/>
      <c r="Z61" s="175"/>
      <c r="AA61" s="175"/>
      <c r="AB61" s="175"/>
      <c r="AC61" s="175"/>
      <c r="AD61" s="175"/>
      <c r="AE61" s="175"/>
      <c r="AF61" s="175"/>
      <c r="AG61" s="175"/>
      <c r="AH61" s="175"/>
      <c r="AI61" s="175"/>
      <c r="AJ61" s="175"/>
      <c r="AK61" s="175"/>
      <c r="AL61" s="175"/>
      <c r="AM61" s="175"/>
      <c r="AN61" s="175"/>
      <c r="AO61" s="175"/>
      <c r="AP61" s="175"/>
      <c r="AQ61" s="175"/>
      <c r="AR61" s="175"/>
      <c r="AS61" s="170"/>
      <c r="AT61" s="170"/>
      <c r="AU61" s="170"/>
      <c r="AV61" s="170"/>
      <c r="AW61" s="170"/>
      <c r="AX61" s="170"/>
      <c r="AY61" s="170"/>
      <c r="AZ61" s="170"/>
      <c r="BA61" s="170"/>
      <c r="BB61" s="170"/>
      <c r="BC61" s="170"/>
      <c r="BD61" s="170"/>
      <c r="BE61" s="174"/>
      <c r="BF61" s="174"/>
      <c r="BG61" s="174"/>
      <c r="BH61" s="174"/>
      <c r="BI61" s="174"/>
      <c r="BJ61" s="174"/>
      <c r="BK61" s="174"/>
      <c r="BL61" s="174"/>
      <c r="BM61" s="174"/>
      <c r="BN61" s="174"/>
    </row>
    <row r="62" customFormat="false" ht="10.5" hidden="false" customHeight="true" outlineLevel="0" collapsed="false">
      <c r="A62" s="176"/>
      <c r="B62" s="176"/>
      <c r="C62" s="176"/>
      <c r="D62" s="176"/>
      <c r="E62" s="176"/>
      <c r="F62" s="176"/>
      <c r="G62" s="176"/>
      <c r="H62" s="176"/>
      <c r="I62" s="176"/>
      <c r="J62" s="176"/>
      <c r="K62" s="176"/>
      <c r="L62" s="176"/>
      <c r="M62" s="176"/>
      <c r="N62" s="176"/>
      <c r="O62" s="176"/>
      <c r="P62" s="176"/>
      <c r="Q62" s="176"/>
      <c r="R62" s="176"/>
      <c r="S62" s="176"/>
      <c r="T62" s="176"/>
      <c r="U62" s="176"/>
      <c r="V62" s="176"/>
      <c r="W62" s="175"/>
      <c r="X62" s="175"/>
      <c r="Y62" s="175"/>
      <c r="Z62" s="175"/>
      <c r="AA62" s="175"/>
      <c r="AB62" s="175"/>
      <c r="AC62" s="175"/>
      <c r="AD62" s="175"/>
      <c r="AE62" s="175"/>
      <c r="AF62" s="175"/>
      <c r="AG62" s="175"/>
      <c r="AH62" s="175"/>
      <c r="AI62" s="175"/>
      <c r="AJ62" s="175"/>
      <c r="AK62" s="175"/>
      <c r="AL62" s="175"/>
      <c r="AM62" s="175"/>
      <c r="AN62" s="175"/>
      <c r="AO62" s="175"/>
      <c r="AP62" s="175"/>
      <c r="AQ62" s="175"/>
      <c r="AR62" s="175"/>
      <c r="AS62" s="177" t="s">
        <v>99</v>
      </c>
      <c r="AT62" s="177"/>
      <c r="AU62" s="177"/>
      <c r="AV62" s="177"/>
      <c r="AW62" s="166" t="s">
        <v>100</v>
      </c>
      <c r="AX62" s="166"/>
      <c r="AY62" s="166"/>
      <c r="AZ62" s="166" t="s">
        <v>101</v>
      </c>
      <c r="BA62" s="166"/>
      <c r="BB62" s="166"/>
      <c r="BC62" s="166"/>
      <c r="BD62" s="166"/>
      <c r="BE62" s="166"/>
      <c r="BF62" s="166"/>
      <c r="BG62" s="166"/>
      <c r="BH62" s="166"/>
      <c r="BI62" s="166" t="s">
        <v>102</v>
      </c>
      <c r="BJ62" s="166"/>
      <c r="BK62" s="166"/>
      <c r="BL62" s="179" t="s">
        <v>103</v>
      </c>
      <c r="BM62" s="180"/>
      <c r="BN62" s="181"/>
    </row>
    <row r="63" customFormat="false" ht="10.5" hidden="false" customHeight="true" outlineLevel="0" collapsed="false">
      <c r="A63" s="182" t="str">
        <f aca="false">IF(Eingabe!M6="","",Eingabe!M6)</f>
        <v>Technische Informatik</v>
      </c>
      <c r="B63" s="182"/>
      <c r="C63" s="182"/>
      <c r="D63" s="182"/>
      <c r="E63" s="182"/>
      <c r="F63" s="182"/>
      <c r="G63" s="182"/>
      <c r="H63" s="182"/>
      <c r="I63" s="182"/>
      <c r="J63" s="182"/>
      <c r="K63" s="182"/>
      <c r="L63" s="182"/>
      <c r="M63" s="182"/>
      <c r="N63" s="182"/>
      <c r="O63" s="182"/>
      <c r="P63" s="182"/>
      <c r="Q63" s="182"/>
      <c r="R63" s="182"/>
      <c r="S63" s="182"/>
      <c r="T63" s="182"/>
      <c r="U63" s="182"/>
      <c r="V63" s="182"/>
      <c r="W63" s="174" t="str">
        <f aca="false">IF(Eingabe!E6="","",Eingabe!E6)</f>
        <v>40 Key Split Ergomech KB</v>
      </c>
      <c r="X63" s="174"/>
      <c r="Y63" s="174"/>
      <c r="Z63" s="174"/>
      <c r="AA63" s="174"/>
      <c r="AB63" s="174"/>
      <c r="AC63" s="174"/>
      <c r="AD63" s="174"/>
      <c r="AE63" s="174"/>
      <c r="AF63" s="174"/>
      <c r="AG63" s="174"/>
      <c r="AH63" s="174"/>
      <c r="AI63" s="174"/>
      <c r="AJ63" s="174"/>
      <c r="AK63" s="174"/>
      <c r="AL63" s="174"/>
      <c r="AM63" s="174"/>
      <c r="AN63" s="174"/>
      <c r="AO63" s="174"/>
      <c r="AP63" s="174"/>
      <c r="AQ63" s="174"/>
      <c r="AR63" s="174"/>
      <c r="AS63" s="173" t="str">
        <f aca="false">IF(Eingabe!L6="","",Eingabe!L6)</f>
        <v>ohne</v>
      </c>
      <c r="AT63" s="173"/>
      <c r="AU63" s="173"/>
      <c r="AV63" s="173"/>
      <c r="AW63" s="167" t="str">
        <f aca="false">IF(Eingabe!I6="","",Eingabe!I6)</f>
        <v>DE</v>
      </c>
      <c r="AX63" s="167"/>
      <c r="AY63" s="167"/>
      <c r="AZ63" s="184" t="n">
        <f aca="false">IF(Eingabe!L2="","",Eingabe!L2)</f>
        <v>45824</v>
      </c>
      <c r="BA63" s="184"/>
      <c r="BB63" s="184"/>
      <c r="BC63" s="184"/>
      <c r="BD63" s="184"/>
      <c r="BE63" s="184"/>
      <c r="BF63" s="184"/>
      <c r="BG63" s="184"/>
      <c r="BH63" s="184"/>
      <c r="BI63" s="173" t="n">
        <v>3</v>
      </c>
      <c r="BJ63" s="173"/>
      <c r="BK63" s="173"/>
      <c r="BL63" s="173" t="str">
        <f aca="false">IF('Materialkalkulation (2)'!L4="","1",IF('Materialkalkulation (3)'!L4="","2","3"))</f>
        <v>1</v>
      </c>
      <c r="BM63" s="173"/>
      <c r="BN63" s="173"/>
    </row>
    <row r="64" customFormat="false" ht="10.5" hidden="false" customHeight="true" outlineLevel="0" collapsed="false">
      <c r="A64" s="182"/>
      <c r="B64" s="182"/>
      <c r="C64" s="182"/>
      <c r="D64" s="182"/>
      <c r="E64" s="182"/>
      <c r="F64" s="182"/>
      <c r="G64" s="182"/>
      <c r="H64" s="182"/>
      <c r="I64" s="182"/>
      <c r="J64" s="182"/>
      <c r="K64" s="182"/>
      <c r="L64" s="182"/>
      <c r="M64" s="182"/>
      <c r="N64" s="182"/>
      <c r="O64" s="182"/>
      <c r="P64" s="182"/>
      <c r="Q64" s="182"/>
      <c r="R64" s="182"/>
      <c r="S64" s="182"/>
      <c r="T64" s="182"/>
      <c r="U64" s="182"/>
      <c r="V64" s="182"/>
      <c r="W64" s="174"/>
      <c r="X64" s="174"/>
      <c r="Y64" s="174"/>
      <c r="Z64" s="174"/>
      <c r="AA64" s="174"/>
      <c r="AB64" s="174"/>
      <c r="AC64" s="174"/>
      <c r="AD64" s="174"/>
      <c r="AE64" s="174"/>
      <c r="AF64" s="174"/>
      <c r="AG64" s="174"/>
      <c r="AH64" s="174"/>
      <c r="AI64" s="174"/>
      <c r="AJ64" s="174"/>
      <c r="AK64" s="174"/>
      <c r="AL64" s="174"/>
      <c r="AM64" s="174"/>
      <c r="AN64" s="174"/>
      <c r="AO64" s="174"/>
      <c r="AP64" s="174"/>
      <c r="AQ64" s="174"/>
      <c r="AR64" s="174"/>
      <c r="AS64" s="173"/>
      <c r="AT64" s="173"/>
      <c r="AU64" s="173"/>
      <c r="AV64" s="173"/>
      <c r="AW64" s="167"/>
      <c r="AX64" s="167"/>
      <c r="AY64" s="167"/>
      <c r="AZ64" s="184"/>
      <c r="BA64" s="184"/>
      <c r="BB64" s="184"/>
      <c r="BC64" s="184"/>
      <c r="BD64" s="184"/>
      <c r="BE64" s="184"/>
      <c r="BF64" s="184"/>
      <c r="BG64" s="184"/>
      <c r="BH64" s="184"/>
      <c r="BI64" s="173"/>
      <c r="BJ64" s="173"/>
      <c r="BK64" s="173"/>
      <c r="BL64" s="173"/>
      <c r="BM64" s="173"/>
      <c r="BN64" s="173"/>
    </row>
    <row r="65" customFormat="false" ht="14.25" hidden="false" customHeight="false" outlineLevel="0" collapsed="false">
      <c r="A65" s="185"/>
      <c r="B65" s="185"/>
      <c r="C65" s="185"/>
      <c r="D65" s="185"/>
      <c r="E65" s="185"/>
      <c r="F65" s="185"/>
      <c r="G65" s="185"/>
      <c r="H65" s="185"/>
      <c r="I65" s="185"/>
      <c r="J65" s="185"/>
      <c r="K65" s="185"/>
      <c r="L65" s="185"/>
      <c r="M65" s="185"/>
      <c r="N65" s="185"/>
      <c r="O65" s="185"/>
      <c r="P65" s="185"/>
      <c r="Q65" s="185"/>
      <c r="R65" s="185"/>
      <c r="S65" s="185"/>
      <c r="T65" s="185"/>
      <c r="U65" s="185"/>
      <c r="V65" s="185"/>
      <c r="W65" s="185"/>
      <c r="X65" s="185"/>
      <c r="Y65" s="185"/>
      <c r="Z65" s="185"/>
      <c r="AA65" s="185"/>
      <c r="AB65" s="185"/>
      <c r="AC65" s="185"/>
      <c r="AD65" s="185"/>
      <c r="AE65" s="185"/>
      <c r="AF65" s="185"/>
      <c r="AG65" s="185"/>
      <c r="AH65" s="185"/>
      <c r="AI65" s="185"/>
      <c r="AJ65" s="185"/>
      <c r="AK65" s="185"/>
      <c r="AL65" s="185"/>
      <c r="AM65" s="185"/>
      <c r="AN65" s="185"/>
      <c r="AO65" s="185"/>
      <c r="AP65" s="185"/>
      <c r="AQ65" s="185"/>
      <c r="AR65" s="185"/>
      <c r="AS65" s="185"/>
      <c r="AT65" s="185"/>
      <c r="AU65" s="185"/>
      <c r="AV65" s="185"/>
      <c r="AW65" s="185"/>
      <c r="AX65" s="185"/>
      <c r="AY65" s="185"/>
      <c r="AZ65" s="185"/>
      <c r="BA65" s="185"/>
      <c r="BB65" s="185"/>
      <c r="BC65" s="185"/>
      <c r="BD65" s="185"/>
      <c r="BE65" s="185"/>
      <c r="BF65" s="185"/>
      <c r="BG65" s="185"/>
      <c r="BH65" s="185"/>
      <c r="BI65" s="185"/>
      <c r="BJ65" s="185"/>
      <c r="BK65" s="185"/>
      <c r="BL65" s="185"/>
      <c r="BM65" s="185"/>
      <c r="BN65" s="185"/>
    </row>
    <row r="69" customFormat="false" ht="15" hidden="false" customHeight="true" outlineLevel="0" collapsed="false"/>
    <row r="72" customFormat="false" ht="15" hidden="false" customHeight="true" outlineLevel="0" collapsed="false"/>
    <row r="75" customFormat="false" ht="15" hidden="false" customHeight="true" outlineLevel="0" collapsed="false"/>
    <row r="78" customFormat="false" ht="15" hidden="false" customHeight="true" outlineLevel="0" collapsed="false"/>
  </sheetData>
  <sheetProtection sheet="true" objects="true" scenarios="true" selectLockedCells="true"/>
  <mergeCells count="379">
    <mergeCell ref="A1:C1"/>
    <mergeCell ref="D1:G1"/>
    <mergeCell ref="H1:K1"/>
    <mergeCell ref="L1:AG1"/>
    <mergeCell ref="AH1:BD1"/>
    <mergeCell ref="BE1:BN1"/>
    <mergeCell ref="A2:C3"/>
    <mergeCell ref="D2:G3"/>
    <mergeCell ref="H2:K3"/>
    <mergeCell ref="L2:AG3"/>
    <mergeCell ref="AH2:BD3"/>
    <mergeCell ref="BE2:BN2"/>
    <mergeCell ref="BE3:BI3"/>
    <mergeCell ref="BJ3:BN3"/>
    <mergeCell ref="A4:C4"/>
    <mergeCell ref="D4:G4"/>
    <mergeCell ref="H4:K4"/>
    <mergeCell ref="L4:AG4"/>
    <mergeCell ref="AH4:BD4"/>
    <mergeCell ref="BE4:BI4"/>
    <mergeCell ref="BJ4:BN4"/>
    <mergeCell ref="A5:C5"/>
    <mergeCell ref="D5:G5"/>
    <mergeCell ref="H5:K5"/>
    <mergeCell ref="L5:AG5"/>
    <mergeCell ref="AH5:BD5"/>
    <mergeCell ref="BE5:BI5"/>
    <mergeCell ref="BJ5:BN5"/>
    <mergeCell ref="A6:C6"/>
    <mergeCell ref="D6:G6"/>
    <mergeCell ref="H6:K6"/>
    <mergeCell ref="L6:AG6"/>
    <mergeCell ref="AH6:BD6"/>
    <mergeCell ref="BE6:BI6"/>
    <mergeCell ref="BJ6:BN6"/>
    <mergeCell ref="A7:C7"/>
    <mergeCell ref="D7:G7"/>
    <mergeCell ref="H7:K7"/>
    <mergeCell ref="L7:AG7"/>
    <mergeCell ref="AH7:BD7"/>
    <mergeCell ref="BE7:BI7"/>
    <mergeCell ref="BJ7:BN7"/>
    <mergeCell ref="A8:C8"/>
    <mergeCell ref="D8:G8"/>
    <mergeCell ref="H8:K8"/>
    <mergeCell ref="L8:AG8"/>
    <mergeCell ref="AH8:BD8"/>
    <mergeCell ref="BE8:BI8"/>
    <mergeCell ref="BJ8:BN8"/>
    <mergeCell ref="A9:C9"/>
    <mergeCell ref="D9:G9"/>
    <mergeCell ref="H9:K9"/>
    <mergeCell ref="L9:AG9"/>
    <mergeCell ref="AH9:BD9"/>
    <mergeCell ref="BE9:BI9"/>
    <mergeCell ref="BJ9:BN9"/>
    <mergeCell ref="A10:C10"/>
    <mergeCell ref="D10:G10"/>
    <mergeCell ref="H10:K10"/>
    <mergeCell ref="L10:AG10"/>
    <mergeCell ref="AH10:BD10"/>
    <mergeCell ref="BE10:BI10"/>
    <mergeCell ref="BJ10:BN10"/>
    <mergeCell ref="A11:C11"/>
    <mergeCell ref="D11:G11"/>
    <mergeCell ref="H11:K11"/>
    <mergeCell ref="L11:AG11"/>
    <mergeCell ref="AH11:BD11"/>
    <mergeCell ref="BE11:BI11"/>
    <mergeCell ref="BJ11:BN11"/>
    <mergeCell ref="A12:C12"/>
    <mergeCell ref="D12:G12"/>
    <mergeCell ref="H12:K12"/>
    <mergeCell ref="L12:AG12"/>
    <mergeCell ref="AH12:BD12"/>
    <mergeCell ref="BE12:BI12"/>
    <mergeCell ref="BJ12:BN12"/>
    <mergeCell ref="A13:C13"/>
    <mergeCell ref="D13:G13"/>
    <mergeCell ref="H13:K13"/>
    <mergeCell ref="L13:AG13"/>
    <mergeCell ref="AH13:BD13"/>
    <mergeCell ref="BE13:BI13"/>
    <mergeCell ref="BJ13:BN13"/>
    <mergeCell ref="A14:C14"/>
    <mergeCell ref="D14:G14"/>
    <mergeCell ref="H14:K14"/>
    <mergeCell ref="L14:AG14"/>
    <mergeCell ref="AH14:BD14"/>
    <mergeCell ref="BE14:BI14"/>
    <mergeCell ref="BJ14:BN14"/>
    <mergeCell ref="A15:C15"/>
    <mergeCell ref="D15:G15"/>
    <mergeCell ref="H15:K15"/>
    <mergeCell ref="L15:AG15"/>
    <mergeCell ref="AH15:BD15"/>
    <mergeCell ref="BE15:BI15"/>
    <mergeCell ref="BJ15:BN15"/>
    <mergeCell ref="A16:C16"/>
    <mergeCell ref="D16:G16"/>
    <mergeCell ref="H16:K16"/>
    <mergeCell ref="L16:AG16"/>
    <mergeCell ref="AH16:BD16"/>
    <mergeCell ref="BE16:BI16"/>
    <mergeCell ref="BJ16:BN16"/>
    <mergeCell ref="A17:C17"/>
    <mergeCell ref="D17:G17"/>
    <mergeCell ref="H17:K17"/>
    <mergeCell ref="L17:AG17"/>
    <mergeCell ref="AH17:BD17"/>
    <mergeCell ref="BE17:BI17"/>
    <mergeCell ref="BJ17:BN17"/>
    <mergeCell ref="A18:C18"/>
    <mergeCell ref="D18:G18"/>
    <mergeCell ref="H18:K18"/>
    <mergeCell ref="L18:AG18"/>
    <mergeCell ref="AH18:BD18"/>
    <mergeCell ref="BE18:BI18"/>
    <mergeCell ref="BJ18:BN18"/>
    <mergeCell ref="A19:C19"/>
    <mergeCell ref="D19:G19"/>
    <mergeCell ref="H19:K19"/>
    <mergeCell ref="L19:AG19"/>
    <mergeCell ref="AH19:BD19"/>
    <mergeCell ref="BE19:BI19"/>
    <mergeCell ref="BJ19:BN19"/>
    <mergeCell ref="A20:C20"/>
    <mergeCell ref="D20:G20"/>
    <mergeCell ref="H20:K20"/>
    <mergeCell ref="L20:AG20"/>
    <mergeCell ref="AH20:BD20"/>
    <mergeCell ref="BE20:BI20"/>
    <mergeCell ref="BJ20:BN20"/>
    <mergeCell ref="A21:C21"/>
    <mergeCell ref="D21:G21"/>
    <mergeCell ref="H21:K21"/>
    <mergeCell ref="L21:AG21"/>
    <mergeCell ref="AH21:BD21"/>
    <mergeCell ref="BE21:BI21"/>
    <mergeCell ref="BJ21:BN21"/>
    <mergeCell ref="A22:C22"/>
    <mergeCell ref="D22:G22"/>
    <mergeCell ref="H22:K22"/>
    <mergeCell ref="L22:AG22"/>
    <mergeCell ref="AH22:BD22"/>
    <mergeCell ref="BE22:BI22"/>
    <mergeCell ref="BJ22:BN22"/>
    <mergeCell ref="A23:C23"/>
    <mergeCell ref="D23:G23"/>
    <mergeCell ref="H23:K23"/>
    <mergeCell ref="L23:AG23"/>
    <mergeCell ref="AH23:BD23"/>
    <mergeCell ref="BE23:BI23"/>
    <mergeCell ref="BJ23:BN23"/>
    <mergeCell ref="A24:C24"/>
    <mergeCell ref="D24:G24"/>
    <mergeCell ref="H24:K24"/>
    <mergeCell ref="L24:AG24"/>
    <mergeCell ref="AH24:BD24"/>
    <mergeCell ref="BE24:BI24"/>
    <mergeCell ref="BJ24:BN24"/>
    <mergeCell ref="A25:C25"/>
    <mergeCell ref="D25:G25"/>
    <mergeCell ref="H25:K25"/>
    <mergeCell ref="L25:AG25"/>
    <mergeCell ref="AH25:BD25"/>
    <mergeCell ref="BE25:BI25"/>
    <mergeCell ref="BJ25:BN25"/>
    <mergeCell ref="A26:C26"/>
    <mergeCell ref="D26:G26"/>
    <mergeCell ref="H26:K26"/>
    <mergeCell ref="L26:AG26"/>
    <mergeCell ref="AH26:BD26"/>
    <mergeCell ref="BE26:BI26"/>
    <mergeCell ref="BJ26:BN26"/>
    <mergeCell ref="A27:C27"/>
    <mergeCell ref="D27:G27"/>
    <mergeCell ref="H27:K27"/>
    <mergeCell ref="L27:AG27"/>
    <mergeCell ref="AH27:BD27"/>
    <mergeCell ref="BE27:BI27"/>
    <mergeCell ref="BJ27:BN27"/>
    <mergeCell ref="A28:C28"/>
    <mergeCell ref="D28:G28"/>
    <mergeCell ref="H28:K28"/>
    <mergeCell ref="L28:AG28"/>
    <mergeCell ref="AH28:BD28"/>
    <mergeCell ref="BE28:BI28"/>
    <mergeCell ref="BJ28:BN28"/>
    <mergeCell ref="A29:C29"/>
    <mergeCell ref="D29:G29"/>
    <mergeCell ref="H29:K29"/>
    <mergeCell ref="L29:AG29"/>
    <mergeCell ref="AH29:BD29"/>
    <mergeCell ref="BE29:BI29"/>
    <mergeCell ref="BJ29:BN29"/>
    <mergeCell ref="A30:C30"/>
    <mergeCell ref="D30:G30"/>
    <mergeCell ref="H30:K30"/>
    <mergeCell ref="L30:AG30"/>
    <mergeCell ref="AH30:BD30"/>
    <mergeCell ref="BE30:BI30"/>
    <mergeCell ref="BJ30:BN30"/>
    <mergeCell ref="A31:C31"/>
    <mergeCell ref="D31:G31"/>
    <mergeCell ref="H31:K31"/>
    <mergeCell ref="L31:AG31"/>
    <mergeCell ref="AH31:BD31"/>
    <mergeCell ref="BE31:BI31"/>
    <mergeCell ref="BJ31:BN31"/>
    <mergeCell ref="A32:C32"/>
    <mergeCell ref="D32:G32"/>
    <mergeCell ref="H32:K32"/>
    <mergeCell ref="L32:AG32"/>
    <mergeCell ref="AH32:BD32"/>
    <mergeCell ref="BE32:BI32"/>
    <mergeCell ref="BJ32:BN32"/>
    <mergeCell ref="A33:C33"/>
    <mergeCell ref="D33:G33"/>
    <mergeCell ref="H33:K33"/>
    <mergeCell ref="L33:AG33"/>
    <mergeCell ref="AH33:BD33"/>
    <mergeCell ref="BE33:BI33"/>
    <mergeCell ref="BJ33:BN33"/>
    <mergeCell ref="A34:C34"/>
    <mergeCell ref="D34:G34"/>
    <mergeCell ref="H34:K34"/>
    <mergeCell ref="L34:AG34"/>
    <mergeCell ref="AH34:BD34"/>
    <mergeCell ref="BE34:BI34"/>
    <mergeCell ref="BJ34:BN34"/>
    <mergeCell ref="A35:C35"/>
    <mergeCell ref="D35:G35"/>
    <mergeCell ref="H35:K35"/>
    <mergeCell ref="L35:AG35"/>
    <mergeCell ref="AH35:BD35"/>
    <mergeCell ref="BE35:BI35"/>
    <mergeCell ref="BJ35:BN35"/>
    <mergeCell ref="A36:C36"/>
    <mergeCell ref="D36:G36"/>
    <mergeCell ref="H36:K36"/>
    <mergeCell ref="L36:AG36"/>
    <mergeCell ref="AH36:BD36"/>
    <mergeCell ref="BE36:BI36"/>
    <mergeCell ref="BJ36:BN36"/>
    <mergeCell ref="A37:C37"/>
    <mergeCell ref="D37:G37"/>
    <mergeCell ref="H37:K37"/>
    <mergeCell ref="L37:AG37"/>
    <mergeCell ref="AH37:BD37"/>
    <mergeCell ref="BE37:BI37"/>
    <mergeCell ref="BJ37:BN37"/>
    <mergeCell ref="A38:C38"/>
    <mergeCell ref="D38:G38"/>
    <mergeCell ref="H38:K38"/>
    <mergeCell ref="L38:AG38"/>
    <mergeCell ref="AH38:BD38"/>
    <mergeCell ref="BE38:BI38"/>
    <mergeCell ref="BJ38:BN38"/>
    <mergeCell ref="A39:C39"/>
    <mergeCell ref="D39:G39"/>
    <mergeCell ref="H39:K39"/>
    <mergeCell ref="L39:AG39"/>
    <mergeCell ref="AH39:BD39"/>
    <mergeCell ref="BE39:BI39"/>
    <mergeCell ref="BJ39:BN39"/>
    <mergeCell ref="A40:C40"/>
    <mergeCell ref="D40:G40"/>
    <mergeCell ref="H40:K40"/>
    <mergeCell ref="L40:AG40"/>
    <mergeCell ref="AH40:BD40"/>
    <mergeCell ref="BE40:BI40"/>
    <mergeCell ref="BJ40:BN40"/>
    <mergeCell ref="A41:C41"/>
    <mergeCell ref="D41:G41"/>
    <mergeCell ref="H41:K41"/>
    <mergeCell ref="L41:AG41"/>
    <mergeCell ref="AH41:BD41"/>
    <mergeCell ref="BE41:BI41"/>
    <mergeCell ref="BJ41:BN41"/>
    <mergeCell ref="A42:C42"/>
    <mergeCell ref="D42:G42"/>
    <mergeCell ref="H42:K42"/>
    <mergeCell ref="L42:AG42"/>
    <mergeCell ref="AH42:BD42"/>
    <mergeCell ref="BE42:BI42"/>
    <mergeCell ref="BJ42:BN42"/>
    <mergeCell ref="A43:C43"/>
    <mergeCell ref="D43:G43"/>
    <mergeCell ref="H43:K43"/>
    <mergeCell ref="L43:AG43"/>
    <mergeCell ref="AH43:BD43"/>
    <mergeCell ref="BE43:BI43"/>
    <mergeCell ref="BJ43:BN43"/>
    <mergeCell ref="A44:C44"/>
    <mergeCell ref="D44:G44"/>
    <mergeCell ref="H44:K44"/>
    <mergeCell ref="L44:AG44"/>
    <mergeCell ref="AH44:BD44"/>
    <mergeCell ref="BE44:BI44"/>
    <mergeCell ref="BJ44:BN44"/>
    <mergeCell ref="A45:C45"/>
    <mergeCell ref="D45:G45"/>
    <mergeCell ref="H45:K45"/>
    <mergeCell ref="L45:AG45"/>
    <mergeCell ref="AH45:BD45"/>
    <mergeCell ref="BE45:BI45"/>
    <mergeCell ref="BJ45:BN45"/>
    <mergeCell ref="A46:C46"/>
    <mergeCell ref="D46:G46"/>
    <mergeCell ref="H46:K46"/>
    <mergeCell ref="L46:AG46"/>
    <mergeCell ref="AH46:BD46"/>
    <mergeCell ref="BE46:BI46"/>
    <mergeCell ref="BJ46:BN46"/>
    <mergeCell ref="A47:C47"/>
    <mergeCell ref="D47:G47"/>
    <mergeCell ref="H47:K47"/>
    <mergeCell ref="L47:AG47"/>
    <mergeCell ref="AH47:BD47"/>
    <mergeCell ref="BE47:BI47"/>
    <mergeCell ref="BJ47:BN47"/>
    <mergeCell ref="A48:C48"/>
    <mergeCell ref="D48:G48"/>
    <mergeCell ref="H48:K48"/>
    <mergeCell ref="L48:AG48"/>
    <mergeCell ref="AH48:BD48"/>
    <mergeCell ref="BE48:BI48"/>
    <mergeCell ref="BJ48:BN48"/>
    <mergeCell ref="A49:AG52"/>
    <mergeCell ref="AH49:BD49"/>
    <mergeCell ref="BE49:BN49"/>
    <mergeCell ref="AH50:BD50"/>
    <mergeCell ref="BE50:BN50"/>
    <mergeCell ref="AH51:BD51"/>
    <mergeCell ref="BE51:BN51"/>
    <mergeCell ref="AH52:BD52"/>
    <mergeCell ref="BE52:BN52"/>
    <mergeCell ref="A53:V53"/>
    <mergeCell ref="W53:AR53"/>
    <mergeCell ref="AS53:BA53"/>
    <mergeCell ref="BB53:BN53"/>
    <mergeCell ref="A54:V55"/>
    <mergeCell ref="W54:AR55"/>
    <mergeCell ref="AS54:BA55"/>
    <mergeCell ref="BB54:BN55"/>
    <mergeCell ref="A56:V60"/>
    <mergeCell ref="W56:AF56"/>
    <mergeCell ref="AG56:AJ56"/>
    <mergeCell ref="AK56:AN56"/>
    <mergeCell ref="AO56:AR56"/>
    <mergeCell ref="AS56:BH56"/>
    <mergeCell ref="BI56:BN56"/>
    <mergeCell ref="W57:AF58"/>
    <mergeCell ref="AG57:AJ58"/>
    <mergeCell ref="AK57:AN58"/>
    <mergeCell ref="AO57:AR58"/>
    <mergeCell ref="AS57:BH58"/>
    <mergeCell ref="BI57:BN58"/>
    <mergeCell ref="W59:AR59"/>
    <mergeCell ref="AS59:AY59"/>
    <mergeCell ref="AZ59:BD59"/>
    <mergeCell ref="BE59:BN59"/>
    <mergeCell ref="W60:AR62"/>
    <mergeCell ref="AS60:AY61"/>
    <mergeCell ref="AZ60:BD61"/>
    <mergeCell ref="BE60:BN61"/>
    <mergeCell ref="A61:V62"/>
    <mergeCell ref="AS62:AV62"/>
    <mergeCell ref="AW62:AY62"/>
    <mergeCell ref="AZ62:BH62"/>
    <mergeCell ref="BI62:BK62"/>
    <mergeCell ref="A63:V64"/>
    <mergeCell ref="W63:AR64"/>
    <mergeCell ref="AS63:AV64"/>
    <mergeCell ref="AW63:AY64"/>
    <mergeCell ref="AZ63:BH64"/>
    <mergeCell ref="BI63:BK64"/>
    <mergeCell ref="BL63:BN64"/>
  </mergeCells>
  <printOptions headings="false" gridLines="false" gridLinesSet="true" horizontalCentered="false" verticalCentered="false"/>
  <pageMargins left="0.7875" right="0.39375" top="0.39375" bottom="0.39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6347c43a-aa16-4ea5-83fa-497090cd12d7">
      <UserInfo>
        <DisplayName>Helmut Strasser</DisplayName>
        <AccountId>186</AccountId>
        <AccountType/>
      </UserInfo>
      <UserInfo>
        <DisplayName>Doris Gotthardt</DisplayName>
        <AccountId>765</AccountId>
        <AccountType/>
      </UserInfo>
      <UserInfo>
        <DisplayName>Peter Hauser</DisplayName>
        <AccountId>263</AccountId>
        <AccountType/>
      </UserInfo>
      <UserInfo>
        <DisplayName>Norbert Wen</DisplayName>
        <AccountId>238</AccountId>
        <AccountType/>
      </UserInfo>
      <UserInfo>
        <DisplayName>Herbert Poelzer</DisplayName>
        <AccountId>187</AccountId>
        <AccountType/>
      </UserInfo>
      <UserInfo>
        <DisplayName>Stephan Schaber</DisplayName>
        <AccountId>184</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25D0449CD2EB9946AE3B5436F717E5A2" ma:contentTypeVersion="5" ma:contentTypeDescription="Ein neues Dokument erstellen." ma:contentTypeScope="" ma:versionID="af6e420ba716471611e26a35c1c5849f">
  <xsd:schema xmlns:xsd="http://www.w3.org/2001/XMLSchema" xmlns:xs="http://www.w3.org/2001/XMLSchema" xmlns:p="http://schemas.microsoft.com/office/2006/metadata/properties" xmlns:ns2="6347c43a-aa16-4ea5-83fa-497090cd12d7" xmlns:ns3="a8ac04c8-77f8-4eb1-b69e-504ebed46275" targetNamespace="http://schemas.microsoft.com/office/2006/metadata/properties" ma:root="true" ma:fieldsID="d99cb718ae0ebf478fc584b53ebcf628" ns2:_="" ns3:_="">
    <xsd:import namespace="6347c43a-aa16-4ea5-83fa-497090cd12d7"/>
    <xsd:import namespace="a8ac04c8-77f8-4eb1-b69e-504ebed4627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47c43a-aa16-4ea5-83fa-497090cd12d7" elementFormDefault="qualified">
    <xsd:import namespace="http://schemas.microsoft.com/office/2006/documentManagement/types"/>
    <xsd:import namespace="http://schemas.microsoft.com/office/infopath/2007/PartnerControls"/>
    <xsd:element name="SharedWithUsers" ma:index="8" nillable="true" ma:displayName="Freigegeben für"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8ac04c8-77f8-4eb1-b69e-504ebed46275"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E3B1C5-DEA9-4127-A6A9-8B640E763636}">
  <ds:schemaRefs>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a8ac04c8-77f8-4eb1-b69e-504ebed46275"/>
    <ds:schemaRef ds:uri="http://www.w3.org/XML/1998/namespace"/>
    <ds:schemaRef ds:uri="6347c43a-aa16-4ea5-83fa-497090cd12d7"/>
    <ds:schemaRef ds:uri="http://purl.org/dc/dcmitype/"/>
    <ds:schemaRef ds:uri="http://purl.org/dc/elements/1.1/"/>
  </ds:schemaRefs>
</ds:datastoreItem>
</file>

<file path=customXml/itemProps2.xml><?xml version="1.0" encoding="utf-8"?>
<ds:datastoreItem xmlns:ds="http://schemas.openxmlformats.org/officeDocument/2006/customXml" ds:itemID="{220D19C8-3262-4B13-BEBC-C24F6407F7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47c43a-aa16-4ea5-83fa-497090cd12d7"/>
    <ds:schemaRef ds:uri="a8ac04c8-77f8-4eb1-b69e-504ebed462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71E0718-252E-4D17-A7D1-B5E4BB5DBA7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51</TotalTime>
  <Application>LibreOffice/25.2.3.2$Linux_X86_64 LibreOffice_project/520$Build-2</Application>
  <AppVersion>15.0000</AppVersion>
  <Company>HTBLuVA Salzburg</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2010-10-04T10:56:03Z</dcterms:created>
  <dc:creator>Simon Grundner</dc:creator>
  <dc:description/>
  <dc:language>en-US</dc:language>
  <cp:lastModifiedBy/>
  <cp:lastPrinted>2023-05-16T19:07:15Z</cp:lastPrinted>
  <dcterms:modified xsi:type="dcterms:W3CDTF">2025-06-16T01:49:05Z</dcterms:modified>
  <cp:revision>19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0x01010025D0449CD2EB9946AE3B5436F717E5A2</vt:lpwstr>
  </property>
</Properties>
</file>